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Users\tanirbergenov\Desktop\"/>
    </mc:Choice>
  </mc:AlternateContent>
  <workbookProtection workbookAlgorithmName="SHA-512" workbookHashValue="fnRcPov3kuLlXF2ICFrMVkH52+gVBSjiDsPK8tfa1Gk0oSzI+ox6W5aSnlG1yyCiAZCTqC87in309B8nYjaPEw==" workbookSaltValue="kar+gy0hsuSwZ0xlOLYDTQ==" workbookSpinCount="100000" lockStructure="1"/>
  <bookViews>
    <workbookView xWindow="0" yWindow="0" windowWidth="23325" windowHeight="10680" tabRatio="530" firstSheet="2" activeTab="2"/>
  </bookViews>
  <sheets>
    <sheet name="Start" sheetId="13" state="hidden" r:id="rId1"/>
    <sheet name="Help" sheetId="8" r:id="rId2"/>
    <sheet name="Worksheet" sheetId="1" r:id="rId3"/>
    <sheet name="Matrix" sheetId="6" r:id="rId4"/>
    <sheet name="Jobgrades" sheetId="7" r:id="rId5"/>
    <sheet name="Matchcodes" sheetId="14" state="hidden" r:id="rId6"/>
    <sheet name="Validation" sheetId="12" state="hidden" r:id="rId7"/>
    <sheet name="macro d'éval" sheetId="2" state="hidden" r:id="rId8"/>
    <sheet name="HWendt" sheetId="10" state="veryHidden" r:id=""/>
  </sheets>
  <functionGroups builtInGroupCount="18"/>
  <definedNames>
    <definedName name="_xlnm._FilterDatabase" localSheetId="2" hidden="1">Worksheet!$A$1:$DK$194</definedName>
    <definedName name="AcF_Val">Validation!$BF$3:$BF$29</definedName>
    <definedName name="AcI_Val">Validation!$BH$3:$BH$33</definedName>
    <definedName name="AcM_Val">Validation!$BG$3:$BG$23</definedName>
    <definedName name="Ampleur" localSheetId="7">'macro d''éval'!$N$3</definedName>
    <definedName name="base">Worksheet!$E$1</definedName>
    <definedName name="C_Khb" localSheetId="7">'macro d''éval'!$U$3</definedName>
    <definedName name="C_Khb">'macro d''éval'!$U$3</definedName>
    <definedName name="C_Khd" localSheetId="7">'macro d''éval'!$U$2</definedName>
    <definedName name="C_Khd">'macro d''éval'!$U$2</definedName>
    <definedName name="C_KhHrs" localSheetId="7">'macro d''éval'!$U$4</definedName>
    <definedName name="C_KhHrs">'macro d''éval'!$U$4</definedName>
    <definedName name="Cadre_réflexion" localSheetId="7">'macro d''éval'!$H$2</definedName>
    <definedName name="ChkKh">'macro d''éval'!$T$1</definedName>
    <definedName name="COMP" function="1" xlm="1">'macro d''éval'!$D$1</definedName>
    <definedName name="Company_name">Start!$D$8</definedName>
    <definedName name="compétences" localSheetId="7">'macro d''éval'!$K$2</definedName>
    <definedName name="Connaissances" localSheetId="7">'macro d''éval'!$E$2</definedName>
    <definedName name="Exigence_problèmes" localSheetId="7">'macro d''éval'!$H$3</definedName>
    <definedName name="FINALITE" function="1" xlm="1">'macro d''éval'!$M$1</definedName>
    <definedName name="finalité" localSheetId="7">'macro d''éval'!$K$9</definedName>
    <definedName name="Format2Print">Worksheet!$I$1</definedName>
    <definedName name="IC" function="1" xlm="1">'macro d''éval'!$G$1</definedName>
    <definedName name="Impact" localSheetId="7">'macro d''éval'!$N$4</definedName>
    <definedName name="InputScreen">Worksheet!#REF!</definedName>
    <definedName name="Key">Worksheet!$C$1</definedName>
    <definedName name="KHB_Val">Validation!$BB$3:$BB$26</definedName>
    <definedName name="KHHRS_Val">Validation!$BC$3:$BC$5</definedName>
    <definedName name="Latitude_action" localSheetId="7">'macro d''éval'!$N$2</definedName>
    <definedName name="LetterVal">Validation!$BA$3:$BA$29</definedName>
    <definedName name="LProf">'macro d''éval'!$R$1</definedName>
    <definedName name="Management" localSheetId="7">'macro d''éval'!$E$3</definedName>
    <definedName name="Mgt" localSheetId="7">'macro d''éval'!$C$19:$D$25</definedName>
    <definedName name="OFF_LP">'macro d''éval'!$Y$10</definedName>
    <definedName name="OutputScreen">#REF!</definedName>
    <definedName name="pas_hay" localSheetId="7">'macro d''éval'!$A$2:$B$60</definedName>
    <definedName name="pointsIC" localSheetId="7">'macro d''éval'!$K$8</definedName>
    <definedName name="pourcic" localSheetId="7">'macro d''éval'!$K$3</definedName>
    <definedName name="PROFIL" function="1" xlm="1">'macro d''éval'!$J$7</definedName>
    <definedName name="PSC_Val">Validation!$BE$3:$BE$17</definedName>
    <definedName name="PSF_Val">Validation!$BD$3:$BD$26</definedName>
    <definedName name="PsPct" localSheetId="7">'macro d''éval'!$S$2</definedName>
    <definedName name="PsPct">'macro d''éval'!$S$2</definedName>
    <definedName name="Pts_impact" localSheetId="7">'macro d''éval'!$N$5:$N$8</definedName>
    <definedName name="PTSIC" function="1" xlm="1">'macro d''éval'!$J$1</definedName>
    <definedName name="Relations_humaines" localSheetId="7">'macro d''éval'!$E$4</definedName>
    <definedName name="Sprof" localSheetId="7">'macro d''éval'!$S$3</definedName>
    <definedName name="Sprof">'macro d''éval'!$S$3</definedName>
    <definedName name="Start">Worksheet!#REF!</definedName>
    <definedName name="SubCode">Jobgrades!$P$7:$S$10</definedName>
    <definedName name="Taux_impôt" localSheetId="7">'macro d''éval'!$A$17:$B$23</definedName>
    <definedName name="Valeurs_hay" localSheetId="7">'macro d''éval'!$B$2:$B$51</definedName>
    <definedName name="Var_conn" localSheetId="7">'macro d''éval'!$D$9</definedName>
    <definedName name="Var_Mgt" localSheetId="7">'macro d''éval'!$D$10</definedName>
    <definedName name="vllRange">Jobgrades!$I$7:$L$44</definedName>
    <definedName name="vlRange">Jobgrades!$I$7:$L$7</definedName>
    <definedName name="x">'macro d''éval'!$E$3</definedName>
    <definedName name="Z_405707A2_D644_4113_A905_B4AA69DE216D_.wvu.PrintArea" localSheetId="1" hidden="1">Help!$B$99:$B$161</definedName>
    <definedName name="Z_405707A2_D644_4113_A905_B4AA69DE216D_.wvu.PrintArea" localSheetId="4" hidden="1">Jobgrades!$I$6:$L$45</definedName>
    <definedName name="Z_405707A2_D644_4113_A905_B4AA69DE216D_.wvu.PrintArea" localSheetId="3" hidden="1">Matrix!#REF!</definedName>
    <definedName name="Z_405707A2_D644_4113_A905_B4AA69DE216D_.wvu.PrintArea" localSheetId="2" hidden="1">Worksheet!#REF!</definedName>
    <definedName name="Z_405707A2_D644_4113_A905_B4AA69DE216D_.wvu.PrintTitles" localSheetId="4" hidden="1">Jobgrades!$4:$6</definedName>
    <definedName name="Z_405707A2_D644_4113_A905_B4AA69DE216D_.wvu.PrintTitles" localSheetId="3" hidden="1">Matrix!#REF!,Matrix!#REF!</definedName>
    <definedName name="Z_405707A2_D644_4113_A905_B4AA69DE216D_.wvu.PrintTitles" localSheetId="2" hidden="1">Worksheet!$2:$2</definedName>
    <definedName name="_xlnm.Database">Worksheet!#REF!</definedName>
    <definedName name="_xlnm.Print_Titles" localSheetId="4">Jobgrades!$4:$6</definedName>
    <definedName name="_xlnm.Print_Titles" localSheetId="3">Matrix!$A:$A,Matrix!$1:$1</definedName>
    <definedName name="_xlnm.Print_Titles" localSheetId="2">Worksheet!$A:$A,Worksheet!$2:$2</definedName>
    <definedName name="_xlnm.Print_Area" localSheetId="1">Help!$A$4:$B$127</definedName>
    <definedName name="_xlnm.Print_Area" localSheetId="4">Jobgrades!$I$6:$L$45</definedName>
    <definedName name="_xlnm.Print_Area" localSheetId="3">Matrix!$A$1:$M$1</definedName>
    <definedName name="_xlnm.Print_Area" localSheetId="0">Start!$A$1:$F$15</definedName>
  </definedNames>
  <calcPr calcId="162913"/>
  <customWorkbookViews>
    <customWorkbookView name="test" guid="{405707A2-D644-4113-A905-B4AA69DE216D}" includeHiddenRowCol="0" maximized="1" windowWidth="500" windowHeight="626" tabRatio="539" activeSheetId="1"/>
  </customWorkbookViews>
</workbook>
</file>

<file path=xl/calcChain.xml><?xml version="1.0" encoding="utf-8"?>
<calcChain xmlns="http://schemas.openxmlformats.org/spreadsheetml/2006/main"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N14" i="1"/>
  <c r="N18" i="1"/>
  <c r="N22" i="1"/>
  <c r="N15" i="1"/>
  <c r="N19" i="1"/>
  <c r="N12" i="1"/>
  <c r="N16" i="1"/>
  <c r="N20" i="1"/>
  <c r="N13" i="1"/>
  <c r="N17" i="1"/>
  <c r="N21" i="1"/>
  <c r="V12" i="1"/>
  <c r="V16" i="1"/>
  <c r="V20" i="1"/>
  <c r="V24" i="1"/>
  <c r="V13" i="1"/>
  <c r="V17" i="1"/>
  <c r="V21" i="1"/>
  <c r="V14" i="1"/>
  <c r="V18" i="1"/>
  <c r="V22" i="1"/>
  <c r="V15" i="1"/>
  <c r="V19" i="1"/>
  <c r="V23" i="1"/>
  <c r="N24" i="1"/>
  <c r="N23" i="1"/>
  <c r="K12" i="1"/>
  <c r="Q12" i="1" s="1"/>
  <c r="K16" i="1"/>
  <c r="Q16" i="1" s="1"/>
  <c r="K20" i="1"/>
  <c r="Q20" i="1" s="1"/>
  <c r="K24" i="1"/>
  <c r="Q24" i="1" s="1"/>
  <c r="K14" i="1"/>
  <c r="Q14" i="1" s="1"/>
  <c r="K22" i="1"/>
  <c r="Q22" i="1" s="1"/>
  <c r="K19" i="1"/>
  <c r="Q19" i="1" s="1"/>
  <c r="K13" i="1"/>
  <c r="Q13" i="1" s="1"/>
  <c r="K17" i="1"/>
  <c r="Q17" i="1" s="1"/>
  <c r="K21" i="1"/>
  <c r="Q21" i="1" s="1"/>
  <c r="K18" i="1"/>
  <c r="Q18" i="1" s="1"/>
  <c r="K15" i="1"/>
  <c r="Q15" i="1" s="1"/>
  <c r="K23" i="1"/>
  <c r="Q23" i="1" s="1"/>
  <c r="Y18" i="1"/>
  <c r="Y12" i="1"/>
  <c r="Y16" i="1"/>
  <c r="Y20" i="1"/>
  <c r="Y24" i="1"/>
  <c r="Y14" i="1"/>
  <c r="Y22" i="1"/>
  <c r="Y19" i="1"/>
  <c r="Y13" i="1"/>
  <c r="Y17" i="1"/>
  <c r="Y21" i="1"/>
  <c r="Y15" i="1"/>
  <c r="Y23" i="1"/>
  <c r="W23" i="1" l="1"/>
  <c r="X23" i="1" s="1"/>
  <c r="W15" i="1"/>
  <c r="X15" i="1" s="1"/>
  <c r="W21" i="1"/>
  <c r="X21" i="1" s="1"/>
  <c r="W17" i="1"/>
  <c r="X17" i="1" s="1"/>
  <c r="W13" i="1"/>
  <c r="X13" i="1" s="1"/>
  <c r="W19" i="1"/>
  <c r="X19" i="1" s="1"/>
  <c r="W22" i="1"/>
  <c r="X22" i="1" s="1"/>
  <c r="W14" i="1"/>
  <c r="X14" i="1" s="1"/>
  <c r="W24" i="1"/>
  <c r="X24" i="1" s="1"/>
  <c r="W20" i="1"/>
  <c r="X20" i="1" s="1"/>
  <c r="W16" i="1"/>
  <c r="X16" i="1" s="1"/>
  <c r="W12" i="1"/>
  <c r="X12" i="1" s="1"/>
  <c r="W18" i="1"/>
  <c r="X18" i="1" s="1"/>
  <c r="J7" i="1"/>
  <c r="O7" i="1"/>
  <c r="P7" i="1"/>
  <c r="U7" i="1"/>
  <c r="J8" i="1"/>
  <c r="O8" i="1"/>
  <c r="P8" i="1"/>
  <c r="U8" i="1"/>
  <c r="J9" i="1"/>
  <c r="O9" i="1"/>
  <c r="P9" i="1"/>
  <c r="U9" i="1"/>
  <c r="J10" i="1"/>
  <c r="O10" i="1"/>
  <c r="P10" i="1"/>
  <c r="U10" i="1"/>
  <c r="J11" i="1"/>
  <c r="O11" i="1"/>
  <c r="P11" i="1"/>
  <c r="U11" i="1"/>
  <c r="V11" i="1"/>
  <c r="K9" i="1"/>
  <c r="K10" i="1"/>
  <c r="K11" i="1"/>
  <c r="N11" i="1"/>
  <c r="K8" i="1"/>
  <c r="V7" i="1"/>
  <c r="V10" i="1"/>
  <c r="K7" i="1"/>
  <c r="V8" i="1"/>
  <c r="N8" i="1"/>
  <c r="N7" i="1"/>
  <c r="N9" i="1"/>
  <c r="N10" i="1"/>
  <c r="V9" i="1"/>
  <c r="J3" i="1" l="1"/>
  <c r="J4" i="1"/>
  <c r="J5" i="1"/>
  <c r="J6" i="1"/>
  <c r="O3" i="1"/>
  <c r="P3" i="1"/>
  <c r="U3" i="1"/>
  <c r="O4" i="1"/>
  <c r="P4" i="1"/>
  <c r="U4" i="1"/>
  <c r="O5" i="1"/>
  <c r="P5" i="1"/>
  <c r="U5" i="1"/>
  <c r="O6" i="1"/>
  <c r="P6" i="1"/>
  <c r="U6" i="1"/>
  <c r="Q8" i="1"/>
  <c r="Q10" i="1"/>
  <c r="Q11" i="1"/>
  <c r="Y8" i="1"/>
  <c r="Q9" i="1"/>
  <c r="Q7" i="1"/>
  <c r="Y9" i="1"/>
  <c r="N4" i="1"/>
  <c r="N6" i="1"/>
  <c r="N5" i="1"/>
  <c r="V4" i="1"/>
  <c r="K3" i="1"/>
  <c r="N3" i="1"/>
  <c r="Y11" i="1"/>
  <c r="V3" i="1"/>
  <c r="V5" i="1"/>
  <c r="V6" i="1"/>
  <c r="K5" i="1"/>
  <c r="Y10" i="1"/>
  <c r="K6" i="1"/>
  <c r="K4" i="1"/>
  <c r="W7" i="1" l="1"/>
  <c r="X7" i="1" s="1"/>
  <c r="W9" i="1"/>
  <c r="X9" i="1" s="1"/>
  <c r="W11" i="1"/>
  <c r="X11" i="1" s="1"/>
  <c r="W10" i="1"/>
  <c r="X10" i="1" s="1"/>
  <c r="W8" i="1"/>
  <c r="X8" i="1" s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M3" i="7"/>
  <c r="I16" i="7" s="1"/>
  <c r="J1" i="1"/>
  <c r="J2" i="1"/>
  <c r="U2" i="1"/>
  <c r="U1" i="1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A3" i="12"/>
  <c r="A4" i="12"/>
  <c r="A5" i="12"/>
  <c r="P2" i="1"/>
  <c r="O2" i="1"/>
  <c r="O1" i="1"/>
  <c r="X1" i="1"/>
  <c r="P1" i="1"/>
  <c r="I38" i="7"/>
  <c r="K37" i="7" s="1"/>
  <c r="I15" i="7"/>
  <c r="I9" i="7"/>
  <c r="K8" i="7" s="1"/>
  <c r="Y7" i="1"/>
  <c r="Q3" i="1"/>
  <c r="Q4" i="1"/>
  <c r="Z1" i="1"/>
  <c r="Q5" i="1"/>
  <c r="Y4" i="1"/>
  <c r="Y5" i="1"/>
  <c r="Q6" i="1"/>
  <c r="W3" i="1" l="1"/>
  <c r="X3" i="1" s="1"/>
  <c r="W6" i="1"/>
  <c r="X6" i="1" s="1"/>
  <c r="W4" i="1"/>
  <c r="X4" i="1" s="1"/>
  <c r="W5" i="1"/>
  <c r="X5" i="1" s="1"/>
  <c r="B5" i="12"/>
  <c r="K15" i="7"/>
  <c r="I39" i="7"/>
  <c r="I43" i="7"/>
  <c r="J15" i="7"/>
  <c r="I37" i="7"/>
  <c r="I33" i="7"/>
  <c r="K14" i="7"/>
  <c r="I28" i="7"/>
  <c r="I27" i="7"/>
  <c r="I23" i="7"/>
  <c r="I10" i="7"/>
  <c r="I30" i="7"/>
  <c r="I44" i="7"/>
  <c r="I34" i="7"/>
  <c r="I41" i="7"/>
  <c r="I20" i="7"/>
  <c r="I18" i="7"/>
  <c r="I24" i="7"/>
  <c r="I26" i="7"/>
  <c r="I22" i="7"/>
  <c r="I35" i="7"/>
  <c r="I12" i="7"/>
  <c r="I29" i="7"/>
  <c r="I45" i="7"/>
  <c r="K44" i="7" s="1"/>
  <c r="I31" i="7"/>
  <c r="I11" i="7"/>
  <c r="I19" i="7"/>
  <c r="I25" i="7"/>
  <c r="I42" i="7"/>
  <c r="I7" i="7"/>
  <c r="I21" i="7"/>
  <c r="I13" i="7"/>
  <c r="I32" i="7"/>
  <c r="I17" i="7"/>
  <c r="I8" i="7"/>
  <c r="I14" i="7"/>
  <c r="I36" i="7"/>
  <c r="I40" i="7"/>
  <c r="Y3" i="1"/>
  <c r="Y6" i="1"/>
  <c r="J14" i="7" l="1"/>
  <c r="K13" i="7"/>
  <c r="K21" i="7"/>
  <c r="J8" i="7"/>
  <c r="K7" i="7"/>
  <c r="J7" i="7" s="1"/>
  <c r="K18" i="7"/>
  <c r="J18" i="7" s="1"/>
  <c r="K25" i="7"/>
  <c r="J25" i="7" s="1"/>
  <c r="K9" i="7"/>
  <c r="J9" i="7" s="1"/>
  <c r="K24" i="7"/>
  <c r="K36" i="7"/>
  <c r="J36" i="7" s="1"/>
  <c r="J37" i="7"/>
  <c r="K16" i="7"/>
  <c r="J16" i="7" s="1"/>
  <c r="K10" i="7"/>
  <c r="J10" i="7" s="1"/>
  <c r="J24" i="7"/>
  <c r="K23" i="7"/>
  <c r="J23" i="7" s="1"/>
  <c r="K22" i="7"/>
  <c r="J22" i="7" s="1"/>
  <c r="K42" i="7"/>
  <c r="K29" i="7"/>
  <c r="K31" i="7"/>
  <c r="J31" i="7"/>
  <c r="K30" i="7"/>
  <c r="J30" i="7" s="1"/>
  <c r="K17" i="7"/>
  <c r="J17" i="7" s="1"/>
  <c r="J27" i="7"/>
  <c r="K26" i="7"/>
  <c r="J26" i="7" s="1"/>
  <c r="K38" i="7"/>
  <c r="J38" i="7" s="1"/>
  <c r="J13" i="7"/>
  <c r="K12" i="7"/>
  <c r="J12" i="7" s="1"/>
  <c r="J20" i="7"/>
  <c r="K19" i="7"/>
  <c r="J19" i="7" s="1"/>
  <c r="K20" i="7"/>
  <c r="J21" i="7"/>
  <c r="K28" i="7"/>
  <c r="J29" i="7"/>
  <c r="K40" i="7"/>
  <c r="K27" i="7"/>
  <c r="J28" i="7"/>
  <c r="K39" i="7"/>
  <c r="J39" i="7" s="1"/>
  <c r="J40" i="7"/>
  <c r="K6" i="7"/>
  <c r="J6" i="7" s="1"/>
  <c r="K11" i="7"/>
  <c r="J11" i="7" s="1"/>
  <c r="K33" i="7"/>
  <c r="J33" i="7" s="1"/>
  <c r="K35" i="7"/>
  <c r="J35" i="7" s="1"/>
  <c r="J42" i="7"/>
  <c r="K41" i="7"/>
  <c r="J41" i="7" s="1"/>
  <c r="K34" i="7"/>
  <c r="J34" i="7" s="1"/>
  <c r="K43" i="7"/>
  <c r="J43" i="7" s="1"/>
  <c r="J44" i="7"/>
  <c r="K32" i="7"/>
  <c r="J32" i="7" s="1"/>
</calcChain>
</file>

<file path=xl/comments1.xml><?xml version="1.0" encoding="utf-8"?>
<comments xmlns="http://schemas.openxmlformats.org/spreadsheetml/2006/main">
  <authors>
    <author>HWT</author>
    <author>Hay Management Consultants BV</author>
  </authors>
  <commentList>
    <comment ref="I1" authorId="0" shapeId="0">
      <text>
        <r>
          <rPr>
            <b/>
            <sz val="8"/>
            <color indexed="56"/>
            <rFont val="Tahoma"/>
            <family val="2"/>
          </rPr>
          <t xml:space="preserve">Human Relation Skills
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: Communicate
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</rPr>
          <t xml:space="preserve">: Reason
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>: Change Behaviour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S1" authorId="0" shapeId="0">
      <text>
        <r>
          <rPr>
            <b/>
            <sz val="8"/>
            <color indexed="56"/>
            <rFont val="Tahoma"/>
            <family val="2"/>
          </rPr>
          <t>Magnitude</t>
        </r>
        <r>
          <rPr>
            <b/>
            <sz val="8"/>
            <color indexed="81"/>
            <rFont val="Tahoma"/>
            <family val="2"/>
            <charset val="204"/>
          </rPr>
          <t xml:space="preserve">
N</t>
        </r>
        <r>
          <rPr>
            <sz val="8"/>
            <color indexed="81"/>
            <rFont val="Tahoma"/>
            <family val="2"/>
          </rPr>
          <t xml:space="preserve">: Non-Quantifiable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: Medium
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: Very small            </t>
        </r>
        <r>
          <rPr>
            <b/>
            <sz val="8"/>
            <color indexed="81"/>
            <rFont val="Tahoma"/>
            <family val="2"/>
          </rPr>
          <t>4</t>
        </r>
        <r>
          <rPr>
            <sz val="8"/>
            <color indexed="81"/>
            <rFont val="Tahoma"/>
            <family val="2"/>
          </rPr>
          <t xml:space="preserve">: Large
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</rPr>
          <t xml:space="preserve">: Small                    </t>
        </r>
        <r>
          <rPr>
            <b/>
            <sz val="8"/>
            <color indexed="81"/>
            <rFont val="Tahoma"/>
            <family val="2"/>
          </rPr>
          <t>5</t>
        </r>
        <r>
          <rPr>
            <sz val="8"/>
            <color indexed="81"/>
            <rFont val="Tahoma"/>
            <family val="2"/>
          </rPr>
          <t xml:space="preserve">: </t>
        </r>
      </text>
    </comment>
    <comment ref="W1" authorId="1" shapeId="0">
      <text>
        <r>
          <rPr>
            <b/>
            <sz val="8"/>
            <color indexed="56"/>
            <rFont val="Arial"/>
            <family val="2"/>
          </rPr>
          <t>Logical combinations:</t>
        </r>
        <r>
          <rPr>
            <b/>
            <sz val="8"/>
            <color indexed="81"/>
            <rFont val="Arial"/>
            <family val="2"/>
          </rPr>
          <t xml:space="preserve">
</t>
        </r>
        <r>
          <rPr>
            <sz val="8"/>
            <color indexed="10"/>
            <rFont val="Arial"/>
            <family val="2"/>
          </rPr>
          <t xml:space="preserve">Red </t>
        </r>
        <r>
          <rPr>
            <sz val="8"/>
            <color indexed="81"/>
            <rFont val="Arial"/>
            <family val="2"/>
          </rPr>
          <t xml:space="preserve">background: less unlikely
</t>
        </r>
        <r>
          <rPr>
            <sz val="8"/>
            <color indexed="55"/>
            <rFont val="Arial"/>
            <family val="2"/>
          </rPr>
          <t>Gray</t>
        </r>
        <r>
          <rPr>
            <sz val="8"/>
            <color indexed="81"/>
            <rFont val="Arial"/>
            <family val="2"/>
          </rPr>
          <t xml:space="preserve"> background: unlikely
The following checks are performed:
- Know How
- Problemsolving
- Combination Know How points vs. Problemsolving (coded by the PB% in column N)</t>
        </r>
      </text>
    </comment>
  </commentList>
</comments>
</file>

<file path=xl/comments2.xml><?xml version="1.0" encoding="utf-8"?>
<comments xmlns="http://schemas.openxmlformats.org/spreadsheetml/2006/main">
  <authors>
    <author>HWT</author>
  </authors>
  <commentList>
    <comment ref="M14" authorId="0" shapeId="0">
      <text>
        <r>
          <rPr>
            <sz val="10"/>
            <color indexed="81"/>
            <rFont val="Tahoma"/>
            <family val="2"/>
          </rPr>
          <t>Double + / - under this formula: change to
=MAX(MIN(M11+M12+M13,</t>
        </r>
        <r>
          <rPr>
            <b/>
            <sz val="10"/>
            <color indexed="81"/>
            <rFont val="Tahoma"/>
            <family val="2"/>
          </rPr>
          <t>2</t>
        </r>
        <r>
          <rPr>
            <sz val="10"/>
            <color indexed="81"/>
            <rFont val="Tahoma"/>
            <family val="2"/>
          </rPr>
          <t>),</t>
        </r>
        <r>
          <rPr>
            <b/>
            <sz val="10"/>
            <color indexed="81"/>
            <rFont val="Tahoma"/>
            <family val="2"/>
          </rPr>
          <t>-2</t>
        </r>
        <r>
          <rPr>
            <sz val="10"/>
            <color indexed="81"/>
            <rFont val="Tahoma"/>
            <family val="2"/>
          </rPr>
          <t>) will activate ++ --
=MAX(MIN(M11+M12+M13,</t>
        </r>
        <r>
          <rPr>
            <b/>
            <sz val="10"/>
            <color indexed="10"/>
            <rFont val="Tahoma"/>
            <family val="2"/>
          </rPr>
          <t>1</t>
        </r>
        <r>
          <rPr>
            <sz val="10"/>
            <color indexed="81"/>
            <rFont val="Tahoma"/>
            <family val="2"/>
          </rPr>
          <t>),</t>
        </r>
        <r>
          <rPr>
            <b/>
            <sz val="10"/>
            <color indexed="10"/>
            <rFont val="Tahoma"/>
            <family val="2"/>
          </rPr>
          <t>-1</t>
        </r>
        <r>
          <rPr>
            <sz val="10"/>
            <color indexed="81"/>
            <rFont val="Tahoma"/>
            <family val="2"/>
          </rPr>
          <t>) is the standard way of calculating Accountability
HWT.</t>
        </r>
      </text>
    </comment>
  </commentList>
</comments>
</file>

<file path=xl/sharedStrings.xml><?xml version="1.0" encoding="utf-8"?>
<sst xmlns="http://schemas.openxmlformats.org/spreadsheetml/2006/main" count="812" uniqueCount="526">
  <si>
    <t>Match</t>
  </si>
  <si>
    <t>F</t>
  </si>
  <si>
    <t>4</t>
  </si>
  <si>
    <t>e</t>
  </si>
  <si>
    <t>P</t>
  </si>
  <si>
    <t>3</t>
  </si>
  <si>
    <t>II</t>
  </si>
  <si>
    <t>E</t>
  </si>
  <si>
    <t>G</t>
  </si>
  <si>
    <t>NL</t>
  </si>
  <si>
    <t>B</t>
  </si>
  <si>
    <t>2</t>
  </si>
  <si>
    <t>I</t>
  </si>
  <si>
    <t>V</t>
  </si>
  <si>
    <t>D</t>
  </si>
  <si>
    <t>C</t>
  </si>
  <si>
    <t>1</t>
  </si>
  <si>
    <t>A</t>
  </si>
  <si>
    <t>N</t>
  </si>
  <si>
    <t>0</t>
  </si>
  <si>
    <t>COMP</t>
  </si>
  <si>
    <t>IC</t>
  </si>
  <si>
    <t>PTSIC</t>
  </si>
  <si>
    <t>FINALITE</t>
  </si>
  <si>
    <t>XX</t>
  </si>
  <si>
    <t>Lprof</t>
  </si>
  <si>
    <t>V4</t>
  </si>
  <si>
    <t>R</t>
  </si>
  <si>
    <t>P4</t>
  </si>
  <si>
    <t>P3</t>
  </si>
  <si>
    <t>PROFIL</t>
  </si>
  <si>
    <t>S</t>
  </si>
  <si>
    <t>P2</t>
  </si>
  <si>
    <t>P1</t>
  </si>
  <si>
    <t>xx</t>
  </si>
  <si>
    <t>V3</t>
  </si>
  <si>
    <t>V2</t>
  </si>
  <si>
    <t>V1</t>
  </si>
  <si>
    <t>Var_conn</t>
  </si>
  <si>
    <t>Var_Mgt</t>
  </si>
  <si>
    <t>OFF_LP</t>
  </si>
  <si>
    <t>77-08-15</t>
  </si>
  <si>
    <t>79-08-13</t>
  </si>
  <si>
    <t>80-09-11</t>
  </si>
  <si>
    <t>81-09-10</t>
  </si>
  <si>
    <t>82-09-09</t>
  </si>
  <si>
    <t>83-09-08</t>
  </si>
  <si>
    <t>84-09-07</t>
  </si>
  <si>
    <t>85-10-05</t>
  </si>
  <si>
    <t>86-09-05</t>
  </si>
  <si>
    <t xml:space="preserve"> </t>
  </si>
  <si>
    <t>75-09-16</t>
  </si>
  <si>
    <t>76-09-15</t>
  </si>
  <si>
    <t>77-10-13</t>
  </si>
  <si>
    <t>79-10-11</t>
  </si>
  <si>
    <t>80-10-10</t>
  </si>
  <si>
    <t>81-10-09</t>
  </si>
  <si>
    <t>82-10-08</t>
  </si>
  <si>
    <t>83-11-06</t>
  </si>
  <si>
    <t>84-11-05</t>
  </si>
  <si>
    <t>72-10-18</t>
  </si>
  <si>
    <t>74-10-16</t>
  </si>
  <si>
    <t>76-10-14</t>
  </si>
  <si>
    <t>76-11-13</t>
  </si>
  <si>
    <t>78-11-11</t>
  </si>
  <si>
    <t>79-11-10</t>
  </si>
  <si>
    <t>80-11-09</t>
  </si>
  <si>
    <t>81-12-07</t>
  </si>
  <si>
    <t>82-12-06</t>
  </si>
  <si>
    <t>5</t>
  </si>
  <si>
    <t>69-11-20</t>
  </si>
  <si>
    <t>70-12-18</t>
  </si>
  <si>
    <t>72-12-16</t>
  </si>
  <si>
    <t>74-12-14</t>
  </si>
  <si>
    <t>76-12-12</t>
  </si>
  <si>
    <t>76-13-11</t>
  </si>
  <si>
    <t>77-13-10</t>
  </si>
  <si>
    <t>79-13-08</t>
  </si>
  <si>
    <t>80-13-07</t>
  </si>
  <si>
    <t>6</t>
  </si>
  <si>
    <t>66-12-22</t>
  </si>
  <si>
    <t>68-13-19</t>
  </si>
  <si>
    <t>70-13-17</t>
  </si>
  <si>
    <t>72-13-15</t>
  </si>
  <si>
    <t>72-14-14</t>
  </si>
  <si>
    <t>74-14-12</t>
  </si>
  <si>
    <t>75-14-11</t>
  </si>
  <si>
    <t>76-15-09</t>
  </si>
  <si>
    <t>77-15-08</t>
  </si>
  <si>
    <t>7</t>
  </si>
  <si>
    <t>62-14-24</t>
  </si>
  <si>
    <t>65-14-21</t>
  </si>
  <si>
    <t>66-15-19</t>
  </si>
  <si>
    <t>68-15-17</t>
  </si>
  <si>
    <t>70-15-15</t>
  </si>
  <si>
    <t>72-15-13</t>
  </si>
  <si>
    <t>72-16-12</t>
  </si>
  <si>
    <t>74-16-10</t>
  </si>
  <si>
    <t>75-16-09</t>
  </si>
  <si>
    <t>8</t>
  </si>
  <si>
    <t>59-15-26</t>
  </si>
  <si>
    <t>62-15-23</t>
  </si>
  <si>
    <t>63-16-21</t>
  </si>
  <si>
    <t>65-16-19</t>
  </si>
  <si>
    <t>66-17-17</t>
  </si>
  <si>
    <t>68-17-15</t>
  </si>
  <si>
    <t>70-17-13</t>
  </si>
  <si>
    <t>70-18-12</t>
  </si>
  <si>
    <t>72-18-10</t>
  </si>
  <si>
    <t>56-16-28</t>
  </si>
  <si>
    <t>58-17-25</t>
  </si>
  <si>
    <t>60-17-23</t>
  </si>
  <si>
    <t>62-18-20</t>
  </si>
  <si>
    <t>64-18-18</t>
  </si>
  <si>
    <t>65-19-16</t>
  </si>
  <si>
    <t>66-19-15</t>
  </si>
  <si>
    <t>68-19-13</t>
  </si>
  <si>
    <t>69-20-11</t>
  </si>
  <si>
    <t>53-17-30</t>
  </si>
  <si>
    <t>55-18-27</t>
  </si>
  <si>
    <t>56-19-25</t>
  </si>
  <si>
    <t>59-19-22</t>
  </si>
  <si>
    <t>60-20-20</t>
  </si>
  <si>
    <t>62-20-18</t>
  </si>
  <si>
    <t>63-21-16</t>
  </si>
  <si>
    <t>65-21-14</t>
  </si>
  <si>
    <t>66-22-12</t>
  </si>
  <si>
    <t>49-19-32</t>
  </si>
  <si>
    <t>51-19-30</t>
  </si>
  <si>
    <t>53-20-27</t>
  </si>
  <si>
    <t>55-21-24</t>
  </si>
  <si>
    <t>56-22-22</t>
  </si>
  <si>
    <t>59-22-19</t>
  </si>
  <si>
    <t>60-23-17</t>
  </si>
  <si>
    <t>62-23-15</t>
  </si>
  <si>
    <t>62-24-14</t>
  </si>
  <si>
    <t>45-20-35</t>
  </si>
  <si>
    <t>47-21-32</t>
  </si>
  <si>
    <t>49-22-29</t>
  </si>
  <si>
    <t>52-22-26</t>
  </si>
  <si>
    <t>54-23-23</t>
  </si>
  <si>
    <t>55-24-21</t>
  </si>
  <si>
    <t>56-25-19</t>
  </si>
  <si>
    <t>58-25-17</t>
  </si>
  <si>
    <t>59-26-15</t>
  </si>
  <si>
    <t>III</t>
  </si>
  <si>
    <t>42-21-37</t>
  </si>
  <si>
    <t>44-22-34</t>
  </si>
  <si>
    <t>46-23-31</t>
  </si>
  <si>
    <t>48-24-28</t>
  </si>
  <si>
    <t>50-25-25</t>
  </si>
  <si>
    <t>52-26-22</t>
  </si>
  <si>
    <t>53-27-20</t>
  </si>
  <si>
    <t>55-27-18</t>
  </si>
  <si>
    <t>56-28-16</t>
  </si>
  <si>
    <t>IV</t>
  </si>
  <si>
    <t>39-22-39</t>
  </si>
  <si>
    <t>41-23-36</t>
  </si>
  <si>
    <t>43-25-32</t>
  </si>
  <si>
    <t>45-26-29</t>
  </si>
  <si>
    <t>46-27-27</t>
  </si>
  <si>
    <t>48-28-24</t>
  </si>
  <si>
    <t>49-29-22</t>
  </si>
  <si>
    <t>51-30-19</t>
  </si>
  <si>
    <t>53-30-17</t>
  </si>
  <si>
    <t>36-23-41</t>
  </si>
  <si>
    <t>38-24-38</t>
  </si>
  <si>
    <t>40-26-34</t>
  </si>
  <si>
    <t>42-27-31</t>
  </si>
  <si>
    <t>44-28-28</t>
  </si>
  <si>
    <t>45-29-26</t>
  </si>
  <si>
    <t>46-31-23</t>
  </si>
  <si>
    <t>47-32-21</t>
  </si>
  <si>
    <t>49-32-19</t>
  </si>
  <si>
    <t>VI</t>
  </si>
  <si>
    <t>32-25-43</t>
  </si>
  <si>
    <t>34-26-40</t>
  </si>
  <si>
    <t>36-28-36</t>
  </si>
  <si>
    <t>38-29-33</t>
  </si>
  <si>
    <t>40-30-30</t>
  </si>
  <si>
    <t>42-31-27</t>
  </si>
  <si>
    <t>43-32-25</t>
  </si>
  <si>
    <t>44-34-22</t>
  </si>
  <si>
    <t>45-35-20</t>
  </si>
  <si>
    <t>VII</t>
  </si>
  <si>
    <t>29-26-45</t>
  </si>
  <si>
    <t>32-27-41</t>
  </si>
  <si>
    <t>33-29-38</t>
  </si>
  <si>
    <t>35-30-35</t>
  </si>
  <si>
    <t>36-32-32</t>
  </si>
  <si>
    <t>38-33-29</t>
  </si>
  <si>
    <t>40-34-26</t>
  </si>
  <si>
    <t>41-36-23</t>
  </si>
  <si>
    <t>42-37-21</t>
  </si>
  <si>
    <t>VIII</t>
  </si>
  <si>
    <t>IX</t>
  </si>
  <si>
    <t>X</t>
  </si>
  <si>
    <t>XI</t>
  </si>
  <si>
    <t>XII</t>
  </si>
  <si>
    <t>d</t>
  </si>
  <si>
    <t>a</t>
  </si>
  <si>
    <t>T</t>
  </si>
  <si>
    <t>Nr.</t>
  </si>
  <si>
    <t>b</t>
  </si>
  <si>
    <t>c</t>
  </si>
  <si>
    <t>f</t>
  </si>
  <si>
    <t>g</t>
  </si>
  <si>
    <t>h</t>
  </si>
  <si>
    <t>H</t>
  </si>
  <si>
    <t>+</t>
  </si>
  <si>
    <t>ChkKh</t>
  </si>
  <si>
    <t>V5</t>
  </si>
  <si>
    <t>V6</t>
  </si>
  <si>
    <t>V7</t>
  </si>
  <si>
    <t>L</t>
  </si>
  <si>
    <t>A1</t>
  </si>
  <si>
    <t>A2</t>
  </si>
  <si>
    <t>A3</t>
  </si>
  <si>
    <t>A4</t>
  </si>
  <si>
    <t>A5</t>
  </si>
  <si>
    <t>A6</t>
  </si>
  <si>
    <t>A7</t>
  </si>
  <si>
    <t>UK</t>
  </si>
  <si>
    <t>Area</t>
  </si>
  <si>
    <t>Jobtitle</t>
  </si>
  <si>
    <t>Total</t>
  </si>
  <si>
    <t>Grade</t>
  </si>
  <si>
    <t>Profiles</t>
  </si>
  <si>
    <t>Remarks</t>
  </si>
  <si>
    <t>Department</t>
  </si>
  <si>
    <t>F+</t>
  </si>
  <si>
    <t>F-</t>
  </si>
  <si>
    <t>E-</t>
  </si>
  <si>
    <t>C+</t>
  </si>
  <si>
    <t>4+</t>
  </si>
  <si>
    <t>3+</t>
  </si>
  <si>
    <t>2+</t>
  </si>
  <si>
    <t>C-</t>
  </si>
  <si>
    <t>1+</t>
  </si>
  <si>
    <t>E+</t>
  </si>
  <si>
    <t>4-</t>
  </si>
  <si>
    <t>D+</t>
  </si>
  <si>
    <t>3-</t>
  </si>
  <si>
    <t>S-</t>
  </si>
  <si>
    <t>D-</t>
  </si>
  <si>
    <t>B+</t>
  </si>
  <si>
    <t>B-</t>
  </si>
  <si>
    <t>A+</t>
  </si>
  <si>
    <t>A-</t>
  </si>
  <si>
    <t>Standard Hay Buckets</t>
  </si>
  <si>
    <t>Client Specific</t>
  </si>
  <si>
    <t>G-</t>
  </si>
  <si>
    <t>G+</t>
  </si>
  <si>
    <t>H-</t>
  </si>
  <si>
    <t>H+</t>
  </si>
  <si>
    <t>I-</t>
  </si>
  <si>
    <t>I+</t>
  </si>
  <si>
    <t>T-</t>
  </si>
  <si>
    <t>T+</t>
  </si>
  <si>
    <t>II-</t>
  </si>
  <si>
    <t>II+</t>
  </si>
  <si>
    <t>III-</t>
  </si>
  <si>
    <t>III+</t>
  </si>
  <si>
    <t>IV-</t>
  </si>
  <si>
    <t>IV+</t>
  </si>
  <si>
    <t>V-</t>
  </si>
  <si>
    <t>V+</t>
  </si>
  <si>
    <t>VI-</t>
  </si>
  <si>
    <t>VI+</t>
  </si>
  <si>
    <t>VII-</t>
  </si>
  <si>
    <t>VII+</t>
  </si>
  <si>
    <t>KH</t>
  </si>
  <si>
    <t>PS</t>
  </si>
  <si>
    <t>1-</t>
  </si>
  <si>
    <t>2-</t>
  </si>
  <si>
    <t>5-</t>
  </si>
  <si>
    <t>5+</t>
  </si>
  <si>
    <t>Khb</t>
  </si>
  <si>
    <t>KhHrs</t>
  </si>
  <si>
    <t>PSF</t>
  </si>
  <si>
    <t>PSC</t>
  </si>
  <si>
    <t>ACC</t>
  </si>
  <si>
    <t>AcF</t>
  </si>
  <si>
    <t>AcM</t>
  </si>
  <si>
    <t>6-</t>
  </si>
  <si>
    <t>6+</t>
  </si>
  <si>
    <t>AcI</t>
  </si>
  <si>
    <t>R-</t>
  </si>
  <si>
    <t>R+</t>
  </si>
  <si>
    <t>S+</t>
  </si>
  <si>
    <t>P-</t>
  </si>
  <si>
    <t>P+</t>
  </si>
  <si>
    <t>Lower value</t>
  </si>
  <si>
    <t>Mid point</t>
  </si>
  <si>
    <t>Upper value</t>
  </si>
  <si>
    <t>Jobgrade</t>
  </si>
  <si>
    <t>You chose the following jobgrades structure:</t>
  </si>
  <si>
    <t>15% Steps</t>
  </si>
  <si>
    <t>Date:</t>
  </si>
  <si>
    <t>START</t>
  </si>
  <si>
    <t>Start with reading the instructions on:</t>
  </si>
  <si>
    <t>Help - sheet</t>
  </si>
  <si>
    <t>HayCalculator©</t>
  </si>
  <si>
    <t>HAY-LEVEL</t>
  </si>
  <si>
    <t>HAY-RANGE</t>
  </si>
  <si>
    <t>HAY-MIDPOINT</t>
  </si>
  <si>
    <t>FINANCE &amp; ACCOUNTING</t>
  </si>
  <si>
    <t>IT &amp; TELECOMMUNICATIONS</t>
  </si>
  <si>
    <t>HUMAN RESOURCES</t>
  </si>
  <si>
    <t>LEGAL</t>
  </si>
  <si>
    <t>MARKETING</t>
  </si>
  <si>
    <t>SALES</t>
  </si>
  <si>
    <t>CUSTOMER SERVICE</t>
  </si>
  <si>
    <t>RESEARCH &amp; DEVELOPMENT</t>
  </si>
  <si>
    <t>ENGINEERING</t>
  </si>
  <si>
    <t>LOGISTICS/SUPPLY CHAIN</t>
  </si>
  <si>
    <t>PRODUCTION</t>
  </si>
  <si>
    <t>ADMINISTRATION/SUPPORT/SERVICE</t>
  </si>
  <si>
    <t>ENVIRONMENT/HEALTH/SAFETY</t>
  </si>
  <si>
    <t>Accounting (FA)</t>
  </si>
  <si>
    <t>Specialist (FB)</t>
  </si>
  <si>
    <t>Design &amp; Development (IA)</t>
  </si>
  <si>
    <t>Infrastructure/
Support (IB)</t>
  </si>
  <si>
    <t>Operations (IC)</t>
  </si>
  <si>
    <t>Datamanagement (ID)</t>
  </si>
  <si>
    <t>HR Generalist (HA)</t>
  </si>
  <si>
    <t>HR Specialist (HB)</t>
  </si>
  <si>
    <t>(L)</t>
  </si>
  <si>
    <t>Market Research (MA)</t>
  </si>
  <si>
    <t>Brand Management (MB)</t>
  </si>
  <si>
    <t>Promotions (MC)</t>
  </si>
  <si>
    <t>Support &amp; Training (SA)</t>
  </si>
  <si>
    <t>Individual Contributor &amp; Sales Management (SB)</t>
  </si>
  <si>
    <t>Technical (CA)</t>
  </si>
  <si>
    <t>Non Technical (CB)</t>
  </si>
  <si>
    <t>(R)</t>
  </si>
  <si>
    <t>(E)</t>
  </si>
  <si>
    <t>Acquisition (JA)</t>
  </si>
  <si>
    <t>Internal Operations &amp; Delivery (JB)</t>
  </si>
  <si>
    <t>(P)</t>
  </si>
  <si>
    <t>Clerical Services (AA)</t>
  </si>
  <si>
    <t>Secretarial (AB)</t>
  </si>
  <si>
    <t>Translation (AC)</t>
  </si>
  <si>
    <t>(W)</t>
  </si>
  <si>
    <t>878 - 1055</t>
  </si>
  <si>
    <t>Head of Information Technology
(i9001)</t>
  </si>
  <si>
    <t>735 - 879</t>
  </si>
  <si>
    <t>Superintendent III/Production Manager (P0349)</t>
  </si>
  <si>
    <t>614 - 734</t>
  </si>
  <si>
    <t>Manager General Accounting
 (F0008M)</t>
  </si>
  <si>
    <t xml:space="preserve"> Financial Sub-section Mgr.
(F7442)</t>
  </si>
  <si>
    <t>Manager Systems &amp; Programming 
(i7443)</t>
  </si>
  <si>
    <t>Network Integrator (LAN/WAN) 
(i0079M)</t>
  </si>
  <si>
    <t>Computer Services Manager II (i5153)</t>
  </si>
  <si>
    <t>Senior legal Advisor (L0154)</t>
  </si>
  <si>
    <t>Brand/Product
Manager IV
(M0178)</t>
  </si>
  <si>
    <t>Regional Sales Manager (S0209M)</t>
  </si>
  <si>
    <t>Manager Customer Service (C0223M)</t>
  </si>
  <si>
    <t>Scientist/Researcher V (R0248)</t>
  </si>
  <si>
    <t>Manager Logistics Operations (J0329M)</t>
  </si>
  <si>
    <t>Plant Manager (P0350)                                            Superintendent II/Production Manager (P0348)</t>
  </si>
  <si>
    <t>519 - 613</t>
  </si>
  <si>
    <t>Senior Financial Analyst (F0026)</t>
  </si>
  <si>
    <t>Network Architect (i0080)                         Network Operations Manager 
(i0062M)</t>
  </si>
  <si>
    <t xml:space="preserve">Manager Database (i0075M)                                       </t>
  </si>
  <si>
    <t>Human Resources Manager
(H0106M)</t>
  </si>
  <si>
    <t>Training &amp; Development Manager (H0110L)                          Compensation &amp; Benefits Manager (H7446)</t>
  </si>
  <si>
    <t>Legal Advisor
(L0153)</t>
  </si>
  <si>
    <t>Market Research Manager
(M0173M)</t>
  </si>
  <si>
    <t>Brand/Product Manager III
(H0177)</t>
  </si>
  <si>
    <t>Scientist/Researcher IV                                 (R0237)                                    Research &amp; Development Supervisor II (R0240)</t>
  </si>
  <si>
    <t>Engineer V (E0266)</t>
  </si>
  <si>
    <t>Purchasing Manager (J0323L)</t>
  </si>
  <si>
    <t>Manager Production Control (J0292M)</t>
  </si>
  <si>
    <t>Superintendent I/Production Manager (P0347)</t>
  </si>
  <si>
    <t>Environmental Health &amp; Safety Manager (W7459)</t>
  </si>
  <si>
    <t>439 - 518</t>
  </si>
  <si>
    <t xml:space="preserve"> Financial Analyst II (F0025)
Controller (F00231)  </t>
  </si>
  <si>
    <t>Senior Systems Analyst                          (i0048)                                             ERP Configurer (i0093)</t>
  </si>
  <si>
    <t>Group Ware Specialist (i7445)</t>
  </si>
  <si>
    <t>Computer Services Manager I (i5137)</t>
  </si>
  <si>
    <r>
      <t xml:space="preserve">Senior Data Security Specialist (i0082M)                                    Database Analyst III (i0074)                                     </t>
    </r>
    <r>
      <rPr>
        <sz val="6"/>
        <color indexed="10"/>
        <rFont val="Times New Roman"/>
        <family val="1"/>
      </rPr>
      <t xml:space="preserve"> </t>
    </r>
    <r>
      <rPr>
        <sz val="6"/>
        <rFont val="Times New Roman"/>
        <family val="1"/>
      </rPr>
      <t>Database Architect
(i5237)</t>
    </r>
  </si>
  <si>
    <t>Personnel Manager II (H0104)</t>
  </si>
  <si>
    <t>Recruitment Manager                (H0119 L)                                          Employee/Labour Relations Representative III (H0120)</t>
  </si>
  <si>
    <t>Principal Legal Executive 
(L0162)</t>
  </si>
  <si>
    <t>Market Analyst/Business Development Officer III (M4012)</t>
  </si>
  <si>
    <t>Brand/Product Manager II
(M4009)</t>
  </si>
  <si>
    <t>Market Communication Representative (M0175)                                Public Relations Representative (M0403)</t>
  </si>
  <si>
    <t xml:space="preserve">Sales Training Manager (S6220) </t>
  </si>
  <si>
    <t>National Accounts/Key Accounts Manager
 (S0202)
Area/District Sales Manager 
(S0215)</t>
  </si>
  <si>
    <t>Technical Customer Service Teamleader (C0224M)</t>
  </si>
  <si>
    <t>Scientist/Researcher III                             (R0236)                                    Research &amp; Development Supervisor I (R0239)</t>
  </si>
  <si>
    <t>Engineer IV (E0265)</t>
  </si>
  <si>
    <t>General Supervisor II (P0346)</t>
  </si>
  <si>
    <t>Quality Assurance Manager (W7460)</t>
  </si>
  <si>
    <t>371 - 438</t>
  </si>
  <si>
    <t xml:space="preserve">Accounting Supervisor II/Chief Accountant II (F0007M)                          
</t>
  </si>
  <si>
    <t xml:space="preserve">       Financial Analyst III
(F0025a)</t>
  </si>
  <si>
    <t>Principal Analyst Programmer (i7444)                                                        Systems Analyst (i0047)</t>
  </si>
  <si>
    <t xml:space="preserve">Network Planning Analyst (i0083)                         Network Administrator (multiple platform LAN/WAN) (i0078)      </t>
  </si>
  <si>
    <t>Senior Information Center  (or End User Computing Support) Analyst (i0056)</t>
  </si>
  <si>
    <t>Database Analyst II (i0073)                                     Database Administrator (i0053)</t>
  </si>
  <si>
    <t>Personnel Manager I (H0103)</t>
  </si>
  <si>
    <t>Training &amp; Development Specialist II (H7447)                          Compensation &amp; Benefits Specialist (H7448)</t>
  </si>
  <si>
    <t>Senior Legal Executive (L4704)</t>
  </si>
  <si>
    <t>Market Analyst/Business Development Officer II (M0172)</t>
  </si>
  <si>
    <t>Brand/Product Manager I
(M0185)</t>
  </si>
  <si>
    <t>Promotions Manager (M4013)</t>
  </si>
  <si>
    <t>Sales Representative III (S0205)</t>
  </si>
  <si>
    <t>Scientist/Researcher II (R0235)</t>
  </si>
  <si>
    <t>Engineer III (E0264)</t>
  </si>
  <si>
    <t>Purchasing Agent (J0322M)</t>
  </si>
  <si>
    <t>Traffic Manager (L0295M)                                                  Warehouse Manager (J0294M)</t>
  </si>
  <si>
    <t xml:space="preserve">Unit Supervisor IV (P7456)                                     General Supervisor I (P0345)                             </t>
  </si>
  <si>
    <t>Environmental Health &amp; Safety Professional (W7461)</t>
  </si>
  <si>
    <t>314 - 370</t>
  </si>
  <si>
    <t xml:space="preserve">Accounting Supervisor I (F0022)                 </t>
  </si>
  <si>
    <t xml:space="preserve"> Financial Analyst I (F0024)</t>
  </si>
  <si>
    <t>Analyst Programmer IV (i5119)</t>
  </si>
  <si>
    <t xml:space="preserve">Network Administrator                       (single platform LAN/WAN) 
(i0077)      </t>
  </si>
  <si>
    <t>Database Analyst I (i0072)</t>
  </si>
  <si>
    <t>Recruitment Officer (H7449)</t>
  </si>
  <si>
    <t>Legal Executive (L0163)</t>
  </si>
  <si>
    <t>Market Analyst/Business Development Officer I (M4014)</t>
  </si>
  <si>
    <t>Assistant Brand/Product Manager
(M4007)</t>
  </si>
  <si>
    <t>Public Relations Assistant
(M0402)</t>
  </si>
  <si>
    <t>Sales Representative II (S0204)</t>
  </si>
  <si>
    <t>Technical Customer Service Rep. II (C0220M)</t>
  </si>
  <si>
    <t>Customer Service Teamleader (C0222M)</t>
  </si>
  <si>
    <t>Scientist/Researcher I (R0234)</t>
  </si>
  <si>
    <t>Engineer II (E0263)</t>
  </si>
  <si>
    <t>Production Planner (J0291M)</t>
  </si>
  <si>
    <t xml:space="preserve">Unit Supervisor III (P0344) </t>
  </si>
  <si>
    <t>Office Manager III (A7458)</t>
  </si>
  <si>
    <t>269 - 313</t>
  </si>
  <si>
    <t>Accountant III (F0004)</t>
  </si>
  <si>
    <t>Analyst Programmer III (i5120)</t>
  </si>
  <si>
    <t xml:space="preserve">Network Administrator (LAN) (i0061)      </t>
  </si>
  <si>
    <t>Information Systems                (or End User Computing Support) Analyst (i0055)</t>
  </si>
  <si>
    <t>Training &amp; Development Specialist I (H0108)                          Compensation &amp; Benefits Analyst (H7450)</t>
  </si>
  <si>
    <t>Marketing Research Analyst II
(M7451)</t>
  </si>
  <si>
    <t>Telesales Supervisor (S7453)
Sales Trainer
(S6222)</t>
  </si>
  <si>
    <t>Sales Representative I (S0203)</t>
  </si>
  <si>
    <t>Technical Customer Service Rep. I (C0221M)</t>
  </si>
  <si>
    <t>Engineer I (E0262)</t>
  </si>
  <si>
    <t>Buyer II (J0321)</t>
  </si>
  <si>
    <t xml:space="preserve">Unit Supervisor II (P0343) </t>
  </si>
  <si>
    <t xml:space="preserve">Administrative Assistant II (A5010)                                         Office Manager II (A7055)     </t>
  </si>
  <si>
    <t>Secretary VI (reports to CEO) (A5004)</t>
  </si>
  <si>
    <t>Translator II (A7733)</t>
  </si>
  <si>
    <t>228 - 268</t>
  </si>
  <si>
    <t>Accountant II (F0003)</t>
  </si>
  <si>
    <t>Analyst Programmer II (i5121)</t>
  </si>
  <si>
    <t>Human Resources Administrator 
(H0102)</t>
  </si>
  <si>
    <t>Recruiter
(H0118)</t>
  </si>
  <si>
    <t>Marketing Research Analyst I
(M7452)</t>
  </si>
  <si>
    <t>Promotions Assistant (M4016)</t>
  </si>
  <si>
    <t>Sales Representative (S7455)</t>
  </si>
  <si>
    <t>Customer Service Rep. III 
(C0217M)</t>
  </si>
  <si>
    <t>Researcher/Technician (R0232)</t>
  </si>
  <si>
    <t>Design Drafter (E4120)</t>
  </si>
  <si>
    <t>Buyer I (J0324)</t>
  </si>
  <si>
    <t>Warehouse Supervisor (J0293M)</t>
  </si>
  <si>
    <t xml:space="preserve">Unit Supervisor I (P0342) </t>
  </si>
  <si>
    <t xml:space="preserve">Administrative Assistant I (A7056)                             Office Manager I (A5009)     </t>
  </si>
  <si>
    <t>Secretary V (A5005)</t>
  </si>
  <si>
    <t>Translator I (A7734)</t>
  </si>
  <si>
    <t>Industrial Nurse (W0124)</t>
  </si>
  <si>
    <t>192 - 227</t>
  </si>
  <si>
    <t>Accountant I (F0002)</t>
  </si>
  <si>
    <t>Analyst Programmer I (i5122)</t>
  </si>
  <si>
    <t>PC Maintenance Technician (i0095)</t>
  </si>
  <si>
    <t>Telesales Operator (S1609)</t>
  </si>
  <si>
    <t>Customer Service Rep. II 
(C0218M)</t>
  </si>
  <si>
    <t>Laboratory Technician (R4107)</t>
  </si>
  <si>
    <t>Drafter (E4122)                                    Electronic Technician II (E4123)</t>
  </si>
  <si>
    <t>Maintenance Technician (P7457)</t>
  </si>
  <si>
    <t>General Clerk V (A1087)</t>
  </si>
  <si>
    <t>Secretary IV (A7054)</t>
  </si>
  <si>
    <t>161 - 191</t>
  </si>
  <si>
    <t>Accounts Clerk IV (F1040)</t>
  </si>
  <si>
    <t>Help Desk Analyst (i5150)</t>
  </si>
  <si>
    <t>Customer Service Rep. I (C0219M)</t>
  </si>
  <si>
    <t>Electronic Technician I (E4124)</t>
  </si>
  <si>
    <t>Production/Process Operator V (P4204)</t>
  </si>
  <si>
    <t>General Clerk IV (A1088)</t>
  </si>
  <si>
    <t>Secretary III (A5006)</t>
  </si>
  <si>
    <t>135 - 160</t>
  </si>
  <si>
    <t>Accounts Clerk III (F1039)</t>
  </si>
  <si>
    <t>Merchandiser
(S7454)</t>
  </si>
  <si>
    <t>General Clerk III (A1089)                                       Receptionist/Telephonist II (A7736)</t>
  </si>
  <si>
    <t>Secretary II (A5007)</t>
  </si>
  <si>
    <t xml:space="preserve">114 - 134 </t>
  </si>
  <si>
    <t>Accounts Clerk II (F1038)</t>
  </si>
  <si>
    <t>Production/Process Operator IV (P4212)</t>
  </si>
  <si>
    <t>General Clerk II (A1090)                                       Chauffeur II (A5011)</t>
  </si>
  <si>
    <t>Secretary I (A5008)</t>
  </si>
  <si>
    <t>98 - 113</t>
  </si>
  <si>
    <t>Data Entry Operator II
(i9002)</t>
  </si>
  <si>
    <t>Stock Clerk (J7752)</t>
  </si>
  <si>
    <t>Production/Process Operator III (P4216)</t>
  </si>
  <si>
    <t>General Clerk I (A1091)                                       Receptionist/
Switchboard
 Operator (A7057)                                                   Chauffeur I (A5012)</t>
  </si>
  <si>
    <t>85 - 97</t>
  </si>
  <si>
    <t>Forklift Operator (J7756)</t>
  </si>
  <si>
    <t>P5</t>
  </si>
  <si>
    <t>P6</t>
  </si>
  <si>
    <t>A8</t>
  </si>
  <si>
    <t>A9</t>
  </si>
  <si>
    <t>Minimal</t>
  </si>
  <si>
    <t>Limited</t>
  </si>
  <si>
    <t>Important</t>
  </si>
  <si>
    <t>Critical</t>
  </si>
  <si>
    <t>Remote</t>
  </si>
  <si>
    <t>Prime</t>
  </si>
  <si>
    <t>Shared</t>
  </si>
  <si>
    <t>Contribut.</t>
  </si>
  <si>
    <t>N-</t>
  </si>
  <si>
    <t>N+</t>
  </si>
  <si>
    <t>≡≡≡</t>
  </si>
  <si>
    <t>Company name :</t>
  </si>
  <si>
    <t>December 2013</t>
  </si>
  <si>
    <t>Samruk - Kazyna</t>
  </si>
  <si>
    <t>Ответственность</t>
  </si>
  <si>
    <t>Решение вопросов</t>
  </si>
  <si>
    <t>Знания и Умения</t>
  </si>
  <si>
    <t>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</si>
</sst>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_-;\-* #,##0_-;_-* &quot;-&quot;_-;_-@_-"/>
    <numFmt numFmtId="165" formatCode="#,##0\ &quot;F&quot;;[Red]\-#,##0\ &quot;F&quot;"/>
    <numFmt numFmtId="166" formatCode="#,##0.00\ &quot;F&quot;;[Red]\-#,##0.00\ &quot;F&quot;"/>
    <numFmt numFmtId="167" formatCode="\+0;\-0;&quot;=&quot;"/>
    <numFmt numFmtId="168" formatCode="\(0\)"/>
    <numFmt numFmtId="169" formatCode="#,##0_.;\-#,##0_.;"/>
    <numFmt numFmtId="170" formatCode="General_)"/>
    <numFmt numFmtId="171" formatCode="00000"/>
  </numFmts>
  <fonts count="89">
    <font>
      <sz val="10"/>
      <name val="Arial Narrow"/>
      <family val="2"/>
    </font>
    <font>
      <sz val="10"/>
      <name val="MS Sans Serif"/>
      <family val="2"/>
      <charset val="204"/>
    </font>
    <font>
      <sz val="10"/>
      <name val="Courier New"/>
      <family val="3"/>
      <charset val="204"/>
    </font>
    <font>
      <sz val="10"/>
      <name val="Arial Narrow"/>
      <family val="2"/>
    </font>
    <font>
      <b/>
      <sz val="10"/>
      <name val="Arial Narrow"/>
      <family val="2"/>
    </font>
    <font>
      <sz val="10"/>
      <name val="Courier New"/>
      <family val="3"/>
    </font>
    <font>
      <b/>
      <i/>
      <sz val="22"/>
      <color indexed="12"/>
      <name val="Times New Roman"/>
      <family val="1"/>
    </font>
    <font>
      <sz val="10"/>
      <color indexed="10"/>
      <name val="Courier New"/>
      <family val="3"/>
      <charset val="204"/>
    </font>
    <font>
      <sz val="10"/>
      <color indexed="48"/>
      <name val="Courier New"/>
      <family val="3"/>
      <charset val="204"/>
    </font>
    <font>
      <sz val="8"/>
      <color indexed="10"/>
      <name val="Courier New"/>
      <family val="3"/>
      <charset val="204"/>
    </font>
    <font>
      <b/>
      <sz val="10"/>
      <name val="Arial Narrow"/>
      <family val="2"/>
      <charset val="204"/>
    </font>
    <font>
      <sz val="9"/>
      <color indexed="10"/>
      <name val="Arial"/>
      <family val="2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  <charset val="204"/>
    </font>
    <font>
      <b/>
      <sz val="10"/>
      <color indexed="10"/>
      <name val="Arial Narrow"/>
      <family val="2"/>
      <charset val="204"/>
    </font>
    <font>
      <b/>
      <sz val="10"/>
      <name val="Courier New"/>
      <family val="3"/>
    </font>
    <font>
      <b/>
      <sz val="8"/>
      <color indexed="56"/>
      <name val="Tahoma"/>
      <family val="2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sz val="10"/>
      <color indexed="9"/>
      <name val="Arial Narrow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0"/>
      <color indexed="10"/>
      <name val="Tahoma"/>
      <family val="2"/>
    </font>
    <font>
      <u/>
      <sz val="10"/>
      <color indexed="12"/>
      <name val="Arial Narrow"/>
      <family val="2"/>
    </font>
    <font>
      <sz val="10"/>
      <color indexed="10"/>
      <name val="Arial Narrow"/>
      <family val="2"/>
      <charset val="204"/>
    </font>
    <font>
      <b/>
      <sz val="22"/>
      <color indexed="12"/>
      <name val="Times New Roman"/>
      <family val="1"/>
    </font>
    <font>
      <sz val="10"/>
      <name val="LetterVal"/>
    </font>
    <font>
      <sz val="10"/>
      <color indexed="12"/>
      <name val="Arial Narrow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 Narrow"/>
      <family val="2"/>
      <charset val="204"/>
    </font>
    <font>
      <b/>
      <sz val="8"/>
      <name val="Arial Narrow"/>
      <family val="2"/>
      <charset val="204"/>
    </font>
    <font>
      <sz val="10"/>
      <color indexed="18"/>
      <name val="Arial"/>
      <family val="2"/>
    </font>
    <font>
      <sz val="8"/>
      <color indexed="10"/>
      <name val="Arial"/>
      <family val="2"/>
    </font>
    <font>
      <b/>
      <sz val="8"/>
      <color indexed="81"/>
      <name val="Arial"/>
      <family val="2"/>
    </font>
    <font>
      <sz val="8"/>
      <color indexed="81"/>
      <name val="Arial"/>
      <family val="2"/>
    </font>
    <font>
      <sz val="8"/>
      <color indexed="55"/>
      <name val="Arial"/>
      <family val="2"/>
    </font>
    <font>
      <b/>
      <sz val="8"/>
      <color indexed="56"/>
      <name val="Arial"/>
      <family val="2"/>
    </font>
    <font>
      <b/>
      <sz val="8"/>
      <color indexed="8"/>
      <name val="Arial"/>
      <family val="2"/>
    </font>
    <font>
      <b/>
      <sz val="9"/>
      <color indexed="10"/>
      <name val="Times New Roman"/>
      <family val="1"/>
    </font>
    <font>
      <b/>
      <sz val="9"/>
      <color indexed="18"/>
      <name val="Times New Roman"/>
      <family val="1"/>
    </font>
    <font>
      <b/>
      <sz val="10"/>
      <color indexed="18"/>
      <name val="Courier New"/>
      <family val="3"/>
      <charset val="204"/>
    </font>
    <font>
      <b/>
      <sz val="10"/>
      <color indexed="1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b/>
      <sz val="22"/>
      <color indexed="18"/>
      <name val="Arial"/>
      <family val="2"/>
    </font>
    <font>
      <b/>
      <sz val="22"/>
      <color indexed="9"/>
      <name val="Arial"/>
      <family val="2"/>
    </font>
    <font>
      <sz val="10"/>
      <color indexed="18"/>
      <name val="Arial Narrow"/>
      <family val="2"/>
      <charset val="204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b/>
      <sz val="12"/>
      <color indexed="10"/>
      <name val="Arial"/>
      <family val="2"/>
    </font>
    <font>
      <b/>
      <sz val="12"/>
      <color indexed="56"/>
      <name val="Arial"/>
      <family val="2"/>
    </font>
    <font>
      <b/>
      <sz val="10"/>
      <color indexed="9"/>
      <name val="Arial Narrow"/>
      <family val="2"/>
    </font>
    <font>
      <b/>
      <sz val="9"/>
      <color indexed="9"/>
      <name val="Arial"/>
      <family val="2"/>
    </font>
    <font>
      <b/>
      <sz val="10"/>
      <color indexed="9"/>
      <name val="Arial Narrow"/>
      <family val="2"/>
      <charset val="204"/>
    </font>
    <font>
      <sz val="10"/>
      <color indexed="47"/>
      <name val="Courier New"/>
      <family val="3"/>
    </font>
    <font>
      <b/>
      <sz val="10"/>
      <color indexed="47"/>
      <name val="Courier New"/>
      <family val="3"/>
    </font>
    <font>
      <b/>
      <sz val="10"/>
      <color indexed="47"/>
      <name val="Arial"/>
      <family val="2"/>
    </font>
    <font>
      <sz val="10"/>
      <color indexed="47"/>
      <name val="Courier New"/>
      <family val="3"/>
      <charset val="204"/>
    </font>
    <font>
      <sz val="8"/>
      <color indexed="47"/>
      <name val="Courier New"/>
      <family val="3"/>
      <charset val="204"/>
    </font>
    <font>
      <sz val="10"/>
      <color indexed="47"/>
      <name val="Arial Narrow"/>
      <family val="2"/>
      <charset val="204"/>
    </font>
    <font>
      <sz val="10"/>
      <color indexed="47"/>
      <name val="Arial Narrow"/>
      <family val="2"/>
    </font>
    <font>
      <sz val="10"/>
      <color indexed="47"/>
      <name val="Arial"/>
      <family val="2"/>
    </font>
    <font>
      <b/>
      <sz val="10"/>
      <color indexed="47"/>
      <name val="Courier New"/>
      <family val="3"/>
      <charset val="204"/>
    </font>
    <font>
      <b/>
      <sz val="6"/>
      <name val="Times New Roman"/>
      <family val="1"/>
    </font>
    <font>
      <sz val="6"/>
      <name val="Times New Roman"/>
      <family val="1"/>
    </font>
    <font>
      <sz val="6"/>
      <color indexed="10"/>
      <name val="Times New Roman"/>
      <family val="1"/>
    </font>
    <font>
      <sz val="6"/>
      <color indexed="17"/>
      <name val="Times New Roman"/>
      <family val="1"/>
    </font>
    <font>
      <sz val="8"/>
      <name val="Arial Narrow"/>
      <family val="2"/>
    </font>
    <font>
      <sz val="6"/>
      <color indexed="47"/>
      <name val="Arial Narrow"/>
      <family val="2"/>
      <charset val="204"/>
    </font>
    <font>
      <sz val="6"/>
      <name val="Arial Narrow"/>
      <family val="2"/>
    </font>
    <font>
      <sz val="6"/>
      <color indexed="10"/>
      <name val="Courier New"/>
      <family val="3"/>
      <charset val="204"/>
    </font>
    <font>
      <sz val="6"/>
      <name val="Arial Narrow"/>
      <family val="2"/>
      <charset val="204"/>
    </font>
    <font>
      <sz val="6"/>
      <color indexed="48"/>
      <name val="Courier New"/>
      <family val="3"/>
      <charset val="204"/>
    </font>
    <font>
      <sz val="6"/>
      <color indexed="8"/>
      <name val="Arial Narrow"/>
      <family val="2"/>
    </font>
    <font>
      <b/>
      <i/>
      <sz val="8"/>
      <color indexed="8"/>
      <name val="Arial"/>
      <family val="2"/>
    </font>
    <font>
      <sz val="10"/>
      <name val="Times New Roman"/>
      <family val="1"/>
    </font>
    <font>
      <b/>
      <u/>
      <sz val="9"/>
      <color indexed="47"/>
      <name val="Arial"/>
      <family val="2"/>
    </font>
    <font>
      <b/>
      <sz val="9"/>
      <color indexed="8"/>
      <name val="Arial"/>
      <family val="2"/>
    </font>
    <font>
      <sz val="9"/>
      <name val="Courier New"/>
      <family val="3"/>
      <charset val="204"/>
    </font>
    <font>
      <b/>
      <sz val="8"/>
      <color rgb="FF000000"/>
      <name val="Arial"/>
      <family val="2"/>
      <charset val="204"/>
    </font>
    <font>
      <sz val="10"/>
      <color rgb="FF000000"/>
      <name val="Arial Narrow"/>
      <family val="2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8"/>
      <color indexed="10"/>
      <name val="Arial Narrow"/>
      <family val="2"/>
      <charset val="204"/>
    </font>
    <font>
      <b/>
      <sz val="8"/>
      <color indexed="18"/>
      <name val="Arial Narrow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</fills>
  <borders count="6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thin">
        <color indexed="9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dotted">
        <color indexed="9"/>
      </right>
      <top/>
      <bottom/>
      <diagonal/>
    </border>
    <border>
      <left style="dotted">
        <color indexed="9"/>
      </left>
      <right style="dotted">
        <color indexed="9"/>
      </right>
      <top/>
      <bottom/>
      <diagonal/>
    </border>
    <border>
      <left style="dotted">
        <color indexed="9"/>
      </left>
      <right style="thin">
        <color indexed="8"/>
      </right>
      <top/>
      <bottom/>
      <diagonal/>
    </border>
    <border>
      <left/>
      <right style="dotted">
        <color indexed="9"/>
      </right>
      <top/>
      <bottom/>
      <diagonal/>
    </border>
    <border>
      <left/>
      <right/>
      <top style="hair">
        <color indexed="64"/>
      </top>
      <bottom/>
      <diagonal/>
    </border>
    <border>
      <left style="dotted">
        <color indexed="9"/>
      </left>
      <right/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 style="medium">
        <color indexed="64"/>
      </top>
      <bottom/>
      <diagonal/>
    </border>
    <border>
      <left style="medium">
        <color indexed="9"/>
      </left>
      <right/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8"/>
      </left>
      <right style="hair">
        <color indexed="64"/>
      </right>
      <top/>
      <bottom/>
      <diagonal/>
    </border>
  </borders>
  <cellStyleXfs count="8">
    <xf numFmtId="0" fontId="0" fillId="0" borderId="0"/>
    <xf numFmtId="38" fontId="1" fillId="0" borderId="0" applyFont="0" applyFill="0" applyBorder="0" applyAlignment="0" applyProtection="0"/>
    <xf numFmtId="4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9" fontId="3" fillId="2" borderId="0" applyBorder="0"/>
    <xf numFmtId="0" fontId="26" fillId="0" borderId="0" applyNumberFormat="0" applyFill="0" applyBorder="0" applyAlignment="0" applyProtection="0">
      <alignment vertical="top"/>
      <protection locked="0"/>
    </xf>
    <xf numFmtId="0" fontId="85" fillId="0" borderId="0"/>
  </cellStyleXfs>
  <cellXfs count="27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/>
    <xf numFmtId="0" fontId="0" fillId="0" borderId="1" xfId="0" applyBorder="1" applyAlignment="1">
      <alignment horizontal="left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left"/>
    </xf>
    <xf numFmtId="0" fontId="0" fillId="0" borderId="10" xfId="0" quotePrefix="1" applyBorder="1" applyAlignment="1">
      <alignment horizontal="left"/>
    </xf>
    <xf numFmtId="0" fontId="0" fillId="0" borderId="3" xfId="0" applyBorder="1"/>
    <xf numFmtId="0" fontId="0" fillId="0" borderId="11" xfId="0" quotePrefix="1" applyBorder="1" applyAlignment="1">
      <alignment horizontal="left"/>
    </xf>
    <xf numFmtId="0" fontId="0" fillId="0" borderId="7" xfId="0" applyBorder="1" applyAlignment="1"/>
    <xf numFmtId="0" fontId="0" fillId="0" borderId="8" xfId="0" applyBorder="1" applyAlignment="1">
      <alignment horizontal="left"/>
    </xf>
    <xf numFmtId="0" fontId="0" fillId="0" borderId="0" xfId="0" applyFill="1" applyBorder="1"/>
    <xf numFmtId="167" fontId="0" fillId="0" borderId="1" xfId="0" applyNumberFormat="1" applyBorder="1"/>
    <xf numFmtId="0" fontId="0" fillId="0" borderId="12" xfId="0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2" fillId="0" borderId="0" xfId="0" applyNumberFormat="1" applyFont="1" applyFill="1" applyBorder="1"/>
    <xf numFmtId="0" fontId="4" fillId="0" borderId="1" xfId="0" applyFont="1" applyBorder="1"/>
    <xf numFmtId="0" fontId="5" fillId="0" borderId="0" xfId="0" applyFont="1" applyAlignment="1">
      <alignment horizontal="right"/>
    </xf>
    <xf numFmtId="170" fontId="0" fillId="0" borderId="0" xfId="0" applyNumberFormat="1" applyProtection="1"/>
    <xf numFmtId="170" fontId="0" fillId="0" borderId="0" xfId="0" applyNumberFormat="1" applyAlignment="1" applyProtection="1">
      <alignment horizontal="left"/>
    </xf>
    <xf numFmtId="0" fontId="0" fillId="0" borderId="13" xfId="0" applyBorder="1"/>
    <xf numFmtId="0" fontId="5" fillId="0" borderId="14" xfId="0" applyFont="1" applyBorder="1" applyAlignment="1">
      <alignment horizontal="right"/>
    </xf>
    <xf numFmtId="0" fontId="0" fillId="0" borderId="15" xfId="0" applyBorder="1"/>
    <xf numFmtId="0" fontId="5" fillId="0" borderId="16" xfId="0" applyFont="1" applyBorder="1" applyAlignment="1">
      <alignment horizontal="right"/>
    </xf>
    <xf numFmtId="0" fontId="0" fillId="0" borderId="17" xfId="0" applyBorder="1"/>
    <xf numFmtId="0" fontId="5" fillId="0" borderId="18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9" xfId="0" quotePrefix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/>
    <xf numFmtId="0" fontId="0" fillId="0" borderId="12" xfId="0" applyBorder="1" applyAlignment="1"/>
    <xf numFmtId="0" fontId="0" fillId="0" borderId="12" xfId="0" applyBorder="1"/>
    <xf numFmtId="0" fontId="5" fillId="0" borderId="12" xfId="0" applyFont="1" applyBorder="1" applyAlignment="1">
      <alignment horizontal="right"/>
    </xf>
    <xf numFmtId="164" fontId="0" fillId="0" borderId="0" xfId="0" applyNumberFormat="1" applyAlignment="1">
      <alignment horizontal="center"/>
    </xf>
    <xf numFmtId="0" fontId="0" fillId="0" borderId="19" xfId="0" applyBorder="1"/>
    <xf numFmtId="0" fontId="0" fillId="0" borderId="19" xfId="0" applyBorder="1" applyAlignment="1">
      <alignment horizontal="left"/>
    </xf>
    <xf numFmtId="0" fontId="5" fillId="0" borderId="19" xfId="0" applyFont="1" applyBorder="1" applyAlignment="1">
      <alignment horizontal="right"/>
    </xf>
    <xf numFmtId="0" fontId="0" fillId="0" borderId="20" xfId="0" applyBorder="1"/>
    <xf numFmtId="0" fontId="4" fillId="0" borderId="3" xfId="0" applyFont="1" applyBorder="1"/>
    <xf numFmtId="0" fontId="4" fillId="0" borderId="0" xfId="0" applyFont="1"/>
    <xf numFmtId="0" fontId="10" fillId="0" borderId="1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49" fontId="0" fillId="0" borderId="0" xfId="0" applyNumberFormat="1"/>
    <xf numFmtId="0" fontId="0" fillId="0" borderId="0" xfId="0" applyNumberFormat="1"/>
    <xf numFmtId="0" fontId="0" fillId="0" borderId="0" xfId="0" quotePrefix="1" applyNumberFormat="1"/>
    <xf numFmtId="0" fontId="0" fillId="0" borderId="0" xfId="0" applyProtection="1">
      <protection hidden="1"/>
    </xf>
    <xf numFmtId="0" fontId="3" fillId="0" borderId="0" xfId="0" applyFont="1" applyAlignment="1">
      <alignment horizontal="left"/>
    </xf>
    <xf numFmtId="0" fontId="3" fillId="0" borderId="19" xfId="0" applyFont="1" applyBorder="1" applyAlignment="1">
      <alignment horizontal="left"/>
    </xf>
    <xf numFmtId="0" fontId="29" fillId="0" borderId="0" xfId="0" applyFont="1" applyAlignment="1">
      <alignment horizontal="left"/>
    </xf>
    <xf numFmtId="0" fontId="29" fillId="0" borderId="19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3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1" fillId="0" borderId="0" xfId="0" applyFont="1" applyFill="1" applyBorder="1"/>
    <xf numFmtId="0" fontId="31" fillId="0" borderId="1" xfId="0" applyFont="1" applyFill="1" applyBorder="1"/>
    <xf numFmtId="0" fontId="0" fillId="0" borderId="0" xfId="0" applyBorder="1" applyProtection="1">
      <protection hidden="1"/>
    </xf>
    <xf numFmtId="0" fontId="20" fillId="0" borderId="22" xfId="0" applyNumberFormat="1" applyFont="1" applyFill="1" applyBorder="1" applyAlignment="1">
      <alignment horizontal="left" vertical="center"/>
    </xf>
    <xf numFmtId="0" fontId="0" fillId="4" borderId="0" xfId="0" applyFill="1" applyBorder="1" applyProtection="1">
      <protection hidden="1"/>
    </xf>
    <xf numFmtId="0" fontId="56" fillId="5" borderId="23" xfId="0" applyFont="1" applyFill="1" applyBorder="1" applyAlignment="1">
      <alignment horizontal="center"/>
    </xf>
    <xf numFmtId="0" fontId="56" fillId="5" borderId="24" xfId="0" applyFont="1" applyFill="1" applyBorder="1" applyAlignment="1">
      <alignment horizontal="center"/>
    </xf>
    <xf numFmtId="0" fontId="56" fillId="5" borderId="25" xfId="0" applyFont="1" applyFill="1" applyBorder="1" applyAlignment="1">
      <alignment horizontal="center"/>
    </xf>
    <xf numFmtId="0" fontId="50" fillId="5" borderId="0" xfId="0" applyFont="1" applyFill="1" applyBorder="1"/>
    <xf numFmtId="0" fontId="6" fillId="5" borderId="0" xfId="0" applyFont="1" applyFill="1" applyBorder="1"/>
    <xf numFmtId="0" fontId="0" fillId="5" borderId="0" xfId="0" applyFill="1" applyBorder="1"/>
    <xf numFmtId="0" fontId="48" fillId="4" borderId="26" xfId="0" applyFont="1" applyFill="1" applyBorder="1" applyProtection="1">
      <protection hidden="1"/>
    </xf>
    <xf numFmtId="0" fontId="0" fillId="4" borderId="27" xfId="0" applyFill="1" applyBorder="1" applyProtection="1">
      <protection hidden="1"/>
    </xf>
    <xf numFmtId="0" fontId="27" fillId="4" borderId="27" xfId="0" applyFont="1" applyFill="1" applyBorder="1" applyProtection="1">
      <protection hidden="1"/>
    </xf>
    <xf numFmtId="0" fontId="49" fillId="4" borderId="27" xfId="0" applyFont="1" applyFill="1" applyBorder="1" applyAlignment="1" applyProtection="1">
      <alignment horizontal="center"/>
      <protection hidden="1"/>
    </xf>
    <xf numFmtId="0" fontId="28" fillId="4" borderId="27" xfId="0" applyFont="1" applyFill="1" applyBorder="1" applyAlignment="1" applyProtection="1">
      <alignment horizontal="center"/>
      <protection hidden="1"/>
    </xf>
    <xf numFmtId="0" fontId="33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33" fillId="4" borderId="13" xfId="0" applyFont="1" applyFill="1" applyBorder="1" applyProtection="1">
      <protection hidden="1"/>
    </xf>
    <xf numFmtId="0" fontId="33" fillId="4" borderId="0" xfId="0" applyFont="1" applyFill="1" applyBorder="1" applyProtection="1">
      <protection hidden="1"/>
    </xf>
    <xf numFmtId="0" fontId="34" fillId="4" borderId="0" xfId="0" applyFont="1" applyFill="1" applyBorder="1" applyProtection="1">
      <protection hidden="1"/>
    </xf>
    <xf numFmtId="0" fontId="0" fillId="4" borderId="13" xfId="0" applyFill="1" applyBorder="1" applyProtection="1">
      <protection hidden="1"/>
    </xf>
    <xf numFmtId="0" fontId="32" fillId="4" borderId="0" xfId="0" applyFont="1" applyFill="1" applyBorder="1" applyProtection="1">
      <protection hidden="1"/>
    </xf>
    <xf numFmtId="0" fontId="10" fillId="4" borderId="0" xfId="0" applyFont="1" applyFill="1" applyBorder="1" applyAlignment="1" applyProtection="1">
      <alignment horizontal="right"/>
      <protection hidden="1"/>
    </xf>
    <xf numFmtId="0" fontId="53" fillId="4" borderId="0" xfId="0" applyFont="1" applyFill="1" applyBorder="1" applyProtection="1">
      <protection hidden="1"/>
    </xf>
    <xf numFmtId="0" fontId="36" fillId="4" borderId="0" xfId="0" applyFont="1" applyFill="1" applyBorder="1" applyProtection="1">
      <protection hidden="1"/>
    </xf>
    <xf numFmtId="0" fontId="54" fillId="4" borderId="0" xfId="6" applyFont="1" applyFill="1" applyBorder="1" applyAlignment="1" applyProtection="1">
      <protection hidden="1"/>
    </xf>
    <xf numFmtId="0" fontId="0" fillId="4" borderId="15" xfId="0" applyFill="1" applyBorder="1" applyProtection="1">
      <protection hidden="1"/>
    </xf>
    <xf numFmtId="0" fontId="0" fillId="4" borderId="19" xfId="0" applyFill="1" applyBorder="1" applyProtection="1">
      <protection hidden="1"/>
    </xf>
    <xf numFmtId="49" fontId="0" fillId="6" borderId="28" xfId="0" applyNumberFormat="1" applyFill="1" applyBorder="1" applyAlignment="1" applyProtection="1">
      <alignment horizontal="left"/>
      <protection locked="0"/>
    </xf>
    <xf numFmtId="0" fontId="61" fillId="4" borderId="29" xfId="0" applyNumberFormat="1" applyFont="1" applyFill="1" applyBorder="1"/>
    <xf numFmtId="0" fontId="0" fillId="4" borderId="0" xfId="0" applyFill="1"/>
    <xf numFmtId="0" fontId="16" fillId="4" borderId="0" xfId="0" applyFont="1" applyFill="1" applyProtection="1">
      <protection locked="0"/>
    </xf>
    <xf numFmtId="0" fontId="0" fillId="4" borderId="0" xfId="0" applyFill="1" applyAlignment="1">
      <alignment horizontal="center"/>
    </xf>
    <xf numFmtId="0" fontId="22" fillId="4" borderId="0" xfId="0" applyFont="1" applyFill="1" applyProtection="1">
      <protection locked="0" hidden="1"/>
    </xf>
    <xf numFmtId="0" fontId="22" fillId="4" borderId="0" xfId="0" applyFont="1" applyFill="1"/>
    <xf numFmtId="0" fontId="22" fillId="4" borderId="0" xfId="0" applyFont="1" applyFill="1" applyAlignment="1">
      <alignment horizontal="center"/>
    </xf>
    <xf numFmtId="0" fontId="0" fillId="4" borderId="0" xfId="0" applyFill="1" applyBorder="1"/>
    <xf numFmtId="0" fontId="47" fillId="6" borderId="30" xfId="0" applyFont="1" applyFill="1" applyBorder="1" applyAlignment="1" applyProtection="1">
      <alignment horizontal="center"/>
    </xf>
    <xf numFmtId="1" fontId="47" fillId="6" borderId="11" xfId="0" applyNumberFormat="1" applyFont="1" applyFill="1" applyBorder="1" applyAlignment="1" applyProtection="1">
      <alignment horizontal="center"/>
    </xf>
    <xf numFmtId="1" fontId="47" fillId="6" borderId="31" xfId="0" applyNumberFormat="1" applyFont="1" applyFill="1" applyBorder="1" applyAlignment="1" applyProtection="1">
      <alignment horizontal="center"/>
    </xf>
    <xf numFmtId="0" fontId="46" fillId="6" borderId="32" xfId="0" applyFont="1" applyFill="1" applyBorder="1" applyAlignment="1" applyProtection="1">
      <alignment horizontal="center"/>
    </xf>
    <xf numFmtId="1" fontId="46" fillId="6" borderId="33" xfId="0" applyNumberFormat="1" applyFont="1" applyFill="1" applyBorder="1" applyAlignment="1" applyProtection="1">
      <alignment horizontal="center"/>
    </xf>
    <xf numFmtId="1" fontId="11" fillId="6" borderId="34" xfId="0" applyNumberFormat="1" applyFont="1" applyFill="1" applyBorder="1" applyAlignment="1" applyProtection="1">
      <alignment horizontal="center"/>
      <protection locked="0"/>
    </xf>
    <xf numFmtId="0" fontId="46" fillId="6" borderId="23" xfId="0" applyFont="1" applyFill="1" applyBorder="1" applyAlignment="1" applyProtection="1">
      <alignment horizontal="center"/>
    </xf>
    <xf numFmtId="1" fontId="46" fillId="6" borderId="24" xfId="0" applyNumberFormat="1" applyFont="1" applyFill="1" applyBorder="1" applyAlignment="1" applyProtection="1">
      <alignment horizontal="center"/>
    </xf>
    <xf numFmtId="1" fontId="11" fillId="6" borderId="25" xfId="0" applyNumberFormat="1" applyFont="1" applyFill="1" applyBorder="1" applyAlignment="1" applyProtection="1">
      <alignment horizontal="center"/>
      <protection locked="0"/>
    </xf>
    <xf numFmtId="0" fontId="47" fillId="6" borderId="30" xfId="0" applyFont="1" applyFill="1" applyBorder="1" applyAlignment="1" applyProtection="1">
      <alignment horizontal="center"/>
      <protection hidden="1"/>
    </xf>
    <xf numFmtId="0" fontId="46" fillId="6" borderId="11" xfId="0" applyFont="1" applyFill="1" applyBorder="1" applyAlignment="1" applyProtection="1">
      <alignment horizontal="center"/>
      <protection hidden="1"/>
    </xf>
    <xf numFmtId="0" fontId="11" fillId="6" borderId="31" xfId="0" applyFont="1" applyFill="1" applyBorder="1" applyAlignment="1" applyProtection="1">
      <alignment horizontal="center"/>
      <protection locked="0"/>
    </xf>
    <xf numFmtId="0" fontId="46" fillId="6" borderId="32" xfId="0" applyFont="1" applyFill="1" applyBorder="1" applyAlignment="1" applyProtection="1">
      <alignment horizontal="center"/>
      <protection hidden="1"/>
    </xf>
    <xf numFmtId="0" fontId="46" fillId="6" borderId="33" xfId="0" applyFont="1" applyFill="1" applyBorder="1" applyAlignment="1" applyProtection="1">
      <alignment horizontal="center"/>
      <protection hidden="1"/>
    </xf>
    <xf numFmtId="0" fontId="11" fillId="6" borderId="34" xfId="0" applyFont="1" applyFill="1" applyBorder="1" applyAlignment="1" applyProtection="1">
      <alignment horizontal="center"/>
      <protection locked="0"/>
    </xf>
    <xf numFmtId="0" fontId="46" fillId="6" borderId="23" xfId="0" applyFont="1" applyFill="1" applyBorder="1" applyAlignment="1" applyProtection="1">
      <alignment horizontal="center"/>
      <protection hidden="1"/>
    </xf>
    <xf numFmtId="0" fontId="46" fillId="6" borderId="24" xfId="0" applyFont="1" applyFill="1" applyBorder="1" applyAlignment="1" applyProtection="1">
      <alignment horizontal="center"/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64" fillId="4" borderId="0" xfId="0" applyFont="1" applyFill="1" applyProtection="1">
      <protection locked="0" hidden="1"/>
    </xf>
    <xf numFmtId="15" fontId="0" fillId="4" borderId="0" xfId="0" applyNumberFormat="1" applyFill="1" applyProtection="1">
      <protection hidden="1"/>
    </xf>
    <xf numFmtId="0" fontId="57" fillId="4" borderId="0" xfId="0" applyFont="1" applyFill="1" applyBorder="1" applyAlignment="1" applyProtection="1">
      <alignment horizontal="center"/>
      <protection hidden="1"/>
    </xf>
    <xf numFmtId="0" fontId="32" fillId="0" borderId="0" xfId="0" applyFont="1" applyFill="1" applyBorder="1"/>
    <xf numFmtId="0" fontId="51" fillId="0" borderId="0" xfId="0" applyFont="1" applyFill="1" applyBorder="1"/>
    <xf numFmtId="0" fontId="52" fillId="0" borderId="0" xfId="0" applyFont="1" applyFill="1" applyBorder="1"/>
    <xf numFmtId="0" fontId="51" fillId="0" borderId="0" xfId="0" applyFont="1" applyFill="1" applyBorder="1" applyAlignment="1">
      <alignment vertical="top"/>
    </xf>
    <xf numFmtId="0" fontId="67" fillId="7" borderId="33" xfId="0" applyFont="1" applyFill="1" applyBorder="1" applyAlignment="1">
      <alignment horizontal="center" vertical="center" wrapText="1"/>
    </xf>
    <xf numFmtId="0" fontId="67" fillId="0" borderId="33" xfId="0" applyFont="1" applyFill="1" applyBorder="1" applyAlignment="1">
      <alignment horizontal="center" vertical="center" wrapText="1"/>
    </xf>
    <xf numFmtId="0" fontId="68" fillId="0" borderId="33" xfId="0" applyFont="1" applyFill="1" applyBorder="1" applyAlignment="1">
      <alignment horizontal="center" vertical="center" wrapText="1"/>
    </xf>
    <xf numFmtId="0" fontId="68" fillId="0" borderId="33" xfId="0" applyFont="1" applyBorder="1" applyAlignment="1">
      <alignment horizontal="center" vertical="center" wrapText="1"/>
    </xf>
    <xf numFmtId="0" fontId="68" fillId="0" borderId="33" xfId="0" quotePrefix="1" applyFont="1" applyFill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31" fillId="0" borderId="13" xfId="0" applyFont="1" applyFill="1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left"/>
    </xf>
    <xf numFmtId="164" fontId="4" fillId="0" borderId="0" xfId="0" applyNumberFormat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15" fontId="0" fillId="6" borderId="28" xfId="0" applyNumberFormat="1" applyFill="1" applyBorder="1" applyAlignment="1" applyProtection="1">
      <alignment horizontal="left"/>
      <protection locked="0"/>
    </xf>
    <xf numFmtId="0" fontId="7" fillId="8" borderId="35" xfId="0" applyFont="1" applyFill="1" applyBorder="1"/>
    <xf numFmtId="0" fontId="7" fillId="8" borderId="0" xfId="0" applyFont="1" applyFill="1" applyBorder="1"/>
    <xf numFmtId="0" fontId="7" fillId="8" borderId="0" xfId="0" applyFont="1" applyFill="1" applyBorder="1" applyAlignment="1">
      <alignment horizontal="left"/>
    </xf>
    <xf numFmtId="0" fontId="82" fillId="8" borderId="35" xfId="0" applyNumberFormat="1" applyFont="1" applyFill="1" applyBorder="1" applyAlignment="1">
      <alignment horizontal="left" indent="1"/>
    </xf>
    <xf numFmtId="0" fontId="74" fillId="8" borderId="0" xfId="0" applyFont="1" applyFill="1" applyBorder="1" applyAlignment="1" applyProtection="1">
      <alignment horizontal="center"/>
    </xf>
    <xf numFmtId="0" fontId="44" fillId="8" borderId="0" xfId="0" applyFont="1" applyFill="1" applyBorder="1" applyAlignment="1" applyProtection="1">
      <alignment horizontal="left"/>
    </xf>
    <xf numFmtId="0" fontId="7" fillId="8" borderId="46" xfId="0" applyFont="1" applyFill="1" applyBorder="1" applyAlignment="1"/>
    <xf numFmtId="168" fontId="35" fillId="8" borderId="0" xfId="0" applyNumberFormat="1" applyFont="1" applyFill="1" applyBorder="1" applyAlignment="1" applyProtection="1">
      <alignment horizontal="center"/>
    </xf>
    <xf numFmtId="168" fontId="8" fillId="8" borderId="0" xfId="0" applyNumberFormat="1" applyFont="1" applyFill="1" applyBorder="1" applyAlignment="1" applyProtection="1">
      <alignment horizontal="center"/>
    </xf>
    <xf numFmtId="168" fontId="76" fillId="8" borderId="0" xfId="0" applyNumberFormat="1" applyFont="1" applyFill="1" applyBorder="1" applyAlignment="1" applyProtection="1">
      <alignment horizontal="center"/>
    </xf>
    <xf numFmtId="0" fontId="44" fillId="8" borderId="47" xfId="0" applyFont="1" applyFill="1" applyBorder="1" applyAlignment="1" applyProtection="1">
      <alignment horizontal="left"/>
    </xf>
    <xf numFmtId="0" fontId="74" fillId="8" borderId="0" xfId="0" applyFont="1" applyFill="1" applyBorder="1" applyAlignment="1">
      <alignment horizontal="center"/>
    </xf>
    <xf numFmtId="0" fontId="45" fillId="8" borderId="0" xfId="0" applyFont="1" applyFill="1" applyBorder="1" applyAlignment="1" applyProtection="1">
      <alignment horizontal="left"/>
    </xf>
    <xf numFmtId="0" fontId="44" fillId="8" borderId="35" xfId="0" applyFont="1" applyFill="1" applyBorder="1" applyProtection="1"/>
    <xf numFmtId="0" fontId="44" fillId="8" borderId="0" xfId="0" applyFont="1" applyFill="1" applyBorder="1" applyAlignment="1" applyProtection="1">
      <alignment horizontal="center"/>
    </xf>
    <xf numFmtId="0" fontId="44" fillId="8" borderId="48" xfId="0" applyNumberFormat="1" applyFont="1" applyFill="1" applyBorder="1" applyProtection="1"/>
    <xf numFmtId="0" fontId="44" fillId="8" borderId="47" xfId="0" applyNumberFormat="1" applyFont="1" applyFill="1" applyBorder="1" applyProtection="1"/>
    <xf numFmtId="0" fontId="44" fillId="8" borderId="46" xfId="0" applyNumberFormat="1" applyFont="1" applyFill="1" applyBorder="1" applyProtection="1"/>
    <xf numFmtId="0" fontId="9" fillId="8" borderId="35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32" fillId="0" borderId="6" xfId="0" applyFont="1" applyFill="1" applyBorder="1"/>
    <xf numFmtId="0" fontId="59" fillId="9" borderId="35" xfId="0" applyFont="1" applyFill="1" applyBorder="1"/>
    <xf numFmtId="0" fontId="60" fillId="9" borderId="35" xfId="0" applyFont="1" applyFill="1" applyBorder="1" applyAlignment="1" applyProtection="1">
      <alignment horizontal="center" vertical="center"/>
      <protection locked="0"/>
    </xf>
    <xf numFmtId="0" fontId="61" fillId="9" borderId="35" xfId="0" applyNumberFormat="1" applyFont="1" applyFill="1" applyBorder="1"/>
    <xf numFmtId="0" fontId="78" fillId="9" borderId="36" xfId="0" applyNumberFormat="1" applyFont="1" applyFill="1" applyBorder="1" applyAlignment="1">
      <alignment horizontal="left" vertical="top"/>
    </xf>
    <xf numFmtId="0" fontId="62" fillId="9" borderId="35" xfId="0" applyFont="1" applyFill="1" applyBorder="1" applyAlignment="1">
      <alignment wrapText="1"/>
    </xf>
    <xf numFmtId="0" fontId="58" fillId="9" borderId="0" xfId="0" applyNumberFormat="1" applyFont="1" applyFill="1" applyBorder="1"/>
    <xf numFmtId="0" fontId="59" fillId="9" borderId="37" xfId="0" applyFont="1" applyFill="1" applyBorder="1"/>
    <xf numFmtId="0" fontId="58" fillId="9" borderId="38" xfId="0" applyFont="1" applyFill="1" applyBorder="1" applyProtection="1">
      <protection locked="0"/>
    </xf>
    <xf numFmtId="171" fontId="72" fillId="9" borderId="0" xfId="0" applyNumberFormat="1" applyFont="1" applyFill="1" applyBorder="1" applyAlignment="1">
      <alignment horizontal="center"/>
    </xf>
    <xf numFmtId="1" fontId="64" fillId="9" borderId="39" xfId="0" applyNumberFormat="1" applyFont="1" applyFill="1" applyBorder="1" applyAlignment="1" applyProtection="1">
      <alignment horizontal="right"/>
      <protection hidden="1"/>
    </xf>
    <xf numFmtId="0" fontId="61" fillId="9" borderId="40" xfId="0" applyFont="1" applyFill="1" applyBorder="1" applyAlignment="1"/>
    <xf numFmtId="0" fontId="61" fillId="9" borderId="41" xfId="0" applyFont="1" applyFill="1" applyBorder="1" applyAlignment="1">
      <alignment horizontal="left"/>
    </xf>
    <xf numFmtId="168" fontId="65" fillId="9" borderId="41" xfId="0" applyNumberFormat="1" applyFont="1" applyFill="1" applyBorder="1" applyAlignment="1" applyProtection="1">
      <alignment horizontal="center"/>
      <protection hidden="1"/>
    </xf>
    <xf numFmtId="0" fontId="63" fillId="9" borderId="41" xfId="0" applyFont="1" applyFill="1" applyBorder="1" applyAlignment="1">
      <alignment horizontal="center"/>
    </xf>
    <xf numFmtId="0" fontId="72" fillId="9" borderId="41" xfId="0" applyNumberFormat="1" applyFont="1" applyFill="1" applyBorder="1" applyAlignment="1">
      <alignment horizontal="center"/>
    </xf>
    <xf numFmtId="0" fontId="66" fillId="9" borderId="42" xfId="0" applyFont="1" applyFill="1" applyBorder="1" applyAlignment="1" applyProtection="1">
      <alignment horizontal="left"/>
      <protection hidden="1"/>
    </xf>
    <xf numFmtId="0" fontId="61" fillId="9" borderId="0" xfId="0" applyFont="1" applyFill="1" applyBorder="1" applyAlignment="1">
      <alignment horizontal="left"/>
    </xf>
    <xf numFmtId="0" fontId="61" fillId="9" borderId="37" xfId="0" applyFont="1" applyFill="1" applyBorder="1" applyAlignment="1">
      <alignment horizontal="left"/>
    </xf>
    <xf numFmtId="0" fontId="61" fillId="9" borderId="43" xfId="0" applyFont="1" applyFill="1" applyBorder="1" applyAlignment="1">
      <alignment horizontal="left"/>
    </xf>
    <xf numFmtId="0" fontId="73" fillId="9" borderId="44" xfId="0" applyFont="1" applyFill="1" applyBorder="1" applyAlignment="1">
      <alignment horizontal="center"/>
    </xf>
    <xf numFmtId="0" fontId="60" fillId="9" borderId="45" xfId="0" applyFont="1" applyFill="1" applyBorder="1" applyAlignment="1" applyProtection="1">
      <alignment horizontal="left"/>
      <protection hidden="1"/>
    </xf>
    <xf numFmtId="0" fontId="59" fillId="9" borderId="35" xfId="0" applyFont="1" applyFill="1" applyBorder="1" applyProtection="1">
      <protection hidden="1"/>
    </xf>
    <xf numFmtId="0" fontId="59" fillId="9" borderId="0" xfId="0" applyFont="1" applyFill="1" applyBorder="1" applyAlignment="1" applyProtection="1">
      <alignment horizontal="center"/>
      <protection hidden="1"/>
    </xf>
    <xf numFmtId="0" fontId="59" fillId="9" borderId="46" xfId="0" applyNumberFormat="1" applyFont="1" applyFill="1" applyBorder="1" applyProtection="1">
      <protection hidden="1"/>
    </xf>
    <xf numFmtId="0" fontId="59" fillId="9" borderId="39" xfId="0" applyNumberFormat="1" applyFont="1" applyFill="1" applyBorder="1" applyProtection="1">
      <protection hidden="1"/>
    </xf>
    <xf numFmtId="0" fontId="80" fillId="9" borderId="35" xfId="0" applyNumberFormat="1" applyFont="1" applyFill="1" applyBorder="1" applyAlignment="1">
      <alignment horizontal="left" vertical="top" wrapText="1"/>
    </xf>
    <xf numFmtId="0" fontId="4" fillId="0" borderId="53" xfId="0" applyFont="1" applyBorder="1" applyAlignment="1"/>
    <xf numFmtId="0" fontId="4" fillId="0" borderId="54" xfId="0" applyFont="1" applyBorder="1" applyAlignment="1">
      <alignment horizontal="left"/>
    </xf>
    <xf numFmtId="0" fontId="4" fillId="0" borderId="53" xfId="0" applyFont="1" applyBorder="1"/>
    <xf numFmtId="0" fontId="4" fillId="0" borderId="22" xfId="0" applyFont="1" applyBorder="1"/>
    <xf numFmtId="0" fontId="4" fillId="3" borderId="55" xfId="0" applyFont="1" applyFill="1" applyBorder="1" applyAlignment="1">
      <alignment horizontal="left"/>
    </xf>
    <xf numFmtId="0" fontId="4" fillId="0" borderId="17" xfId="0" applyFont="1" applyBorder="1"/>
    <xf numFmtId="0" fontId="17" fillId="0" borderId="18" xfId="0" applyFont="1" applyBorder="1" applyAlignment="1">
      <alignment horizontal="right"/>
    </xf>
    <xf numFmtId="0" fontId="32" fillId="0" borderId="0" xfId="0" applyFont="1" applyFill="1" applyBorder="1" applyAlignment="1">
      <alignment vertical="top" wrapText="1"/>
    </xf>
    <xf numFmtId="0" fontId="31" fillId="0" borderId="0" xfId="0" applyFont="1" applyFill="1" applyBorder="1" applyAlignment="1">
      <alignment vertical="top" wrapText="1"/>
    </xf>
    <xf numFmtId="0" fontId="41" fillId="8" borderId="56" xfId="0" applyFont="1" applyFill="1" applyBorder="1" applyAlignment="1">
      <alignment horizontal="left" vertical="center"/>
    </xf>
    <xf numFmtId="0" fontId="41" fillId="8" borderId="56" xfId="0" applyFont="1" applyFill="1" applyBorder="1" applyAlignment="1" applyProtection="1">
      <alignment horizontal="left" vertical="center"/>
      <protection locked="0"/>
    </xf>
    <xf numFmtId="0" fontId="41" fillId="8" borderId="56" xfId="0" applyFont="1" applyFill="1" applyBorder="1" applyAlignment="1" applyProtection="1">
      <alignment horizontal="left" vertical="center" wrapText="1"/>
      <protection locked="0"/>
    </xf>
    <xf numFmtId="0" fontId="41" fillId="8" borderId="57" xfId="0" applyFont="1" applyFill="1" applyBorder="1" applyAlignment="1">
      <alignment horizontal="left" vertical="center"/>
    </xf>
    <xf numFmtId="0" fontId="19" fillId="8" borderId="58" xfId="0" applyFont="1" applyFill="1" applyBorder="1" applyAlignment="1">
      <alignment horizontal="left" vertical="center"/>
    </xf>
    <xf numFmtId="0" fontId="19" fillId="8" borderId="59" xfId="0" applyFont="1" applyFill="1" applyBorder="1" applyAlignment="1">
      <alignment horizontal="left" vertical="center"/>
    </xf>
    <xf numFmtId="0" fontId="77" fillId="8" borderId="60" xfId="0" applyNumberFormat="1" applyFont="1" applyFill="1" applyBorder="1" applyAlignment="1">
      <alignment horizontal="center"/>
    </xf>
    <xf numFmtId="0" fontId="43" fillId="8" borderId="61" xfId="0" applyFont="1" applyFill="1" applyBorder="1" applyAlignment="1">
      <alignment horizontal="left" vertical="center"/>
    </xf>
    <xf numFmtId="0" fontId="41" fillId="8" borderId="62" xfId="0" applyFont="1" applyFill="1" applyBorder="1" applyAlignment="1">
      <alignment vertical="center"/>
    </xf>
    <xf numFmtId="0" fontId="42" fillId="8" borderId="26" xfId="0" applyFont="1" applyFill="1" applyBorder="1" applyAlignment="1">
      <alignment horizontal="left" vertical="center"/>
    </xf>
    <xf numFmtId="168" fontId="21" fillId="8" borderId="44" xfId="0" applyNumberFormat="1" applyFont="1" applyFill="1" applyBorder="1" applyAlignment="1" applyProtection="1">
      <alignment horizontal="left"/>
      <protection locked="0" hidden="1"/>
    </xf>
    <xf numFmtId="0" fontId="19" fillId="8" borderId="27" xfId="0" applyFont="1" applyFill="1" applyBorder="1" applyAlignment="1">
      <alignment horizontal="center" vertical="center"/>
    </xf>
    <xf numFmtId="0" fontId="75" fillId="8" borderId="27" xfId="0" applyNumberFormat="1" applyFont="1" applyFill="1" applyBorder="1" applyAlignment="1" applyProtection="1">
      <alignment horizontal="center"/>
      <protection hidden="1"/>
    </xf>
    <xf numFmtId="0" fontId="43" fillId="8" borderId="63" xfId="0" applyFont="1" applyFill="1" applyBorder="1" applyAlignment="1">
      <alignment horizontal="left" vertical="center"/>
    </xf>
    <xf numFmtId="0" fontId="41" fillId="8" borderId="27" xfId="0" applyFont="1" applyFill="1" applyBorder="1" applyAlignment="1">
      <alignment horizontal="left" vertical="center"/>
    </xf>
    <xf numFmtId="0" fontId="19" fillId="8" borderId="27" xfId="0" applyFont="1" applyFill="1" applyBorder="1" applyAlignment="1">
      <alignment horizontal="left" vertical="center"/>
    </xf>
    <xf numFmtId="0" fontId="73" fillId="8" borderId="27" xfId="0" applyFont="1" applyFill="1" applyBorder="1" applyAlignment="1">
      <alignment horizontal="center"/>
    </xf>
    <xf numFmtId="0" fontId="46" fillId="8" borderId="27" xfId="0" applyFont="1" applyFill="1" applyBorder="1" applyAlignment="1" applyProtection="1">
      <alignment horizontal="left" vertical="center"/>
    </xf>
    <xf numFmtId="0" fontId="32" fillId="8" borderId="56" xfId="0" applyFont="1" applyFill="1" applyBorder="1" applyAlignment="1" applyProtection="1">
      <alignment horizontal="left" vertical="center"/>
    </xf>
    <xf numFmtId="0" fontId="32" fillId="8" borderId="27" xfId="0" applyFont="1" applyFill="1" applyBorder="1" applyAlignment="1">
      <alignment horizontal="left" vertical="center"/>
    </xf>
    <xf numFmtId="0" fontId="32" fillId="8" borderId="62" xfId="0" applyFont="1" applyFill="1" applyBorder="1" applyAlignment="1">
      <alignment horizontal="left" vertical="center"/>
    </xf>
    <xf numFmtId="0" fontId="43" fillId="8" borderId="64" xfId="0" applyFont="1" applyFill="1" applyBorder="1" applyAlignment="1">
      <alignment horizontal="left" vertical="center"/>
    </xf>
    <xf numFmtId="0" fontId="81" fillId="8" borderId="56" xfId="0" applyNumberFormat="1" applyFont="1" applyFill="1" applyBorder="1" applyAlignment="1">
      <alignment horizontal="left" vertical="center"/>
    </xf>
    <xf numFmtId="167" fontId="33" fillId="8" borderId="33" xfId="0" applyNumberFormat="1" applyFont="1" applyFill="1" applyBorder="1" applyAlignment="1" applyProtection="1">
      <alignment horizontal="left" vertical="center"/>
      <protection hidden="1"/>
    </xf>
    <xf numFmtId="0" fontId="41" fillId="8" borderId="56" xfId="0" applyFont="1" applyFill="1" applyBorder="1" applyAlignment="1">
      <alignment horizontal="center" vertical="center"/>
    </xf>
    <xf numFmtId="0" fontId="58" fillId="9" borderId="35" xfId="0" applyNumberFormat="1" applyFont="1" applyFill="1" applyBorder="1" applyAlignment="1" applyProtection="1">
      <alignment horizontal="center" vertical="center"/>
      <protection locked="0"/>
    </xf>
    <xf numFmtId="0" fontId="7" fillId="8" borderId="35" xfId="0" applyFont="1" applyFill="1" applyBorder="1" applyAlignment="1">
      <alignment horizontal="center" vertical="center"/>
    </xf>
    <xf numFmtId="0" fontId="7" fillId="8" borderId="66" xfId="0" applyFont="1" applyFill="1" applyBorder="1" applyAlignment="1"/>
    <xf numFmtId="0" fontId="7" fillId="8" borderId="65" xfId="0" applyFont="1" applyFill="1" applyBorder="1"/>
    <xf numFmtId="0" fontId="87" fillId="8" borderId="33" xfId="0" applyFont="1" applyFill="1" applyBorder="1" applyAlignment="1">
      <alignment horizontal="center" vertical="center"/>
    </xf>
    <xf numFmtId="0" fontId="87" fillId="8" borderId="33" xfId="0" applyFont="1" applyFill="1" applyBorder="1"/>
    <xf numFmtId="0" fontId="87" fillId="8" borderId="33" xfId="0" applyFont="1" applyFill="1" applyBorder="1" applyAlignment="1" applyProtection="1">
      <alignment vertical="center" wrapText="1"/>
      <protection locked="0"/>
    </xf>
    <xf numFmtId="0" fontId="33" fillId="8" borderId="33" xfId="0" applyFont="1" applyFill="1" applyBorder="1" applyAlignment="1">
      <alignment horizontal="center" vertical="center"/>
    </xf>
    <xf numFmtId="0" fontId="88" fillId="8" borderId="33" xfId="0" applyNumberFormat="1" applyFont="1" applyFill="1" applyBorder="1" applyProtection="1"/>
    <xf numFmtId="0" fontId="33" fillId="8" borderId="33" xfId="0" applyNumberFormat="1" applyFont="1" applyFill="1" applyBorder="1" applyAlignment="1">
      <alignment horizontal="left" indent="1"/>
    </xf>
    <xf numFmtId="0" fontId="87" fillId="8" borderId="33" xfId="0" applyFont="1" applyFill="1" applyBorder="1" applyAlignment="1">
      <alignment vertical="center" wrapText="1"/>
    </xf>
    <xf numFmtId="0" fontId="87" fillId="8" borderId="33" xfId="0" applyFont="1" applyFill="1" applyBorder="1" applyAlignment="1">
      <alignment vertical="center"/>
    </xf>
    <xf numFmtId="1" fontId="33" fillId="8" borderId="33" xfId="0" applyNumberFormat="1" applyFont="1" applyFill="1" applyBorder="1" applyAlignment="1" applyProtection="1">
      <alignment horizontal="left" vertical="center"/>
      <protection locked="0" hidden="1"/>
    </xf>
    <xf numFmtId="0" fontId="33" fillId="8" borderId="33" xfId="0" applyNumberFormat="1" applyFont="1" applyFill="1" applyBorder="1" applyAlignment="1">
      <alignment horizontal="center" vertical="center"/>
    </xf>
    <xf numFmtId="1" fontId="33" fillId="8" borderId="33" xfId="0" applyNumberFormat="1" applyFont="1" applyFill="1" applyBorder="1" applyAlignment="1" applyProtection="1">
      <alignment horizontal="right" vertical="center"/>
      <protection hidden="1"/>
    </xf>
    <xf numFmtId="0" fontId="33" fillId="8" borderId="33" xfId="0" applyFont="1" applyFill="1" applyBorder="1" applyAlignment="1" applyProtection="1">
      <alignment horizontal="left" vertical="center"/>
      <protection locked="0" hidden="1"/>
    </xf>
    <xf numFmtId="168" fontId="86" fillId="8" borderId="33" xfId="0" applyNumberFormat="1" applyFont="1" applyFill="1" applyBorder="1" applyAlignment="1" applyProtection="1">
      <alignment horizontal="left" vertical="center"/>
      <protection locked="0" hidden="1"/>
    </xf>
    <xf numFmtId="0" fontId="33" fillId="8" borderId="33" xfId="0" applyFont="1" applyFill="1" applyBorder="1" applyAlignment="1" applyProtection="1">
      <alignment horizontal="center" vertical="center"/>
      <protection hidden="1"/>
    </xf>
    <xf numFmtId="0" fontId="33" fillId="8" borderId="33" xfId="0" applyNumberFormat="1" applyFont="1" applyFill="1" applyBorder="1" applyAlignment="1" applyProtection="1">
      <alignment horizontal="center" vertical="center"/>
      <protection hidden="1"/>
    </xf>
    <xf numFmtId="0" fontId="33" fillId="0" borderId="33" xfId="0" applyFont="1" applyFill="1" applyBorder="1" applyAlignment="1" applyProtection="1">
      <alignment horizontal="right" vertical="center"/>
      <protection hidden="1"/>
    </xf>
    <xf numFmtId="1" fontId="33" fillId="8" borderId="33" xfId="0" applyNumberFormat="1" applyFont="1" applyFill="1" applyBorder="1" applyAlignment="1" applyProtection="1">
      <alignment horizontal="right" vertical="center"/>
      <protection locked="0" hidden="1"/>
    </xf>
    <xf numFmtId="0" fontId="33" fillId="8" borderId="33" xfId="0" applyFont="1" applyFill="1" applyBorder="1" applyAlignment="1" applyProtection="1">
      <alignment horizontal="right" vertical="center"/>
      <protection hidden="1"/>
    </xf>
    <xf numFmtId="0" fontId="33" fillId="10" borderId="33" xfId="0" applyFont="1" applyFill="1" applyBorder="1" applyAlignment="1" applyProtection="1">
      <alignment horizontal="center" vertical="center"/>
      <protection hidden="1"/>
    </xf>
    <xf numFmtId="0" fontId="55" fillId="5" borderId="49" xfId="0" applyFont="1" applyFill="1" applyBorder="1" applyAlignment="1">
      <alignment horizontal="center" vertical="center"/>
    </xf>
    <xf numFmtId="0" fontId="55" fillId="5" borderId="50" xfId="0" applyFont="1" applyFill="1" applyBorder="1" applyAlignment="1">
      <alignment horizontal="center" vertical="center"/>
    </xf>
    <xf numFmtId="0" fontId="55" fillId="5" borderId="51" xfId="0" applyFont="1" applyFill="1" applyBorder="1" applyAlignment="1">
      <alignment horizontal="center" vertical="center"/>
    </xf>
    <xf numFmtId="0" fontId="55" fillId="5" borderId="49" xfId="0" applyFont="1" applyFill="1" applyBorder="1" applyAlignment="1">
      <alignment horizontal="center" vertical="top" wrapText="1"/>
    </xf>
    <xf numFmtId="0" fontId="55" fillId="5" borderId="23" xfId="0" applyFont="1" applyFill="1" applyBorder="1" applyAlignment="1">
      <alignment horizontal="center" vertical="top" wrapText="1"/>
    </xf>
    <xf numFmtId="9" fontId="55" fillId="5" borderId="50" xfId="0" applyNumberFormat="1" applyFont="1" applyFill="1" applyBorder="1" applyAlignment="1">
      <alignment horizontal="center" vertical="top" wrapText="1"/>
    </xf>
    <xf numFmtId="9" fontId="55" fillId="5" borderId="24" xfId="0" applyNumberFormat="1" applyFont="1" applyFill="1" applyBorder="1" applyAlignment="1">
      <alignment horizontal="center" vertical="top" wrapText="1"/>
    </xf>
    <xf numFmtId="0" fontId="55" fillId="5" borderId="51" xfId="0" applyFont="1" applyFill="1" applyBorder="1" applyAlignment="1">
      <alignment horizontal="center" vertical="top" wrapText="1"/>
    </xf>
    <xf numFmtId="0" fontId="55" fillId="5" borderId="25" xfId="0" applyFont="1" applyFill="1" applyBorder="1" applyAlignment="1">
      <alignment horizontal="center" vertical="top" wrapText="1"/>
    </xf>
    <xf numFmtId="0" fontId="67" fillId="7" borderId="4" xfId="0" applyFont="1" applyFill="1" applyBorder="1" applyAlignment="1">
      <alignment horizontal="center" vertical="center" wrapText="1"/>
    </xf>
    <xf numFmtId="0" fontId="67" fillId="7" borderId="12" xfId="0" applyFont="1" applyFill="1" applyBorder="1" applyAlignment="1">
      <alignment horizontal="center" vertical="center" wrapText="1"/>
    </xf>
    <xf numFmtId="0" fontId="67" fillId="7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0" borderId="52" xfId="0" applyBorder="1" applyAlignment="1">
      <alignment horizontal="center"/>
    </xf>
    <xf numFmtId="0" fontId="87" fillId="8" borderId="0" xfId="0" applyFont="1" applyFill="1" applyBorder="1" applyAlignment="1">
      <alignment vertical="center" wrapText="1"/>
    </xf>
    <xf numFmtId="0" fontId="33" fillId="8" borderId="0" xfId="0" applyFont="1" applyFill="1" applyBorder="1" applyAlignment="1" applyProtection="1">
      <alignment horizontal="center" vertical="center"/>
      <protection hidden="1"/>
    </xf>
    <xf numFmtId="0" fontId="33" fillId="8" borderId="0" xfId="0" applyNumberFormat="1" applyFont="1" applyFill="1" applyBorder="1" applyAlignment="1" applyProtection="1">
      <alignment horizontal="center" vertical="center"/>
      <protection hidden="1"/>
    </xf>
    <xf numFmtId="0" fontId="33" fillId="8" borderId="0" xfId="0" applyFont="1" applyFill="1" applyBorder="1" applyAlignment="1">
      <alignment horizontal="center" vertical="center"/>
    </xf>
  </cellXfs>
  <cellStyles count="8">
    <cellStyle name="Milliers [0]_Car Prices" xfId="1"/>
    <cellStyle name="Milliers_Car Prices" xfId="2"/>
    <cellStyle name="Monétaire [0]_Car Prices" xfId="3"/>
    <cellStyle name="Monétaire_Car Prices" xfId="4"/>
    <cellStyle name="Presentation" xfId="5"/>
    <cellStyle name="Гиперссылка" xfId="6" builtinId="8"/>
    <cellStyle name="Обычный" xfId="0" builtinId="0"/>
    <cellStyle name="Обычный 3" xfId="7"/>
  </cellStyles>
  <dxfs count="22">
    <dxf>
      <font>
        <b val="0"/>
        <i val="0"/>
        <condense val="0"/>
        <extend val="0"/>
        <color indexed="10"/>
      </font>
      <fill>
        <patternFill>
          <bgColor indexed="49"/>
        </patternFill>
      </fill>
    </dxf>
    <dxf>
      <font>
        <b/>
        <i val="0"/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4"/>
        </patternFill>
      </fill>
    </dxf>
    <dxf>
      <font>
        <b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33"/>
        </patternFill>
      </fill>
    </dxf>
    <dxf>
      <font>
        <b val="0"/>
        <i val="0"/>
        <condense val="0"/>
        <extend val="0"/>
        <color indexed="9"/>
      </font>
      <fill>
        <patternFill patternType="solid">
          <bgColor indexed="23"/>
        </patternFill>
      </fill>
    </dxf>
    <dxf>
      <font>
        <condense val="0"/>
        <extend val="0"/>
        <color indexed="8"/>
      </font>
      <fill>
        <patternFill patternType="darkGray">
          <fgColor indexed="47"/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4"/>
        </patternFill>
      </fill>
    </dxf>
    <dxf>
      <font>
        <b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23"/>
        </patternFill>
      </fill>
    </dxf>
    <dxf>
      <font>
        <b val="0"/>
        <i val="0"/>
        <condense val="0"/>
        <extend val="0"/>
        <color indexed="9"/>
      </font>
      <fill>
        <patternFill patternType="solid">
          <bgColor indexed="23"/>
        </patternFill>
      </fill>
    </dxf>
    <dxf>
      <font>
        <condense val="0"/>
        <extend val="0"/>
        <color indexed="8"/>
      </font>
      <fill>
        <patternFill patternType="darkGray">
          <fgColor indexed="47"/>
          <bgColor indexed="10"/>
        </patternFill>
      </fill>
    </dxf>
    <dxf>
      <font>
        <condense val="0"/>
        <extend val="0"/>
        <color indexed="9"/>
      </font>
      <fill>
        <patternFill>
          <bgColor indexed="33"/>
        </patternFill>
      </fill>
    </dxf>
    <dxf>
      <font>
        <b val="0"/>
        <i val="0"/>
        <condense val="0"/>
        <extend val="0"/>
        <color indexed="9"/>
      </font>
      <fill>
        <patternFill patternType="solid">
          <bgColor indexed="23"/>
        </patternFill>
      </fill>
    </dxf>
    <dxf>
      <font>
        <condense val="0"/>
        <extend val="0"/>
        <color indexed="8"/>
      </font>
      <fill>
        <patternFill patternType="darkGray">
          <fgColor indexed="47"/>
          <bgColor indexed="10"/>
        </patternFill>
      </fill>
    </dxf>
    <dxf>
      <font>
        <condense val="0"/>
        <extend val="0"/>
        <color indexed="9"/>
      </font>
      <fill>
        <patternFill>
          <bgColor indexed="33"/>
        </patternFill>
      </fill>
    </dxf>
    <dxf>
      <font>
        <b val="0"/>
        <i val="0"/>
        <condense val="0"/>
        <extend val="0"/>
        <color indexed="9"/>
      </font>
      <fill>
        <patternFill patternType="solid">
          <bgColor indexed="23"/>
        </patternFill>
      </fill>
    </dxf>
    <dxf>
      <font>
        <condense val="0"/>
        <extend val="0"/>
        <color indexed="8"/>
      </font>
      <fill>
        <patternFill patternType="darkGray">
          <fgColor indexed="47"/>
          <bgColor indexed="10"/>
        </patternFill>
      </fill>
    </dxf>
    <dxf>
      <font>
        <condense val="0"/>
        <extend val="0"/>
        <color indexed="9"/>
      </font>
      <fill>
        <patternFill>
          <bgColor indexed="33"/>
        </patternFill>
      </fill>
    </dxf>
    <dxf>
      <font>
        <b val="0"/>
        <i val="0"/>
        <condense val="0"/>
        <extend val="0"/>
        <color indexed="9"/>
      </font>
      <fill>
        <patternFill patternType="solid">
          <bgColor indexed="23"/>
        </patternFill>
      </fill>
    </dxf>
    <dxf>
      <font>
        <condense val="0"/>
        <extend val="0"/>
        <color indexed="8"/>
      </font>
      <fill>
        <patternFill patternType="darkGray">
          <fgColor indexed="47"/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Macrosheet" Target="macro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76200</xdr:rowOff>
    </xdr:from>
    <xdr:to>
      <xdr:col>5</xdr:col>
      <xdr:colOff>2181225</xdr:colOff>
      <xdr:row>6</xdr:row>
      <xdr:rowOff>390525</xdr:rowOff>
    </xdr:to>
    <xdr:sp macro="" textlink="">
      <xdr:nvSpPr>
        <xdr:cNvPr id="8203" name="Text Box 11">
          <a:extLst>
            <a:ext uri="{FF2B5EF4-FFF2-40B4-BE49-F238E27FC236}">
              <a16:creationId xmlns:a16="http://schemas.microsoft.com/office/drawing/2014/main" id="{00000000-0008-0000-0000-00000B200000}"/>
            </a:ext>
          </a:extLst>
        </xdr:cNvPr>
        <xdr:cNvSpPr txBox="1">
          <a:spLocks noChangeArrowheads="1"/>
        </xdr:cNvSpPr>
      </xdr:nvSpPr>
      <xdr:spPr bwMode="auto">
        <a:xfrm>
          <a:off x="85725" y="590550"/>
          <a:ext cx="6124575" cy="962025"/>
        </a:xfrm>
        <a:prstGeom prst="rect">
          <a:avLst/>
        </a:prstGeom>
        <a:solidFill>
          <a:srgbClr val="E3E3E3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The HayCalculator is a spreadsheet wich supports the set up, the management and the presentation of job evaluations using the Hay-method for job evaluation and profiling. The functionalities of the HayCalculator are: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- </a:t>
          </a: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Calculation: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the Hay-points are calculated per job-element and in total, wich results in the short and long profile and in the corresponding jobgrade.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- </a:t>
          </a: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Presentation: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the total results are presented in a conveniently arranged table and are also presented in a matrix.       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- </a:t>
          </a: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Support while using the Hay-method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: The Haycalculator warns you whenever an evaluation-score is less likely or even unlikely.</a:t>
          </a:r>
        </a:p>
      </xdr:txBody>
    </xdr:sp>
    <xdr:clientData/>
  </xdr:twoCellAnchor>
  <xdr:twoCellAnchor>
    <xdr:from>
      <xdr:col>0</xdr:col>
      <xdr:colOff>76200</xdr:colOff>
      <xdr:row>12</xdr:row>
      <xdr:rowOff>57150</xdr:rowOff>
    </xdr:from>
    <xdr:to>
      <xdr:col>5</xdr:col>
      <xdr:colOff>2209800</xdr:colOff>
      <xdr:row>13</xdr:row>
      <xdr:rowOff>495300</xdr:rowOff>
    </xdr:to>
    <xdr:sp macro="" textlink="">
      <xdr:nvSpPr>
        <xdr:cNvPr id="8205" name="Text Box 13">
          <a:extLst>
            <a:ext uri="{FF2B5EF4-FFF2-40B4-BE49-F238E27FC236}">
              <a16:creationId xmlns:a16="http://schemas.microsoft.com/office/drawing/2014/main" id="{00000000-0008-0000-0000-00000D200000}"/>
            </a:ext>
          </a:extLst>
        </xdr:cNvPr>
        <xdr:cNvSpPr txBox="1">
          <a:spLocks noChangeArrowheads="1"/>
        </xdr:cNvSpPr>
      </xdr:nvSpPr>
      <xdr:spPr bwMode="auto">
        <a:xfrm>
          <a:off x="76200" y="2657475"/>
          <a:ext cx="6162675" cy="619125"/>
        </a:xfrm>
        <a:prstGeom prst="rect">
          <a:avLst/>
        </a:prstGeom>
        <a:solidFill>
          <a:srgbClr val="E3E3E3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The restrictions of the HayCalculator are: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- It does not protect the user against an incorrect use of the Hay-method.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- It is restricted by the possibilities of Excel.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- The HayCalculator performs correctly up to approximately 300 jobs. </a:t>
          </a:r>
        </a:p>
      </xdr:txBody>
    </xdr:sp>
    <xdr:clientData/>
  </xdr:twoCellAnchor>
  <xdr:twoCellAnchor editAs="oneCell">
    <xdr:from>
      <xdr:col>5</xdr:col>
      <xdr:colOff>504825</xdr:colOff>
      <xdr:row>0</xdr:row>
      <xdr:rowOff>28575</xdr:rowOff>
    </xdr:from>
    <xdr:to>
      <xdr:col>5</xdr:col>
      <xdr:colOff>2019300</xdr:colOff>
      <xdr:row>1</xdr:row>
      <xdr:rowOff>142875</xdr:rowOff>
    </xdr:to>
    <xdr:pic>
      <xdr:nvPicPr>
        <xdr:cNvPr id="9120" name="Picture 15">
          <a:extLst>
            <a:ext uri="{FF2B5EF4-FFF2-40B4-BE49-F238E27FC236}">
              <a16:creationId xmlns:a16="http://schemas.microsoft.com/office/drawing/2014/main" id="{00000000-0008-0000-0000-0000A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33900" y="28575"/>
          <a:ext cx="1514475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76200</xdr:colOff>
      <xdr:row>14</xdr:row>
      <xdr:rowOff>76200</xdr:rowOff>
    </xdr:from>
    <xdr:to>
      <xdr:col>5</xdr:col>
      <xdr:colOff>2209800</xdr:colOff>
      <xdr:row>14</xdr:row>
      <xdr:rowOff>457200</xdr:rowOff>
    </xdr:to>
    <xdr:sp macro="" textlink="">
      <xdr:nvSpPr>
        <xdr:cNvPr id="8208" name="Text Box 16">
          <a:extLst>
            <a:ext uri="{FF2B5EF4-FFF2-40B4-BE49-F238E27FC236}">
              <a16:creationId xmlns:a16="http://schemas.microsoft.com/office/drawing/2014/main" id="{00000000-0008-0000-0000-000010200000}"/>
            </a:ext>
          </a:extLst>
        </xdr:cNvPr>
        <xdr:cNvSpPr txBox="1">
          <a:spLocks noChangeArrowheads="1"/>
        </xdr:cNvSpPr>
      </xdr:nvSpPr>
      <xdr:spPr bwMode="auto">
        <a:xfrm>
          <a:off x="76200" y="3686175"/>
          <a:ext cx="6162675" cy="381000"/>
        </a:xfrm>
        <a:prstGeom prst="rect">
          <a:avLst/>
        </a:prstGeom>
        <a:solidFill>
          <a:srgbClr val="E3E3E3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Although the HayCalculator has been tested thoroughly,  Hay Group accepts no responsibility for the performance of this spreadsheet.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138</xdr:row>
          <xdr:rowOff>142875</xdr:rowOff>
        </xdr:from>
        <xdr:to>
          <xdr:col>30</xdr:col>
          <xdr:colOff>114300</xdr:colOff>
          <xdr:row>139</xdr:row>
          <xdr:rowOff>85725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133350</xdr:rowOff>
        </xdr:from>
        <xdr:to>
          <xdr:col>4</xdr:col>
          <xdr:colOff>971550</xdr:colOff>
          <xdr:row>12</xdr:row>
          <xdr:rowOff>19050</xdr:rowOff>
        </xdr:to>
        <xdr:sp macro="" textlink="">
          <xdr:nvSpPr>
            <xdr:cNvPr id="8209" name="CommandButton2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114300</xdr:rowOff>
    </xdr:from>
    <xdr:to>
      <xdr:col>4</xdr:col>
      <xdr:colOff>314325</xdr:colOff>
      <xdr:row>127</xdr:row>
      <xdr:rowOff>104775</xdr:rowOff>
    </xdr:to>
    <xdr:sp macro="" textlink="">
      <xdr:nvSpPr>
        <xdr:cNvPr id="3079" name="Text Box 7">
          <a:extLst>
            <a:ext uri="{FF2B5EF4-FFF2-40B4-BE49-F238E27FC236}">
              <a16:creationId xmlns:a16="http://schemas.microsoft.com/office/drawing/2014/main" id="{00000000-0008-0000-0100-0000070C0000}"/>
            </a:ext>
          </a:extLst>
        </xdr:cNvPr>
        <xdr:cNvSpPr txBox="1">
          <a:spLocks noChangeArrowheads="1"/>
        </xdr:cNvSpPr>
      </xdr:nvSpPr>
      <xdr:spPr bwMode="auto">
        <a:xfrm>
          <a:off x="0" y="942975"/>
          <a:ext cx="7696200" cy="19869150"/>
        </a:xfrm>
        <a:prstGeom prst="rect">
          <a:avLst/>
        </a:prstGeom>
        <a:solidFill>
          <a:srgbClr val="E3E3E3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/>
          <a:r>
            <a:rPr lang="ru-RU" sz="3200" b="0" i="0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Инструкция к калькулятору</a:t>
          </a:r>
          <a:endParaRPr lang="ru-RU" sz="3200">
            <a:solidFill>
              <a:schemeClr val="tx2"/>
            </a:solidFill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Калькулятор для оценки должностей по методу Хей (редактированный)</a:t>
          </a:r>
          <a:endParaRPr lang="ru-RU" sz="1100"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Во вкладке </a:t>
          </a:r>
          <a:r>
            <a:rPr lang="en-US" sz="1400" b="0" i="0" baseline="0">
              <a:effectLst/>
              <a:latin typeface="+mn-lt"/>
              <a:ea typeface="+mn-ea"/>
              <a:cs typeface="+mn-cs"/>
            </a:rPr>
            <a:t>"Worksheet" </a:t>
          </a:r>
          <a:r>
            <a:rPr lang="ru-RU" sz="1400" b="0" i="0" baseline="0">
              <a:effectLst/>
              <a:latin typeface="+mn-lt"/>
              <a:ea typeface="+mn-ea"/>
              <a:cs typeface="+mn-cs"/>
            </a:rPr>
            <a:t>необходимо заполнить таблицу вручную. </a:t>
          </a:r>
          <a:endParaRPr lang="ru-RU" sz="1100"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Столбец </a:t>
          </a:r>
          <a:r>
            <a:rPr lang="en-US" sz="1400" b="0" i="0" baseline="0">
              <a:effectLst/>
              <a:latin typeface="+mn-lt"/>
              <a:ea typeface="+mn-ea"/>
              <a:cs typeface="+mn-cs"/>
            </a:rPr>
            <a:t>"Nr"</a:t>
          </a:r>
          <a:r>
            <a:rPr lang="ru-RU" sz="1400" b="0" i="0" baseline="0">
              <a:effectLst/>
              <a:latin typeface="+mn-lt"/>
              <a:ea typeface="+mn-ea"/>
              <a:cs typeface="+mn-cs"/>
            </a:rPr>
            <a:t> - нумерация строк</a:t>
          </a:r>
          <a:endParaRPr lang="ru-RU" sz="1100"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Столбец </a:t>
          </a:r>
          <a:r>
            <a:rPr lang="en-US" sz="1400" b="0" i="0" baseline="0">
              <a:effectLst/>
              <a:latin typeface="+mn-lt"/>
              <a:ea typeface="+mn-ea"/>
              <a:cs typeface="+mn-cs"/>
            </a:rPr>
            <a:t>"Area(Company) - </a:t>
          </a:r>
          <a:r>
            <a:rPr lang="ru-RU" sz="1400" b="0" i="0" baseline="0">
              <a:effectLst/>
              <a:latin typeface="+mn-lt"/>
              <a:ea typeface="+mn-ea"/>
              <a:cs typeface="+mn-cs"/>
            </a:rPr>
            <a:t>название компании</a:t>
          </a:r>
          <a:endParaRPr lang="ru-RU" sz="1100"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Столбец </a:t>
          </a:r>
          <a:r>
            <a:rPr lang="en-US" sz="1400" b="0" i="0" baseline="0">
              <a:effectLst/>
              <a:latin typeface="+mn-lt"/>
              <a:ea typeface="+mn-ea"/>
              <a:cs typeface="+mn-cs"/>
            </a:rPr>
            <a:t>"Department"</a:t>
          </a:r>
          <a:r>
            <a:rPr lang="ru-RU" sz="1400" b="0" i="0" baseline="0">
              <a:effectLst/>
              <a:latin typeface="+mn-lt"/>
              <a:ea typeface="+mn-ea"/>
              <a:cs typeface="+mn-cs"/>
            </a:rPr>
            <a:t> - структурное подразделение должности</a:t>
          </a:r>
          <a:endParaRPr lang="ru-RU" sz="1100"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Столбец </a:t>
          </a:r>
          <a:r>
            <a:rPr lang="en-US" sz="1400" b="0" i="0" baseline="0">
              <a:effectLst/>
              <a:latin typeface="+mn-lt"/>
              <a:ea typeface="+mn-ea"/>
              <a:cs typeface="+mn-cs"/>
            </a:rPr>
            <a:t>"Jobtitle" - </a:t>
          </a:r>
          <a:r>
            <a:rPr lang="ru-RU" sz="1400" b="0" i="0" baseline="0">
              <a:effectLst/>
              <a:latin typeface="+mn-lt"/>
              <a:ea typeface="+mn-ea"/>
              <a:cs typeface="+mn-cs"/>
            </a:rPr>
            <a:t>название должности</a:t>
          </a:r>
          <a:endParaRPr lang="ru-RU" sz="1100"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Далее необходимо заполнить линию оценок должностей.</a:t>
          </a:r>
          <a:endParaRPr lang="ru-RU" sz="1100">
            <a:effectLst/>
          </a:endParaRPr>
        </a:p>
        <a:p>
          <a:pPr rtl="0"/>
          <a:r>
            <a:rPr lang="en-US" sz="24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Matrix</a:t>
          </a:r>
          <a:endParaRPr lang="ru-RU" sz="2400">
            <a:solidFill>
              <a:srgbClr val="FF0000"/>
            </a:solidFill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После того как все вышеперечисленные данные были заполнены, нужно перейти во вкладку </a:t>
          </a:r>
          <a:r>
            <a:rPr lang="en-US" sz="1400" b="0" i="0" baseline="0">
              <a:effectLst/>
              <a:latin typeface="+mn-lt"/>
              <a:ea typeface="+mn-ea"/>
              <a:cs typeface="+mn-cs"/>
            </a:rPr>
            <a:t>"Matrix"</a:t>
          </a:r>
          <a:r>
            <a:rPr lang="ru-RU" sz="1400" b="0" i="0" baseline="0">
              <a:effectLst/>
              <a:latin typeface="+mn-lt"/>
              <a:ea typeface="+mn-ea"/>
              <a:cs typeface="+mn-cs"/>
            </a:rPr>
            <a:t>.</a:t>
          </a:r>
          <a:endParaRPr lang="ru-RU" sz="1100">
            <a:effectLst/>
          </a:endParaRPr>
        </a:p>
        <a:p>
          <a:pPr rtl="0"/>
          <a:r>
            <a:rPr lang="ru-RU" sz="1400" b="0" i="0" baseline="0">
              <a:effectLst/>
              <a:latin typeface="+mn-lt"/>
              <a:ea typeface="+mn-ea"/>
              <a:cs typeface="+mn-cs"/>
            </a:rPr>
            <a:t>Для того чтобы построить матрицу должностей по подразделению должности, нужно нажать на кнопку </a:t>
          </a:r>
          <a:r>
            <a:rPr lang="en-US" sz="1400" b="0" i="0" baseline="0">
              <a:effectLst/>
              <a:latin typeface="+mn-lt"/>
              <a:ea typeface="+mn-ea"/>
              <a:cs typeface="+mn-cs"/>
            </a:rPr>
            <a:t>"Department"</a:t>
          </a:r>
          <a:r>
            <a:rPr lang="ru-RU" sz="1400" b="0" i="0" baseline="0">
              <a:effectLst/>
              <a:latin typeface="+mn-lt"/>
              <a:ea typeface="+mn-ea"/>
              <a:cs typeface="+mn-cs"/>
            </a:rPr>
            <a:t> . Чтобы построить матрицу должностей по компаниям, нужно нажать на кнопку </a:t>
          </a:r>
          <a:r>
            <a:rPr lang="en-US" sz="1400" b="0" i="0" baseline="0">
              <a:effectLst/>
              <a:latin typeface="+mn-lt"/>
              <a:ea typeface="+mn-ea"/>
              <a:cs typeface="+mn-cs"/>
            </a:rPr>
            <a:t>"Area"</a:t>
          </a:r>
          <a:r>
            <a:rPr lang="ru-RU" sz="1400" b="0" i="0" baseline="0">
              <a:effectLst/>
              <a:latin typeface="+mn-lt"/>
              <a:ea typeface="+mn-ea"/>
              <a:cs typeface="+mn-cs"/>
            </a:rPr>
            <a:t>. Далее все заполненные должности отсортируются согласно грейду.</a:t>
          </a:r>
        </a:p>
        <a:p>
          <a:pPr rtl="0"/>
          <a:endParaRPr lang="ru-RU" sz="1100">
            <a:effectLst/>
          </a:endParaRPr>
        </a:p>
        <a:p>
          <a:pPr rtl="0"/>
          <a:r>
            <a:rPr lang="ru-RU" sz="1400" b="0" i="1" baseline="0">
              <a:effectLst/>
              <a:latin typeface="+mn-lt"/>
              <a:ea typeface="+mn-ea"/>
              <a:cs typeface="+mn-cs"/>
            </a:rPr>
            <a:t>В разделе </a:t>
          </a:r>
          <a:r>
            <a:rPr lang="en-US" sz="1400" b="0" i="1" baseline="0">
              <a:effectLst/>
              <a:latin typeface="+mn-lt"/>
              <a:ea typeface="+mn-ea"/>
              <a:cs typeface="+mn-cs"/>
            </a:rPr>
            <a:t>"Jobgrades" </a:t>
          </a:r>
          <a:r>
            <a:rPr lang="ru-RU" sz="1400" b="0" i="1" baseline="0">
              <a:effectLst/>
              <a:latin typeface="+mn-lt"/>
              <a:ea typeface="+mn-ea"/>
              <a:cs typeface="+mn-cs"/>
            </a:rPr>
            <a:t>указанны структуры грейдов и их баллы.</a:t>
          </a:r>
        </a:p>
        <a:p>
          <a:pPr rtl="0"/>
          <a:endParaRPr lang="ru-RU" sz="1400" b="0" i="1" baseline="0">
            <a:effectLst/>
            <a:latin typeface="+mn-lt"/>
            <a:ea typeface="+mn-ea"/>
            <a:cs typeface="+mn-cs"/>
          </a:endParaRPr>
        </a:p>
        <a:p>
          <a:pPr rtl="0"/>
          <a:r>
            <a:rPr lang="ru-RU" sz="1400" b="1" i="1" baseline="0">
              <a:effectLst/>
              <a:latin typeface="+mn-lt"/>
              <a:ea typeface="+mn-ea"/>
              <a:cs typeface="+mn-cs"/>
            </a:rPr>
            <a:t>ОБЯЗАТЕЛЬНО!!!</a:t>
          </a:r>
        </a:p>
        <a:p>
          <a:pPr rtl="0"/>
          <a:r>
            <a:rPr lang="ru-RU" sz="1400" b="1" i="1" baseline="0">
              <a:effectLst/>
              <a:latin typeface="+mn-lt"/>
              <a:ea typeface="+mn-ea"/>
              <a:cs typeface="+mn-cs"/>
            </a:rPr>
            <a:t>ВСЕ ПОЛЯ ДОЛЖНЫ БЫТЬ ЗАПОЛНЕННЫ</a:t>
          </a:r>
          <a:endParaRPr lang="ru-RU" sz="1000" b="1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2219325</xdr:colOff>
      <xdr:row>5</xdr:row>
      <xdr:rowOff>60960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38375" cy="10515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80</xdr:col>
      <xdr:colOff>608542</xdr:colOff>
      <xdr:row>289</xdr:row>
      <xdr:rowOff>39156</xdr:rowOff>
    </xdr:from>
    <xdr:to>
      <xdr:col>81</xdr:col>
      <xdr:colOff>280625</xdr:colOff>
      <xdr:row>291</xdr:row>
      <xdr:rowOff>60487</xdr:rowOff>
    </xdr:to>
    <xdr:pic macro="[0]!Sheet1.FitCold">
      <xdr:nvPicPr>
        <xdr:cNvPr id="10327" name="Picture 339">
          <a:extLst>
            <a:ext uri="{FF2B5EF4-FFF2-40B4-BE49-F238E27FC236}">
              <a16:creationId xmlns:a16="http://schemas.microsoft.com/office/drawing/2014/main" id="{00000000-0008-0000-0200-00005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699209" y="97977323"/>
          <a:ext cx="360000" cy="360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119</xdr:col>
      <xdr:colOff>324908</xdr:colOff>
      <xdr:row>2</xdr:row>
      <xdr:rowOff>0</xdr:rowOff>
    </xdr:from>
    <xdr:to>
      <xdr:col>120</xdr:col>
      <xdr:colOff>519</xdr:colOff>
      <xdr:row>4</xdr:row>
      <xdr:rowOff>154010</xdr:rowOff>
    </xdr:to>
    <xdr:pic macro="[0]!Sheet1.FitColC">
      <xdr:nvPicPr>
        <xdr:cNvPr id="10328" name="Picture 340">
          <a:extLst>
            <a:ext uri="{FF2B5EF4-FFF2-40B4-BE49-F238E27FC236}">
              <a16:creationId xmlns:a16="http://schemas.microsoft.com/office/drawing/2014/main" id="{00000000-0008-0000-0200-000058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244325" y="26636133"/>
          <a:ext cx="360000" cy="360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81</xdr:col>
      <xdr:colOff>354543</xdr:colOff>
      <xdr:row>290</xdr:row>
      <xdr:rowOff>79373</xdr:rowOff>
    </xdr:from>
    <xdr:to>
      <xdr:col>82</xdr:col>
      <xdr:colOff>26627</xdr:colOff>
      <xdr:row>292</xdr:row>
      <xdr:rowOff>100708</xdr:rowOff>
    </xdr:to>
    <xdr:pic macro="[0]!Sheet1.FitColE">
      <xdr:nvPicPr>
        <xdr:cNvPr id="10329" name="Picture 344">
          <a:extLst>
            <a:ext uri="{FF2B5EF4-FFF2-40B4-BE49-F238E27FC236}">
              <a16:creationId xmlns:a16="http://schemas.microsoft.com/office/drawing/2014/main" id="{00000000-0008-0000-0200-000059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133126" y="98186873"/>
          <a:ext cx="360000" cy="360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85</xdr:col>
          <xdr:colOff>66675</xdr:colOff>
          <xdr:row>288</xdr:row>
          <xdr:rowOff>57150</xdr:rowOff>
        </xdr:from>
        <xdr:to>
          <xdr:col>85</xdr:col>
          <xdr:colOff>419100</xdr:colOff>
          <xdr:row>289</xdr:row>
          <xdr:rowOff>9525</xdr:rowOff>
        </xdr:to>
        <xdr:sp macro="" textlink="">
          <xdr:nvSpPr>
            <xdr:cNvPr id="1083" name="CommandButton1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2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114</xdr:col>
          <xdr:colOff>638174</xdr:colOff>
          <xdr:row>194</xdr:row>
          <xdr:rowOff>0</xdr:rowOff>
        </xdr:from>
        <xdr:to>
          <xdr:col>116</xdr:col>
          <xdr:colOff>409574</xdr:colOff>
          <xdr:row>195</xdr:row>
          <xdr:rowOff>82550</xdr:rowOff>
        </xdr:to>
        <xdr:sp macro="" textlink="">
          <xdr:nvSpPr>
            <xdr:cNvPr id="1254" name="cmdPrintPreview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2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304799</xdr:colOff>
          <xdr:row>289</xdr:row>
          <xdr:rowOff>133350</xdr:rowOff>
        </xdr:from>
        <xdr:to>
          <xdr:col>85</xdr:col>
          <xdr:colOff>431799</xdr:colOff>
          <xdr:row>291</xdr:row>
          <xdr:rowOff>44450</xdr:rowOff>
        </xdr:to>
        <xdr:sp macro="" textlink="">
          <xdr:nvSpPr>
            <xdr:cNvPr id="1257" name="cmdCopy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2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104774</xdr:colOff>
          <xdr:row>290</xdr:row>
          <xdr:rowOff>57149</xdr:rowOff>
        </xdr:from>
        <xdr:to>
          <xdr:col>85</xdr:col>
          <xdr:colOff>231774</xdr:colOff>
          <xdr:row>291</xdr:row>
          <xdr:rowOff>139699</xdr:rowOff>
        </xdr:to>
        <xdr:sp macro="" textlink="">
          <xdr:nvSpPr>
            <xdr:cNvPr id="1258" name="cmdCut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2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152399</xdr:colOff>
          <xdr:row>287</xdr:row>
          <xdr:rowOff>19050</xdr:rowOff>
        </xdr:from>
        <xdr:to>
          <xdr:col>81</xdr:col>
          <xdr:colOff>609599</xdr:colOff>
          <xdr:row>288</xdr:row>
          <xdr:rowOff>101600</xdr:rowOff>
        </xdr:to>
        <xdr:sp macro="" textlink="">
          <xdr:nvSpPr>
            <xdr:cNvPr id="1289" name="cmdUnhide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2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85</xdr:col>
          <xdr:colOff>66674</xdr:colOff>
          <xdr:row>291</xdr:row>
          <xdr:rowOff>57149</xdr:rowOff>
        </xdr:from>
        <xdr:to>
          <xdr:col>86</xdr:col>
          <xdr:colOff>523874</xdr:colOff>
          <xdr:row>292</xdr:row>
          <xdr:rowOff>139699</xdr:rowOff>
        </xdr:to>
        <xdr:sp macro="" textlink="">
          <xdr:nvSpPr>
            <xdr:cNvPr id="1290" name="cmdFreeze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2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819150</xdr:rowOff>
        </xdr:from>
        <xdr:to>
          <xdr:col>1</xdr:col>
          <xdr:colOff>0</xdr:colOff>
          <xdr:row>0</xdr:row>
          <xdr:rowOff>1019175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2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endParaRPr lang="ru-RU" sz="1000" b="0" i="0" u="none" strike="noStrike" baseline="0">
                <a:solidFill>
                  <a:srgbClr val="000000"/>
                </a:solidFill>
                <a:latin typeface="Arial Narrow"/>
                <a:cs typeface="Arial"/>
              </a:endParaRPr>
            </a:p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85</xdr:col>
          <xdr:colOff>38100</xdr:colOff>
          <xdr:row>289</xdr:row>
          <xdr:rowOff>66675</xdr:rowOff>
        </xdr:from>
        <xdr:to>
          <xdr:col>85</xdr:col>
          <xdr:colOff>400050</xdr:colOff>
          <xdr:row>291</xdr:row>
          <xdr:rowOff>95250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2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endParaRPr lang="ru-RU" sz="1000" b="0" i="0" u="none" strike="noStrike" baseline="0">
                <a:solidFill>
                  <a:srgbClr val="000000"/>
                </a:solidFill>
                <a:latin typeface="Arial Narrow"/>
                <a:cs typeface="Arial"/>
              </a:endParaRP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1057275</xdr:rowOff>
        </xdr:from>
        <xdr:to>
          <xdr:col>0</xdr:col>
          <xdr:colOff>247650</xdr:colOff>
          <xdr:row>0</xdr:row>
          <xdr:rowOff>1257300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2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1047750</xdr:rowOff>
        </xdr:from>
        <xdr:to>
          <xdr:col>1</xdr:col>
          <xdr:colOff>0</xdr:colOff>
          <xdr:row>0</xdr:row>
          <xdr:rowOff>1247775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2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1047750</xdr:rowOff>
        </xdr:from>
        <xdr:to>
          <xdr:col>2</xdr:col>
          <xdr:colOff>400050</xdr:colOff>
          <xdr:row>0</xdr:row>
          <xdr:rowOff>1247775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2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1047750</xdr:rowOff>
        </xdr:from>
        <xdr:to>
          <xdr:col>3</xdr:col>
          <xdr:colOff>400050</xdr:colOff>
          <xdr:row>0</xdr:row>
          <xdr:rowOff>1247775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2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1028700</xdr:rowOff>
        </xdr:from>
        <xdr:to>
          <xdr:col>4</xdr:col>
          <xdr:colOff>400050</xdr:colOff>
          <xdr:row>0</xdr:row>
          <xdr:rowOff>1238250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2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1009650</xdr:rowOff>
        </xdr:from>
        <xdr:to>
          <xdr:col>6</xdr:col>
          <xdr:colOff>0</xdr:colOff>
          <xdr:row>0</xdr:row>
          <xdr:rowOff>1209675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2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685800</xdr:colOff>
          <xdr:row>289</xdr:row>
          <xdr:rowOff>114300</xdr:rowOff>
        </xdr:from>
        <xdr:to>
          <xdr:col>82</xdr:col>
          <xdr:colOff>371475</xdr:colOff>
          <xdr:row>290</xdr:row>
          <xdr:rowOff>142875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2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333375</xdr:colOff>
          <xdr:row>290</xdr:row>
          <xdr:rowOff>19050</xdr:rowOff>
        </xdr:from>
        <xdr:to>
          <xdr:col>84</xdr:col>
          <xdr:colOff>19050</xdr:colOff>
          <xdr:row>292</xdr:row>
          <xdr:rowOff>38100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2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endParaRPr lang="ru-RU" sz="1000" b="0" i="0" u="none" strike="noStrike" baseline="0">
                <a:solidFill>
                  <a:srgbClr val="000000"/>
                </a:solidFill>
                <a:latin typeface="Arial Narrow"/>
                <a:cs typeface="Arial"/>
              </a:endParaRP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333375</xdr:colOff>
          <xdr:row>288</xdr:row>
          <xdr:rowOff>19050</xdr:rowOff>
        </xdr:from>
        <xdr:to>
          <xdr:col>84</xdr:col>
          <xdr:colOff>19050</xdr:colOff>
          <xdr:row>290</xdr:row>
          <xdr:rowOff>28575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2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endParaRPr lang="ru-RU" sz="1000" b="0" i="0" u="none" strike="noStrike" baseline="0">
                <a:solidFill>
                  <a:srgbClr val="000000"/>
                </a:solidFill>
                <a:latin typeface="Arial Narrow"/>
                <a:cs typeface="Arial"/>
              </a:endParaRP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647700</xdr:colOff>
          <xdr:row>288</xdr:row>
          <xdr:rowOff>19050</xdr:rowOff>
        </xdr:from>
        <xdr:to>
          <xdr:col>84</xdr:col>
          <xdr:colOff>323850</xdr:colOff>
          <xdr:row>290</xdr:row>
          <xdr:rowOff>28575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2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endParaRPr lang="ru-RU" sz="1000" b="0" i="0" u="none" strike="noStrike" baseline="0">
                <a:solidFill>
                  <a:srgbClr val="000000"/>
                </a:solidFill>
                <a:latin typeface="Arial Narrow"/>
                <a:cs typeface="Arial"/>
              </a:endParaRP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762000</xdr:rowOff>
        </xdr:from>
        <xdr:to>
          <xdr:col>25</xdr:col>
          <xdr:colOff>0</xdr:colOff>
          <xdr:row>0</xdr:row>
          <xdr:rowOff>971550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2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endParaRPr lang="ru-RU" sz="1000" b="0" i="0" u="none" strike="noStrike" baseline="0">
                <a:solidFill>
                  <a:srgbClr val="000000"/>
                </a:solidFill>
                <a:latin typeface="Arial Narrow"/>
                <a:cs typeface="Arial"/>
              </a:endParaRP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</xdr:col>
          <xdr:colOff>247650</xdr:colOff>
          <xdr:row>288</xdr:row>
          <xdr:rowOff>19050</xdr:rowOff>
        </xdr:from>
        <xdr:to>
          <xdr:col>84</xdr:col>
          <xdr:colOff>600075</xdr:colOff>
          <xdr:row>290</xdr:row>
          <xdr:rowOff>28575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2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endParaRPr lang="ru-RU" sz="1000" b="0" i="0" u="none" strike="noStrike" baseline="0">
                <a:solidFill>
                  <a:srgbClr val="000000"/>
                </a:solidFill>
                <a:latin typeface="Arial Narrow"/>
                <a:cs typeface="Arial"/>
              </a:endParaRP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514349</xdr:colOff>
          <xdr:row>289</xdr:row>
          <xdr:rowOff>133349</xdr:rowOff>
        </xdr:from>
        <xdr:to>
          <xdr:col>84</xdr:col>
          <xdr:colOff>641349</xdr:colOff>
          <xdr:row>291</xdr:row>
          <xdr:rowOff>44449</xdr:rowOff>
        </xdr:to>
        <xdr:sp macro="" textlink="">
          <xdr:nvSpPr>
            <xdr:cNvPr id="1322" name="cmdDelete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2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1009650</xdr:rowOff>
        </xdr:from>
        <xdr:to>
          <xdr:col>16</xdr:col>
          <xdr:colOff>285750</xdr:colOff>
          <xdr:row>0</xdr:row>
          <xdr:rowOff>1200150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2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1028700</xdr:rowOff>
        </xdr:from>
        <xdr:to>
          <xdr:col>10</xdr:col>
          <xdr:colOff>333375</xdr:colOff>
          <xdr:row>0</xdr:row>
          <xdr:rowOff>1209675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2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0</xdr:row>
          <xdr:rowOff>990600</xdr:rowOff>
        </xdr:from>
        <xdr:to>
          <xdr:col>21</xdr:col>
          <xdr:colOff>295275</xdr:colOff>
          <xdr:row>0</xdr:row>
          <xdr:rowOff>1200150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2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32" name="Picture 340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2682875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33" name="Picture 340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2682875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34" name="Picture 340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2931583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35" name="Picture 340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2931583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36" name="Picture 340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2931583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37" name="Picture 340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180292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38" name="Picture 340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180292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39" name="Picture 340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180292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40" name="Picture 340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180292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41" name="Picture 3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429000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42" name="Picture 340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429000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43" name="Picture 34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429000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44" name="Picture 340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429000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45" name="Picture 340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429000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46" name="Picture 340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77700" y="3677708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4342" cy="349173"/>
    <xdr:pic macro="[0]!Sheet1.FitColC">
      <xdr:nvPicPr>
        <xdr:cNvPr id="47" name="Picture 340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5561135"/>
          <a:ext cx="364342" cy="34917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4342" cy="349173"/>
    <xdr:pic macro="[0]!Sheet1.FitColC">
      <xdr:nvPicPr>
        <xdr:cNvPr id="48" name="Picture 340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3853962"/>
          <a:ext cx="364342" cy="34917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4342" cy="349173"/>
    <xdr:pic macro="[0]!Sheet1.FitColC">
      <xdr:nvPicPr>
        <xdr:cNvPr id="49" name="Picture 340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5436577"/>
          <a:ext cx="364342" cy="34917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0" name="Picture 340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5436577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1" name="Picture 34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5436577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2" name="Picture 340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447692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3" name="Picture 340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447692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4" name="Picture 340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447692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5" name="Picture 340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447692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6" name="Picture 340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740769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7" name="Picture 340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740769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8" name="Picture 340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740769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59" name="Picture 340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740769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  <xdr:oneCellAnchor>
    <xdr:from>
      <xdr:col>119</xdr:col>
      <xdr:colOff>324908</xdr:colOff>
      <xdr:row>2</xdr:row>
      <xdr:rowOff>0</xdr:rowOff>
    </xdr:from>
    <xdr:ext cx="363528" cy="360001"/>
    <xdr:pic macro="[0]!Sheet1.FitColC">
      <xdr:nvPicPr>
        <xdr:cNvPr id="60" name="Picture 340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121927" y="6740769"/>
          <a:ext cx="363528" cy="3600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3</xdr:col>
          <xdr:colOff>323850</xdr:colOff>
          <xdr:row>0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Narrow"/>
                </a:rPr>
                <a:t>Match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3</xdr:col>
          <xdr:colOff>323850</xdr:colOff>
          <xdr:row>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Narrow"/>
                </a:rPr>
                <a:t>Area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409575</xdr:colOff>
          <xdr:row>0</xdr:row>
          <xdr:rowOff>400050</xdr:rowOff>
        </xdr:from>
        <xdr:to>
          <xdr:col>15</xdr:col>
          <xdr:colOff>1235075</xdr:colOff>
          <xdr:row>0</xdr:row>
          <xdr:rowOff>654050</xdr:rowOff>
        </xdr:to>
        <xdr:sp macro="" textlink="">
          <xdr:nvSpPr>
            <xdr:cNvPr id="5136" name="cmdArea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95249</xdr:colOff>
          <xdr:row>0</xdr:row>
          <xdr:rowOff>361950</xdr:rowOff>
        </xdr:from>
        <xdr:to>
          <xdr:col>14</xdr:col>
          <xdr:colOff>139699</xdr:colOff>
          <xdr:row>0</xdr:row>
          <xdr:rowOff>615950</xdr:rowOff>
        </xdr:to>
        <xdr:sp macro="" textlink="">
          <xdr:nvSpPr>
            <xdr:cNvPr id="5137" name="cmdDepartment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419100</xdr:colOff>
          <xdr:row>0</xdr:row>
          <xdr:rowOff>19050</xdr:rowOff>
        </xdr:from>
        <xdr:to>
          <xdr:col>15</xdr:col>
          <xdr:colOff>962025</xdr:colOff>
          <xdr:row>0</xdr:row>
          <xdr:rowOff>209550</xdr:rowOff>
        </xdr:to>
        <xdr:sp macro="" textlink="">
          <xdr:nvSpPr>
            <xdr:cNvPr id="5138" name="Label1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247650</xdr:rowOff>
        </xdr:from>
        <xdr:to>
          <xdr:col>3</xdr:col>
          <xdr:colOff>171450</xdr:colOff>
          <xdr:row>0</xdr:row>
          <xdr:rowOff>438150</xdr:rowOff>
        </xdr:to>
        <xdr:sp macro="" textlink="">
          <xdr:nvSpPr>
            <xdr:cNvPr id="5139" name="chkPoints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419100</xdr:rowOff>
        </xdr:from>
        <xdr:to>
          <xdr:col>3</xdr:col>
          <xdr:colOff>171450</xdr:colOff>
          <xdr:row>0</xdr:row>
          <xdr:rowOff>609600</xdr:rowOff>
        </xdr:to>
        <xdr:sp macro="" textlink="">
          <xdr:nvSpPr>
            <xdr:cNvPr id="5140" name="chkProfile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3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66675</xdr:rowOff>
        </xdr:from>
        <xdr:to>
          <xdr:col>2</xdr:col>
          <xdr:colOff>142875</xdr:colOff>
          <xdr:row>0</xdr:row>
          <xdr:rowOff>257175</xdr:rowOff>
        </xdr:to>
        <xdr:sp macro="" textlink="">
          <xdr:nvSpPr>
            <xdr:cNvPr id="5142" name="Label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323850</xdr:rowOff>
        </xdr:from>
        <xdr:to>
          <xdr:col>2</xdr:col>
          <xdr:colOff>161925</xdr:colOff>
          <xdr:row>0</xdr:row>
          <xdr:rowOff>571500</xdr:rowOff>
        </xdr:to>
        <xdr:sp macro="" textlink="">
          <xdr:nvSpPr>
            <xdr:cNvPr id="5143" name="CommandButton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3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590550</xdr:rowOff>
        </xdr:from>
        <xdr:to>
          <xdr:col>0</xdr:col>
          <xdr:colOff>514350</xdr:colOff>
          <xdr:row>1</xdr:row>
          <xdr:rowOff>95250</xdr:rowOff>
        </xdr:to>
        <xdr:sp macro="" textlink="">
          <xdr:nvSpPr>
            <xdr:cNvPr id="5146" name="SortedAZ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0</xdr:row>
          <xdr:rowOff>590550</xdr:rowOff>
        </xdr:from>
        <xdr:to>
          <xdr:col>3</xdr:col>
          <xdr:colOff>209550</xdr:colOff>
          <xdr:row>1</xdr:row>
          <xdr:rowOff>95250</xdr:rowOff>
        </xdr:to>
        <xdr:sp macro="" textlink="">
          <xdr:nvSpPr>
            <xdr:cNvPr id="5147" name="AzZa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3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4</xdr:col>
          <xdr:colOff>19050</xdr:colOff>
          <xdr:row>2</xdr:row>
          <xdr:rowOff>95250</xdr:rowOff>
        </xdr:to>
        <xdr:sp macro="" textlink="">
          <xdr:nvSpPr>
            <xdr:cNvPr id="4124" name="OptionButton1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4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104775</xdr:rowOff>
        </xdr:from>
        <xdr:to>
          <xdr:col>4</xdr:col>
          <xdr:colOff>19050</xdr:colOff>
          <xdr:row>2</xdr:row>
          <xdr:rowOff>304800</xdr:rowOff>
        </xdr:to>
        <xdr:sp macro="" textlink="">
          <xdr:nvSpPr>
            <xdr:cNvPr id="4125" name="OptionButton2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4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323850</xdr:rowOff>
        </xdr:from>
        <xdr:to>
          <xdr:col>4</xdr:col>
          <xdr:colOff>19050</xdr:colOff>
          <xdr:row>2</xdr:row>
          <xdr:rowOff>523875</xdr:rowOff>
        </xdr:to>
        <xdr:sp macro="" textlink="">
          <xdr:nvSpPr>
            <xdr:cNvPr id="4126" name="OptionButton3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4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247650</xdr:colOff>
          <xdr:row>1</xdr:row>
          <xdr:rowOff>38100</xdr:rowOff>
        </xdr:from>
        <xdr:to>
          <xdr:col>27</xdr:col>
          <xdr:colOff>314325</xdr:colOff>
          <xdr:row>2</xdr:row>
          <xdr:rowOff>114300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2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72"/>
  <sheetViews>
    <sheetView showGridLines="0" zoomScale="85" workbookViewId="0">
      <selection activeCell="J3" sqref="J3"/>
    </sheetView>
  </sheetViews>
  <sheetFormatPr defaultColWidth="11.33203125" defaultRowHeight="13.5"/>
  <cols>
    <col min="1" max="1" width="11.33203125" customWidth="1"/>
    <col min="2" max="2" width="7" customWidth="1"/>
    <col min="3" max="3" width="4" customWidth="1"/>
    <col min="4" max="4" width="11.33203125" customWidth="1"/>
    <col min="5" max="5" width="5.33203125" style="23" customWidth="1"/>
    <col min="6" max="6" width="3.6640625" customWidth="1"/>
    <col min="7" max="7" width="11.33203125" customWidth="1"/>
    <col min="8" max="8" width="4.6640625" style="23" customWidth="1"/>
    <col min="9" max="9" width="3.6640625" bestFit="1" customWidth="1"/>
    <col min="10" max="10" width="11.33203125" customWidth="1"/>
    <col min="11" max="11" width="4.6640625" style="23" customWidth="1"/>
    <col min="12" max="12" width="3.33203125" customWidth="1"/>
    <col min="13" max="13" width="11.33203125" customWidth="1"/>
    <col min="14" max="14" width="6" style="23" customWidth="1"/>
    <col min="15" max="18" width="11.33203125" customWidth="1"/>
    <col min="19" max="19" width="17.33203125" style="28" customWidth="1"/>
  </cols>
  <sheetData>
    <row r="1" spans="1:35" ht="14.25" thickBot="1">
      <c r="C1" s="4"/>
      <c r="D1" s="5" t="s">
        <v>20</v>
      </c>
      <c r="E1" s="20"/>
      <c r="F1" s="4"/>
      <c r="G1" s="5" t="s">
        <v>21</v>
      </c>
      <c r="H1" s="20"/>
      <c r="I1" s="4"/>
      <c r="J1" s="5" t="s">
        <v>22</v>
      </c>
      <c r="K1" s="20"/>
      <c r="L1" s="4"/>
      <c r="M1" s="5" t="s">
        <v>23</v>
      </c>
      <c r="N1" s="20"/>
      <c r="P1">
        <v>-20</v>
      </c>
      <c r="Q1" t="s">
        <v>24</v>
      </c>
      <c r="R1" s="35" t="s">
        <v>25</v>
      </c>
      <c r="S1" s="36"/>
      <c r="T1" t="s">
        <v>210</v>
      </c>
    </row>
    <row r="2" spans="1:35" ht="14.25" thickBot="1">
      <c r="A2" s="2">
        <v>1</v>
      </c>
      <c r="B2" s="3">
        <v>4</v>
      </c>
      <c r="C2" s="8"/>
      <c r="D2" s="9" t="b">
        <f>ARGUMENT("Connaissances",,E2)</f>
        <v>1</v>
      </c>
      <c r="E2" s="169" t="s">
        <v>19</v>
      </c>
      <c r="F2" s="8"/>
      <c r="G2" s="9" t="b">
        <f>ARGUMENT("Cadre_réflexion",,H2)</f>
        <v>1</v>
      </c>
      <c r="H2" s="21" t="s">
        <v>19</v>
      </c>
      <c r="I2" s="8"/>
      <c r="J2" s="9" t="b">
        <f>ARGUMENT("compétences",,K2)</f>
        <v>1</v>
      </c>
      <c r="K2" s="21">
        <v>0</v>
      </c>
      <c r="L2" s="8"/>
      <c r="M2" s="9" t="b">
        <f>ARGUMENT("Latitude_action",,N2)</f>
        <v>1</v>
      </c>
      <c r="N2" s="21" t="s">
        <v>19</v>
      </c>
      <c r="P2">
        <v>-7</v>
      </c>
      <c r="Q2" t="s">
        <v>24</v>
      </c>
      <c r="R2" s="31" t="b">
        <f>ARGUMENT("PsPct",,S2)</f>
        <v>1</v>
      </c>
      <c r="S2" s="32">
        <v>0</v>
      </c>
      <c r="T2" t="b">
        <f>ARGUMENT("C_Khd",,U2)</f>
        <v>1</v>
      </c>
      <c r="U2" t="s">
        <v>14</v>
      </c>
    </row>
    <row r="3" spans="1:35" s="200" customFormat="1" ht="14.25" thickBot="1">
      <c r="A3" s="197">
        <v>2</v>
      </c>
      <c r="B3" s="198">
        <v>5</v>
      </c>
      <c r="C3" s="199"/>
      <c r="D3" s="200" t="b">
        <f>ARGUMENT("Management",,E3)</f>
        <v>1</v>
      </c>
      <c r="E3" s="201" t="s">
        <v>19</v>
      </c>
      <c r="F3" s="199"/>
      <c r="G3" s="200" t="b">
        <f>ARGUMENT("Exigence_problèmes",,H3)</f>
        <v>1</v>
      </c>
      <c r="H3" s="201" t="s">
        <v>19</v>
      </c>
      <c r="I3" s="199"/>
      <c r="J3" s="200" t="b">
        <f>ARGUMENT("pourcic",,K3)</f>
        <v>1</v>
      </c>
      <c r="K3" s="201">
        <v>0</v>
      </c>
      <c r="L3" s="199"/>
      <c r="M3" s="200" t="b">
        <f>ARGUMENT("Ampleur",,N3)</f>
        <v>1</v>
      </c>
      <c r="N3" s="201" t="s">
        <v>19</v>
      </c>
      <c r="P3" s="200">
        <v>-6</v>
      </c>
      <c r="Q3" s="200" t="s">
        <v>505</v>
      </c>
      <c r="R3" s="202" t="b">
        <f>ARGUMENT("Sprof",,S3)</f>
        <v>1</v>
      </c>
      <c r="S3" s="203">
        <v>0</v>
      </c>
      <c r="T3" s="200" t="b">
        <f>ARGUMENT("C_Khb",,U3)</f>
        <v>1</v>
      </c>
      <c r="U3" s="200" t="s">
        <v>13</v>
      </c>
    </row>
    <row r="4" spans="1:35">
      <c r="A4" s="6">
        <v>3</v>
      </c>
      <c r="B4" s="7">
        <v>6</v>
      </c>
      <c r="C4" s="8"/>
      <c r="D4" s="9" t="b">
        <f>ARGUMENT("Relations_humaines",,E4)</f>
        <v>1</v>
      </c>
      <c r="E4" s="22" t="s">
        <v>19</v>
      </c>
      <c r="G4" s="1" t="b">
        <f>SET.VALUE(H2,TRIM(H2))</f>
        <v>1</v>
      </c>
      <c r="I4" s="8"/>
      <c r="J4" s="1" t="e">
        <f>MATCH(K2,Valeurs_hay,1)-(MATCH(100,Valeurs_hay,1)-MATCH(pourcic,Valeurs_hay,1))</f>
        <v>#N/A</v>
      </c>
      <c r="K4" s="7"/>
      <c r="L4" s="8"/>
      <c r="M4" s="9" t="b">
        <f>ARGUMENT("Impact",,N4)</f>
        <v>1</v>
      </c>
      <c r="N4" s="22" t="s">
        <v>19</v>
      </c>
      <c r="P4">
        <v>-5</v>
      </c>
      <c r="Q4" t="s">
        <v>504</v>
      </c>
      <c r="R4" s="31" t="e">
        <f>VLOOKUP(PsPct,X11:Y26,2)</f>
        <v>#N/A</v>
      </c>
      <c r="S4" s="32"/>
      <c r="T4" t="b">
        <f>ARGUMENT("C_KhHrs",,U4)</f>
        <v>1</v>
      </c>
      <c r="U4">
        <v>1</v>
      </c>
    </row>
    <row r="5" spans="1:35">
      <c r="A5" s="6">
        <v>4</v>
      </c>
      <c r="B5" s="7">
        <v>7</v>
      </c>
      <c r="D5" s="1" t="b">
        <f>SET.VALUE(E2,TRIM(E2))</f>
        <v>1</v>
      </c>
      <c r="E5" s="7"/>
      <c r="G5" s="1" t="b">
        <f>SET.VALUE(H3,TRIM(H3))</f>
        <v>1</v>
      </c>
      <c r="I5" s="8"/>
      <c r="J5" s="1" t="e">
        <f>VLOOKUP(J4,pas_hay,2)</f>
        <v>#N/A</v>
      </c>
      <c r="K5" s="7"/>
      <c r="L5" s="8"/>
      <c r="M5" s="1" t="b">
        <f>SET.VALUE(N2,TRIM(N2))</f>
        <v>1</v>
      </c>
      <c r="N5" s="12" t="s">
        <v>27</v>
      </c>
      <c r="O5" t="s">
        <v>27</v>
      </c>
      <c r="P5">
        <v>-4</v>
      </c>
      <c r="Q5" t="s">
        <v>28</v>
      </c>
      <c r="R5" s="31" t="e">
        <f>HLOOKUP(Sprof,Y8:AI9,2,FALSE)</f>
        <v>#N/A</v>
      </c>
      <c r="S5" s="32"/>
      <c r="T5" t="b">
        <f>RETURN(Validation!B5)</f>
        <v>1</v>
      </c>
      <c r="U5">
        <f>Validation!B5</f>
        <v>1</v>
      </c>
    </row>
    <row r="6" spans="1:35">
      <c r="A6" s="6">
        <v>5</v>
      </c>
      <c r="B6" s="7">
        <v>8</v>
      </c>
      <c r="D6" s="1" t="b">
        <f>SET.VALUE(E3,TRIM(E3))</f>
        <v>1</v>
      </c>
      <c r="F6" s="8"/>
      <c r="G6" s="1" t="str">
        <f>RIGHT(Cadre_réflexion,1)</f>
        <v>0</v>
      </c>
      <c r="H6" s="7"/>
      <c r="I6" s="10"/>
      <c r="J6" s="11" t="b">
        <f>RETURN(IF(ISNA(J5),0,J5))</f>
        <v>1</v>
      </c>
      <c r="K6" s="17"/>
      <c r="L6" s="8"/>
      <c r="M6" s="1" t="b">
        <f>SET.VALUE(N3,TRIM(N3))</f>
        <v>1</v>
      </c>
      <c r="N6" s="24" t="s">
        <v>15</v>
      </c>
      <c r="O6" t="s">
        <v>15</v>
      </c>
      <c r="P6">
        <v>-3</v>
      </c>
      <c r="Q6" t="s">
        <v>29</v>
      </c>
      <c r="R6" s="31" t="e">
        <f>OFFSET(OFF_LP,R4,R5)</f>
        <v>#N/A</v>
      </c>
      <c r="S6" s="32"/>
    </row>
    <row r="7" spans="1:35" ht="12" customHeight="1" thickBot="1">
      <c r="A7" s="6">
        <v>6</v>
      </c>
      <c r="B7" s="7">
        <v>9</v>
      </c>
      <c r="D7" s="1" t="b">
        <f>SET.VALUE(E4,TRIM(E4))</f>
        <v>1</v>
      </c>
      <c r="F7" s="8"/>
      <c r="G7" s="1" t="str">
        <f>RIGHT(Exigence_problèmes,1)</f>
        <v>0</v>
      </c>
      <c r="H7" s="7"/>
      <c r="I7" s="4"/>
      <c r="J7" s="5" t="s">
        <v>30</v>
      </c>
      <c r="K7" s="20"/>
      <c r="L7" s="8"/>
      <c r="M7" s="1" t="b">
        <f>SET.VALUE(N4,TRIM(N4))</f>
        <v>1</v>
      </c>
      <c r="N7" s="24" t="s">
        <v>31</v>
      </c>
      <c r="O7" t="s">
        <v>31</v>
      </c>
      <c r="P7">
        <v>-2</v>
      </c>
      <c r="Q7" t="s">
        <v>32</v>
      </c>
      <c r="R7" s="33" t="b">
        <f>RETURN(IF(ISNA(R5),"",R6))</f>
        <v>1</v>
      </c>
      <c r="S7" s="34"/>
      <c r="Z7" t="s">
        <v>26</v>
      </c>
      <c r="AA7" t="s">
        <v>35</v>
      </c>
      <c r="AB7" t="s">
        <v>36</v>
      </c>
      <c r="AC7" t="s">
        <v>37</v>
      </c>
      <c r="AD7" t="s">
        <v>7</v>
      </c>
      <c r="AE7" t="s">
        <v>33</v>
      </c>
      <c r="AF7" t="s">
        <v>32</v>
      </c>
      <c r="AG7" t="s">
        <v>29</v>
      </c>
      <c r="AH7" t="s">
        <v>28</v>
      </c>
    </row>
    <row r="8" spans="1:35">
      <c r="A8" s="6">
        <v>7</v>
      </c>
      <c r="B8" s="7">
        <v>10</v>
      </c>
      <c r="C8" s="8"/>
      <c r="D8" s="1" t="str">
        <f>SUBSTITUTE(SUBSTITUTE(SUBSTITUTE(UPPER(Management),"N","T"),"+",""),"-","")</f>
        <v>0</v>
      </c>
      <c r="E8" s="7"/>
      <c r="F8" s="8"/>
      <c r="G8" s="1" t="b">
        <f>IF(OR(G6="-",G7="-"),-1)</f>
        <v>0</v>
      </c>
      <c r="H8" s="7"/>
      <c r="I8" s="8"/>
      <c r="J8" s="9" t="b">
        <f>ARGUMENT("pointsIC",,K8)</f>
        <v>1</v>
      </c>
      <c r="K8" s="21">
        <v>0</v>
      </c>
      <c r="L8" s="8"/>
      <c r="M8" s="9" t="str">
        <f>RIGHT(N2,1)</f>
        <v>0</v>
      </c>
      <c r="N8" s="25" t="s">
        <v>4</v>
      </c>
      <c r="O8" t="s">
        <v>4</v>
      </c>
      <c r="P8">
        <v>-1</v>
      </c>
      <c r="Q8" t="s">
        <v>33</v>
      </c>
      <c r="Y8" t="s">
        <v>34</v>
      </c>
      <c r="Z8" t="s">
        <v>218</v>
      </c>
      <c r="AA8" t="s">
        <v>217</v>
      </c>
      <c r="AB8" t="s">
        <v>216</v>
      </c>
      <c r="AC8" t="s">
        <v>215</v>
      </c>
      <c r="AD8" t="s">
        <v>214</v>
      </c>
      <c r="AE8" t="s">
        <v>33</v>
      </c>
      <c r="AF8" t="s">
        <v>32</v>
      </c>
      <c r="AG8" t="s">
        <v>29</v>
      </c>
      <c r="AH8" t="s">
        <v>28</v>
      </c>
      <c r="AI8" t="s">
        <v>34</v>
      </c>
    </row>
    <row r="9" spans="1:35">
      <c r="A9" s="6">
        <v>8</v>
      </c>
      <c r="B9" s="7">
        <v>12</v>
      </c>
      <c r="C9" s="8" t="s">
        <v>38</v>
      </c>
      <c r="D9" s="1" t="str">
        <f>RIGHT(Connaissances)</f>
        <v>0</v>
      </c>
      <c r="F9" s="8"/>
      <c r="G9" s="1" t="b">
        <f>IF(OR(G7="+",G6="+"),1)</f>
        <v>0</v>
      </c>
      <c r="H9" s="7"/>
      <c r="I9" s="8"/>
      <c r="J9" s="9" t="b">
        <f>ARGUMENT("finalité",,K9)</f>
        <v>1</v>
      </c>
      <c r="K9" s="22">
        <v>0</v>
      </c>
      <c r="L9" s="8"/>
      <c r="M9" s="9" t="str">
        <f>RIGHT(N3,1)</f>
        <v>0</v>
      </c>
      <c r="N9" s="12" t="s">
        <v>18</v>
      </c>
      <c r="P9">
        <v>0</v>
      </c>
      <c r="Q9" t="s">
        <v>214</v>
      </c>
      <c r="Y9">
        <v>10</v>
      </c>
      <c r="Z9">
        <v>1</v>
      </c>
      <c r="AA9">
        <v>2</v>
      </c>
      <c r="AB9">
        <v>3</v>
      </c>
      <c r="AC9">
        <v>4</v>
      </c>
      <c r="AD9">
        <v>5</v>
      </c>
      <c r="AE9">
        <v>6</v>
      </c>
      <c r="AF9">
        <v>7</v>
      </c>
      <c r="AG9">
        <v>8</v>
      </c>
      <c r="AH9">
        <v>9</v>
      </c>
      <c r="AI9">
        <v>10</v>
      </c>
    </row>
    <row r="10" spans="1:35">
      <c r="A10" s="6">
        <v>9</v>
      </c>
      <c r="B10" s="7">
        <v>14</v>
      </c>
      <c r="C10" s="8" t="s">
        <v>39</v>
      </c>
      <c r="D10" s="1" t="str">
        <f>RIGHT(Management)</f>
        <v>0</v>
      </c>
      <c r="E10" s="7"/>
      <c r="F10" s="8"/>
      <c r="G10" s="1">
        <f>(CODE(UPPER(LEFT(Cadre_réflexion)))-64)</f>
        <v>-16</v>
      </c>
      <c r="H10" s="7"/>
      <c r="I10" s="8"/>
      <c r="J10" s="19" t="e">
        <f>VLOOKUP(MATCH(K9,Valeurs_hay,1)-MATCH(K8,Valeurs_hay,1),P1:Q21,2)</f>
        <v>#N/A</v>
      </c>
      <c r="K10" s="7"/>
      <c r="L10" s="8"/>
      <c r="M10" s="9" t="str">
        <f>RIGHT(N4,1)</f>
        <v>0</v>
      </c>
      <c r="N10" s="13" t="s">
        <v>16</v>
      </c>
      <c r="P10">
        <v>1</v>
      </c>
      <c r="Q10" t="s">
        <v>215</v>
      </c>
      <c r="Y10" t="s">
        <v>40</v>
      </c>
      <c r="Z10" s="29">
        <v>4</v>
      </c>
      <c r="AA10" s="29">
        <v>3</v>
      </c>
      <c r="AB10" s="29">
        <v>2</v>
      </c>
      <c r="AC10" s="29">
        <v>1</v>
      </c>
      <c r="AD10" s="29">
        <v>0</v>
      </c>
      <c r="AE10" s="29">
        <v>-1</v>
      </c>
      <c r="AF10" s="29">
        <v>-2</v>
      </c>
      <c r="AG10" s="29">
        <v>-3</v>
      </c>
      <c r="AH10" s="29">
        <v>-4</v>
      </c>
      <c r="AI10" s="29">
        <v>-5</v>
      </c>
    </row>
    <row r="11" spans="1:35" ht="12.75">
      <c r="A11" s="6">
        <v>10</v>
      </c>
      <c r="B11" s="7">
        <v>16</v>
      </c>
      <c r="C11" s="8"/>
      <c r="D11" s="1">
        <f>IF(Var_conn="+",1,IF(Var_conn="-",-1,0))</f>
        <v>0</v>
      </c>
      <c r="E11" s="7"/>
      <c r="F11" s="8"/>
      <c r="G11" s="1">
        <f>LEFT(H3,1)*2</f>
        <v>0</v>
      </c>
      <c r="H11" s="7"/>
      <c r="J11" s="19" t="e">
        <f>J10</f>
        <v>#N/A</v>
      </c>
      <c r="L11" s="8"/>
      <c r="M11" s="9">
        <f>IF(M8="+",1,IF(M8="-",-1,0))</f>
        <v>0</v>
      </c>
      <c r="N11" s="13" t="s">
        <v>11</v>
      </c>
      <c r="P11">
        <v>2</v>
      </c>
      <c r="Q11" t="s">
        <v>216</v>
      </c>
      <c r="S11" t="s">
        <v>28</v>
      </c>
      <c r="T11" s="12" t="s">
        <v>13</v>
      </c>
      <c r="U11" t="s">
        <v>27</v>
      </c>
      <c r="X11" s="29">
        <v>10</v>
      </c>
      <c r="Y11">
        <v>1</v>
      </c>
      <c r="Z11" s="30" t="s">
        <v>41</v>
      </c>
      <c r="AA11" s="30" t="s">
        <v>42</v>
      </c>
      <c r="AB11" s="30" t="s">
        <v>43</v>
      </c>
      <c r="AC11" s="30" t="s">
        <v>44</v>
      </c>
      <c r="AD11" s="30" t="s">
        <v>45</v>
      </c>
      <c r="AE11" s="30" t="s">
        <v>46</v>
      </c>
      <c r="AF11" s="30" t="s">
        <v>47</v>
      </c>
      <c r="AG11" s="30" t="s">
        <v>48</v>
      </c>
      <c r="AH11" s="30" t="s">
        <v>49</v>
      </c>
      <c r="AI11" s="30" t="s">
        <v>50</v>
      </c>
    </row>
    <row r="12" spans="1:35" ht="12.75">
      <c r="A12" s="6">
        <v>11</v>
      </c>
      <c r="B12" s="7">
        <v>19</v>
      </c>
      <c r="C12" s="8"/>
      <c r="D12" s="1">
        <f>IF(Var_Mgt="+",1,IF(Var_Mgt="-",-1,0))</f>
        <v>0</v>
      </c>
      <c r="E12" s="7"/>
      <c r="F12" s="8"/>
      <c r="G12" s="1">
        <f>G11+G10+MAX(0,G9+G8)+4</f>
        <v>-12</v>
      </c>
      <c r="H12" s="7"/>
      <c r="I12" s="10"/>
      <c r="J12" s="11" t="b">
        <f>RETURN(IF(ISNA(J11),0,J11))</f>
        <v>1</v>
      </c>
      <c r="K12" s="17"/>
      <c r="L12" s="8"/>
      <c r="M12" s="9">
        <f>IF(M9="+",1,IF(M9="-",-1,0))</f>
        <v>0</v>
      </c>
      <c r="N12" s="13" t="s">
        <v>5</v>
      </c>
      <c r="P12">
        <v>3</v>
      </c>
      <c r="Q12" t="s">
        <v>217</v>
      </c>
      <c r="S12" t="s">
        <v>29</v>
      </c>
      <c r="T12" s="24" t="s">
        <v>10</v>
      </c>
      <c r="U12" t="s">
        <v>15</v>
      </c>
      <c r="X12" s="29">
        <v>12</v>
      </c>
      <c r="Y12">
        <v>2</v>
      </c>
      <c r="Z12" s="30" t="s">
        <v>51</v>
      </c>
      <c r="AA12" s="30" t="s">
        <v>52</v>
      </c>
      <c r="AB12" s="30" t="s">
        <v>53</v>
      </c>
      <c r="AC12" s="30" t="s">
        <v>54</v>
      </c>
      <c r="AD12" s="30" t="s">
        <v>55</v>
      </c>
      <c r="AE12" s="30" t="s">
        <v>56</v>
      </c>
      <c r="AF12" s="30" t="s">
        <v>57</v>
      </c>
      <c r="AG12" s="30" t="s">
        <v>58</v>
      </c>
      <c r="AH12" s="30" t="s">
        <v>59</v>
      </c>
      <c r="AI12" s="30" t="s">
        <v>50</v>
      </c>
    </row>
    <row r="13" spans="1:35" ht="12.75">
      <c r="A13" s="6">
        <v>12</v>
      </c>
      <c r="B13" s="7">
        <v>22</v>
      </c>
      <c r="C13" s="8"/>
      <c r="D13" s="1">
        <f>MAX(MIN(D11+D12,1),-1)</f>
        <v>0</v>
      </c>
      <c r="E13" s="7"/>
      <c r="F13" s="8"/>
      <c r="G13" s="1" t="e">
        <f>VLOOKUP(G12,pas_hay,2)</f>
        <v>#N/A</v>
      </c>
      <c r="H13" s="7"/>
      <c r="L13" s="8"/>
      <c r="M13" s="9">
        <f>IF(M10="+",1,IF(M10="-",-1,0))</f>
        <v>0</v>
      </c>
      <c r="N13" s="13" t="s">
        <v>2</v>
      </c>
      <c r="P13">
        <v>4</v>
      </c>
      <c r="Q13" t="s">
        <v>218</v>
      </c>
      <c r="S13" t="s">
        <v>32</v>
      </c>
      <c r="T13" s="24" t="s">
        <v>8</v>
      </c>
      <c r="U13" t="s">
        <v>31</v>
      </c>
      <c r="X13" s="29">
        <v>14</v>
      </c>
      <c r="Y13">
        <v>3</v>
      </c>
      <c r="Z13" s="30" t="s">
        <v>60</v>
      </c>
      <c r="AA13" s="30" t="s">
        <v>61</v>
      </c>
      <c r="AB13" s="30" t="s">
        <v>62</v>
      </c>
      <c r="AC13" s="30" t="s">
        <v>63</v>
      </c>
      <c r="AD13" s="30" t="s">
        <v>64</v>
      </c>
      <c r="AE13" s="30" t="s">
        <v>65</v>
      </c>
      <c r="AF13" s="30" t="s">
        <v>66</v>
      </c>
      <c r="AG13" s="30" t="s">
        <v>67</v>
      </c>
      <c r="AH13" s="30" t="s">
        <v>68</v>
      </c>
      <c r="AI13" s="30" t="s">
        <v>50</v>
      </c>
    </row>
    <row r="14" spans="1:35" ht="12.75">
      <c r="A14" s="6">
        <v>13</v>
      </c>
      <c r="B14" s="7">
        <v>25</v>
      </c>
      <c r="C14" s="8"/>
      <c r="D14" s="1">
        <f>(CODE(UPPER(LEFT(Connaissances)))-64)*2</f>
        <v>-32</v>
      </c>
      <c r="E14" s="7"/>
      <c r="F14" s="10"/>
      <c r="G14" s="11" t="b">
        <f>RETURN(IF(ISNA(G13),0,G13))</f>
        <v>1</v>
      </c>
      <c r="H14" s="17"/>
      <c r="L14" s="8"/>
      <c r="M14" s="18">
        <f>MAX(MIN(M11+M12+M13,1),-1)</f>
        <v>0</v>
      </c>
      <c r="N14" s="13" t="s">
        <v>69</v>
      </c>
      <c r="P14">
        <v>5</v>
      </c>
      <c r="Q14" t="s">
        <v>219</v>
      </c>
      <c r="S14" t="s">
        <v>33</v>
      </c>
      <c r="T14" s="25" t="s">
        <v>4</v>
      </c>
      <c r="U14" t="s">
        <v>4</v>
      </c>
      <c r="X14" s="29">
        <v>16</v>
      </c>
      <c r="Y14">
        <v>4</v>
      </c>
      <c r="Z14" s="30" t="s">
        <v>70</v>
      </c>
      <c r="AA14" s="30" t="s">
        <v>71</v>
      </c>
      <c r="AB14" s="30" t="s">
        <v>72</v>
      </c>
      <c r="AC14" s="30" t="s">
        <v>73</v>
      </c>
      <c r="AD14" s="30" t="s">
        <v>74</v>
      </c>
      <c r="AE14" s="30" t="s">
        <v>75</v>
      </c>
      <c r="AF14" s="30" t="s">
        <v>76</v>
      </c>
      <c r="AG14" s="30" t="s">
        <v>77</v>
      </c>
      <c r="AH14" s="30" t="s">
        <v>78</v>
      </c>
      <c r="AI14" s="30" t="s">
        <v>50</v>
      </c>
    </row>
    <row r="15" spans="1:35" ht="12.75">
      <c r="A15" s="6">
        <v>14</v>
      </c>
      <c r="B15" s="7">
        <v>29</v>
      </c>
      <c r="C15" s="8"/>
      <c r="D15" s="1" t="e">
        <f>MATCH(UPPER(D8),C19:C31,0)*2</f>
        <v>#N/A</v>
      </c>
      <c r="E15" s="7"/>
      <c r="L15" s="8"/>
      <c r="M15" s="146">
        <f>(CODE(UPPER(LEFT(Latitude_action)))-64)*3</f>
        <v>-48</v>
      </c>
      <c r="N15" s="13" t="s">
        <v>79</v>
      </c>
      <c r="P15">
        <v>6</v>
      </c>
      <c r="Q15" t="s">
        <v>220</v>
      </c>
      <c r="S15" t="s">
        <v>7</v>
      </c>
      <c r="X15" s="29">
        <v>19</v>
      </c>
      <c r="Y15">
        <v>5</v>
      </c>
      <c r="Z15" s="30" t="s">
        <v>80</v>
      </c>
      <c r="AA15" s="30" t="s">
        <v>81</v>
      </c>
      <c r="AB15" s="30" t="s">
        <v>82</v>
      </c>
      <c r="AC15" s="30" t="s">
        <v>83</v>
      </c>
      <c r="AD15" s="30" t="s">
        <v>84</v>
      </c>
      <c r="AE15" s="30" t="s">
        <v>85</v>
      </c>
      <c r="AF15" s="30" t="s">
        <v>86</v>
      </c>
      <c r="AG15" s="30" t="s">
        <v>87</v>
      </c>
      <c r="AH15" s="30" t="s">
        <v>88</v>
      </c>
      <c r="AI15" s="30" t="s">
        <v>50</v>
      </c>
    </row>
    <row r="16" spans="1:35" ht="12.75">
      <c r="A16" s="6">
        <v>15</v>
      </c>
      <c r="B16" s="7">
        <v>33</v>
      </c>
      <c r="C16" s="8"/>
      <c r="D16" s="1" t="e">
        <f>VALUE(LEFT(Relations_humaines,1))+D15+D14+D13+12</f>
        <v>#N/A</v>
      </c>
      <c r="E16" s="7"/>
      <c r="L16" s="8"/>
      <c r="M16" s="146">
        <f>VLOOKUP(UPPER(LEFT(Ampleur,1)),N25:O34,2)*2</f>
        <v>2</v>
      </c>
      <c r="N16" s="13" t="s">
        <v>89</v>
      </c>
      <c r="P16">
        <v>7</v>
      </c>
      <c r="Q16" t="s">
        <v>221</v>
      </c>
      <c r="S16" t="s">
        <v>37</v>
      </c>
      <c r="X16" s="29">
        <v>22</v>
      </c>
      <c r="Y16">
        <v>6</v>
      </c>
      <c r="Z16" s="30" t="s">
        <v>90</v>
      </c>
      <c r="AA16" s="30" t="s">
        <v>91</v>
      </c>
      <c r="AB16" s="30" t="s">
        <v>92</v>
      </c>
      <c r="AC16" s="30" t="s">
        <v>93</v>
      </c>
      <c r="AD16" s="30" t="s">
        <v>94</v>
      </c>
      <c r="AE16" s="30" t="s">
        <v>95</v>
      </c>
      <c r="AF16" s="30" t="s">
        <v>96</v>
      </c>
      <c r="AG16" s="30" t="s">
        <v>97</v>
      </c>
      <c r="AH16" s="30" t="s">
        <v>98</v>
      </c>
      <c r="AI16" s="30" t="s">
        <v>50</v>
      </c>
    </row>
    <row r="17" spans="1:35" ht="12.75">
      <c r="A17" s="6">
        <v>16</v>
      </c>
      <c r="B17" s="7">
        <v>38</v>
      </c>
      <c r="C17" s="8"/>
      <c r="D17" s="1" t="e">
        <f>VLOOKUP(D16,pas_hay,2)</f>
        <v>#N/A</v>
      </c>
      <c r="E17" s="7"/>
      <c r="L17" s="8"/>
      <c r="M17" s="147">
        <f>VLOOKUP(UPPER(LEFT(N4,LEN(N4)-ABS(M13))),N36:O45,2,FALSE)*2</f>
        <v>10</v>
      </c>
      <c r="N17" s="15" t="s">
        <v>99</v>
      </c>
      <c r="P17">
        <v>8</v>
      </c>
      <c r="Q17" t="s">
        <v>506</v>
      </c>
      <c r="S17" t="s">
        <v>36</v>
      </c>
      <c r="X17" s="29">
        <v>25</v>
      </c>
      <c r="Y17">
        <v>7</v>
      </c>
      <c r="Z17" s="30" t="s">
        <v>100</v>
      </c>
      <c r="AA17" s="30" t="s">
        <v>101</v>
      </c>
      <c r="AB17" s="30" t="s">
        <v>102</v>
      </c>
      <c r="AC17" s="30" t="s">
        <v>103</v>
      </c>
      <c r="AD17" s="30" t="s">
        <v>104</v>
      </c>
      <c r="AE17" s="30" t="s">
        <v>105</v>
      </c>
      <c r="AF17" s="30" t="s">
        <v>106</v>
      </c>
      <c r="AG17" s="30" t="s">
        <v>107</v>
      </c>
      <c r="AH17" s="30" t="s">
        <v>108</v>
      </c>
      <c r="AI17" s="30" t="s">
        <v>50</v>
      </c>
    </row>
    <row r="18" spans="1:35" ht="12.75">
      <c r="A18" s="6">
        <v>17</v>
      </c>
      <c r="B18" s="7">
        <v>43</v>
      </c>
      <c r="C18" s="10"/>
      <c r="D18" s="11" t="b">
        <f>RETURN(IF(ISNA(D17),0,D17))</f>
        <v>1</v>
      </c>
      <c r="E18" s="17"/>
      <c r="L18" s="8"/>
      <c r="M18" s="1" t="b">
        <f>IF(ISNA(M16),SET.VALUE(M16,MATCH(SUBSTITUTE(SUBSTITUTE(Ampleur,"+",""),"-",""),C19:C31,0)*2))</f>
        <v>0</v>
      </c>
      <c r="P18">
        <v>9</v>
      </c>
      <c r="Q18" t="s">
        <v>507</v>
      </c>
      <c r="S18" t="s">
        <v>35</v>
      </c>
      <c r="X18" s="29">
        <v>29</v>
      </c>
      <c r="Y18">
        <v>8</v>
      </c>
      <c r="Z18" s="30" t="s">
        <v>109</v>
      </c>
      <c r="AA18" s="30" t="s">
        <v>110</v>
      </c>
      <c r="AB18" s="30" t="s">
        <v>111</v>
      </c>
      <c r="AC18" s="30" t="s">
        <v>112</v>
      </c>
      <c r="AD18" s="30" t="s">
        <v>113</v>
      </c>
      <c r="AE18" s="30" t="s">
        <v>114</v>
      </c>
      <c r="AF18" s="30" t="s">
        <v>115</v>
      </c>
      <c r="AG18" s="30" t="s">
        <v>116</v>
      </c>
      <c r="AH18" s="30" t="s">
        <v>117</v>
      </c>
      <c r="AI18" s="30" t="s">
        <v>50</v>
      </c>
    </row>
    <row r="19" spans="1:35" ht="12.75">
      <c r="A19" s="6">
        <v>18</v>
      </c>
      <c r="B19" s="7">
        <v>50</v>
      </c>
      <c r="C19" s="2" t="s">
        <v>201</v>
      </c>
      <c r="D19" s="14">
        <v>1</v>
      </c>
      <c r="L19" s="8"/>
      <c r="M19" s="1" t="b">
        <f>IF(ISNA(M17),SET.VALUE(M17,10-SUBSTITUTE(SUBSTITUTE(Impact,"+",""),"-","")*2))</f>
        <v>1</v>
      </c>
      <c r="P19">
        <v>10</v>
      </c>
      <c r="Q19" t="s">
        <v>24</v>
      </c>
      <c r="S19" t="s">
        <v>26</v>
      </c>
      <c r="X19" s="29">
        <v>33</v>
      </c>
      <c r="Y19">
        <v>9</v>
      </c>
      <c r="Z19" s="30" t="s">
        <v>118</v>
      </c>
      <c r="AA19" s="30" t="s">
        <v>119</v>
      </c>
      <c r="AB19" s="30" t="s">
        <v>120</v>
      </c>
      <c r="AC19" s="30" t="s">
        <v>121</v>
      </c>
      <c r="AD19" s="30" t="s">
        <v>122</v>
      </c>
      <c r="AE19" s="30" t="s">
        <v>123</v>
      </c>
      <c r="AF19" s="30" t="s">
        <v>124</v>
      </c>
      <c r="AG19" s="30" t="s">
        <v>125</v>
      </c>
      <c r="AH19" s="30" t="s">
        <v>126</v>
      </c>
      <c r="AI19" s="30" t="s">
        <v>50</v>
      </c>
    </row>
    <row r="20" spans="1:35" ht="12.75">
      <c r="A20" s="6">
        <v>19</v>
      </c>
      <c r="B20" s="7">
        <v>57</v>
      </c>
      <c r="C20" s="8" t="s">
        <v>12</v>
      </c>
      <c r="D20" s="1">
        <v>2</v>
      </c>
      <c r="L20" s="8"/>
      <c r="M20" s="1">
        <f>SUM(M14:M17)-1</f>
        <v>-37</v>
      </c>
      <c r="P20">
        <v>100</v>
      </c>
      <c r="Q20" t="s">
        <v>24</v>
      </c>
      <c r="S20" t="s">
        <v>211</v>
      </c>
      <c r="X20" s="29">
        <v>38</v>
      </c>
      <c r="Y20">
        <v>10</v>
      </c>
      <c r="Z20" s="30" t="s">
        <v>127</v>
      </c>
      <c r="AA20" s="30" t="s">
        <v>128</v>
      </c>
      <c r="AB20" s="30" t="s">
        <v>129</v>
      </c>
      <c r="AC20" s="30" t="s">
        <v>130</v>
      </c>
      <c r="AD20" s="30" t="s">
        <v>131</v>
      </c>
      <c r="AE20" s="30" t="s">
        <v>132</v>
      </c>
      <c r="AF20" s="30" t="s">
        <v>133</v>
      </c>
      <c r="AG20" s="30" t="s">
        <v>134</v>
      </c>
      <c r="AH20" s="30" t="s">
        <v>135</v>
      </c>
      <c r="AI20" s="30" t="s">
        <v>50</v>
      </c>
    </row>
    <row r="21" spans="1:35" ht="12.75">
      <c r="A21" s="6">
        <v>20</v>
      </c>
      <c r="B21" s="7">
        <v>66</v>
      </c>
      <c r="C21" s="8" t="s">
        <v>6</v>
      </c>
      <c r="D21" s="1">
        <v>3</v>
      </c>
      <c r="L21" s="8"/>
      <c r="M21" s="27" t="e">
        <f>VLOOKUP(M20,pas_hay,2)</f>
        <v>#N/A</v>
      </c>
      <c r="S21" t="s">
        <v>212</v>
      </c>
      <c r="X21" s="29">
        <v>43</v>
      </c>
      <c r="Y21">
        <v>11</v>
      </c>
      <c r="Z21" s="30" t="s">
        <v>136</v>
      </c>
      <c r="AA21" s="30" t="s">
        <v>137</v>
      </c>
      <c r="AB21" s="30" t="s">
        <v>138</v>
      </c>
      <c r="AC21" s="30" t="s">
        <v>139</v>
      </c>
      <c r="AD21" s="30" t="s">
        <v>140</v>
      </c>
      <c r="AE21" s="30" t="s">
        <v>141</v>
      </c>
      <c r="AF21" s="30" t="s">
        <v>142</v>
      </c>
      <c r="AG21" s="30" t="s">
        <v>143</v>
      </c>
      <c r="AH21" s="30" t="s">
        <v>144</v>
      </c>
      <c r="AI21" s="30" t="s">
        <v>50</v>
      </c>
    </row>
    <row r="22" spans="1:35" ht="12.75">
      <c r="A22" s="6">
        <v>21</v>
      </c>
      <c r="B22" s="7">
        <v>76</v>
      </c>
      <c r="C22" s="8" t="s">
        <v>145</v>
      </c>
      <c r="D22" s="1">
        <v>4</v>
      </c>
      <c r="L22" s="10"/>
      <c r="M22" s="11" t="b">
        <f>RETURN(IF(ISNA(M21),0,M21))</f>
        <v>1</v>
      </c>
      <c r="S22" t="s">
        <v>213</v>
      </c>
      <c r="X22" s="29">
        <v>50</v>
      </c>
      <c r="Y22">
        <v>12</v>
      </c>
      <c r="Z22" s="30" t="s">
        <v>146</v>
      </c>
      <c r="AA22" s="30" t="s">
        <v>147</v>
      </c>
      <c r="AB22" s="30" t="s">
        <v>148</v>
      </c>
      <c r="AC22" s="30" t="s">
        <v>149</v>
      </c>
      <c r="AD22" s="30" t="s">
        <v>150</v>
      </c>
      <c r="AE22" s="30" t="s">
        <v>151</v>
      </c>
      <c r="AF22" s="30" t="s">
        <v>152</v>
      </c>
      <c r="AG22" s="30" t="s">
        <v>153</v>
      </c>
      <c r="AH22" s="30" t="s">
        <v>154</v>
      </c>
      <c r="AI22" s="30" t="s">
        <v>50</v>
      </c>
    </row>
    <row r="23" spans="1:35">
      <c r="A23" s="6">
        <v>22</v>
      </c>
      <c r="B23" s="7">
        <v>87</v>
      </c>
      <c r="C23" s="8" t="s">
        <v>155</v>
      </c>
      <c r="D23" s="1">
        <v>5</v>
      </c>
      <c r="X23" s="29">
        <v>57</v>
      </c>
      <c r="Y23">
        <v>13</v>
      </c>
      <c r="Z23" s="30" t="s">
        <v>156</v>
      </c>
      <c r="AA23" s="30" t="s">
        <v>157</v>
      </c>
      <c r="AB23" s="30" t="s">
        <v>158</v>
      </c>
      <c r="AC23" s="30" t="s">
        <v>159</v>
      </c>
      <c r="AD23" s="30" t="s">
        <v>160</v>
      </c>
      <c r="AE23" s="30" t="s">
        <v>161</v>
      </c>
      <c r="AF23" s="30" t="s">
        <v>162</v>
      </c>
      <c r="AG23" s="30" t="s">
        <v>163</v>
      </c>
      <c r="AH23" s="30" t="s">
        <v>164</v>
      </c>
      <c r="AI23" s="30" t="s">
        <v>50</v>
      </c>
    </row>
    <row r="24" spans="1:35">
      <c r="A24" s="6">
        <v>23</v>
      </c>
      <c r="B24" s="7">
        <v>100</v>
      </c>
      <c r="C24" s="8" t="s">
        <v>13</v>
      </c>
      <c r="D24" s="1">
        <v>6</v>
      </c>
      <c r="X24" s="29">
        <v>66</v>
      </c>
      <c r="Y24">
        <v>14</v>
      </c>
      <c r="Z24" s="30" t="s">
        <v>165</v>
      </c>
      <c r="AA24" s="30" t="s">
        <v>166</v>
      </c>
      <c r="AB24" s="30" t="s">
        <v>167</v>
      </c>
      <c r="AC24" s="30" t="s">
        <v>168</v>
      </c>
      <c r="AD24" s="30" t="s">
        <v>169</v>
      </c>
      <c r="AE24" s="30" t="s">
        <v>170</v>
      </c>
      <c r="AF24" s="30" t="s">
        <v>171</v>
      </c>
      <c r="AG24" s="30" t="s">
        <v>172</v>
      </c>
      <c r="AH24" s="30" t="s">
        <v>173</v>
      </c>
      <c r="AI24" s="30" t="s">
        <v>50</v>
      </c>
    </row>
    <row r="25" spans="1:35">
      <c r="A25" s="6">
        <v>24</v>
      </c>
      <c r="B25" s="7">
        <v>115</v>
      </c>
      <c r="C25" s="8" t="s">
        <v>174</v>
      </c>
      <c r="D25" s="1">
        <v>7</v>
      </c>
      <c r="N25" s="38" t="s">
        <v>19</v>
      </c>
      <c r="O25">
        <v>1</v>
      </c>
      <c r="X25" s="29">
        <v>76</v>
      </c>
      <c r="Y25">
        <v>15</v>
      </c>
      <c r="Z25" s="30" t="s">
        <v>175</v>
      </c>
      <c r="AA25" s="30" t="s">
        <v>176</v>
      </c>
      <c r="AB25" s="30" t="s">
        <v>177</v>
      </c>
      <c r="AC25" s="30" t="s">
        <v>178</v>
      </c>
      <c r="AD25" s="30" t="s">
        <v>179</v>
      </c>
      <c r="AE25" s="30" t="s">
        <v>180</v>
      </c>
      <c r="AF25" s="30" t="s">
        <v>181</v>
      </c>
      <c r="AG25" s="30" t="s">
        <v>182</v>
      </c>
      <c r="AH25" s="30" t="s">
        <v>183</v>
      </c>
      <c r="AI25" s="30" t="s">
        <v>50</v>
      </c>
    </row>
    <row r="26" spans="1:35">
      <c r="A26" s="6">
        <v>25</v>
      </c>
      <c r="B26" s="7">
        <v>132</v>
      </c>
      <c r="C26" s="8" t="s">
        <v>184</v>
      </c>
      <c r="D26" s="1">
        <v>8</v>
      </c>
      <c r="N26" s="13" t="s">
        <v>16</v>
      </c>
      <c r="O26">
        <v>2</v>
      </c>
      <c r="X26" s="29">
        <v>87</v>
      </c>
      <c r="Y26">
        <v>16</v>
      </c>
      <c r="Z26" s="30" t="s">
        <v>185</v>
      </c>
      <c r="AA26" s="30" t="s">
        <v>186</v>
      </c>
      <c r="AB26" s="30" t="s">
        <v>187</v>
      </c>
      <c r="AC26" s="30" t="s">
        <v>188</v>
      </c>
      <c r="AD26" s="30" t="s">
        <v>189</v>
      </c>
      <c r="AE26" s="30" t="s">
        <v>190</v>
      </c>
      <c r="AF26" s="30" t="s">
        <v>191</v>
      </c>
      <c r="AG26" s="30" t="s">
        <v>192</v>
      </c>
      <c r="AH26" s="30" t="s">
        <v>193</v>
      </c>
      <c r="AI26" s="30" t="s">
        <v>50</v>
      </c>
    </row>
    <row r="27" spans="1:35">
      <c r="A27" s="6">
        <v>26</v>
      </c>
      <c r="B27" s="7">
        <v>152</v>
      </c>
      <c r="C27" s="8" t="s">
        <v>194</v>
      </c>
      <c r="D27" s="1">
        <v>9</v>
      </c>
      <c r="N27" s="13" t="s">
        <v>11</v>
      </c>
      <c r="O27">
        <v>3</v>
      </c>
    </row>
    <row r="28" spans="1:35">
      <c r="A28" s="6">
        <v>27</v>
      </c>
      <c r="B28" s="7">
        <v>175</v>
      </c>
      <c r="C28" s="8" t="s">
        <v>195</v>
      </c>
      <c r="D28" s="1">
        <v>10</v>
      </c>
      <c r="N28" s="13" t="s">
        <v>5</v>
      </c>
      <c r="O28">
        <v>4</v>
      </c>
    </row>
    <row r="29" spans="1:35">
      <c r="A29" s="6">
        <v>28</v>
      </c>
      <c r="B29" s="7">
        <v>200</v>
      </c>
      <c r="C29" s="8" t="s">
        <v>196</v>
      </c>
      <c r="D29" s="1">
        <v>11</v>
      </c>
      <c r="N29" s="13" t="s">
        <v>2</v>
      </c>
      <c r="O29">
        <v>5</v>
      </c>
    </row>
    <row r="30" spans="1:35">
      <c r="A30" s="6">
        <v>29</v>
      </c>
      <c r="B30" s="7">
        <v>230</v>
      </c>
      <c r="C30" s="8" t="s">
        <v>197</v>
      </c>
      <c r="D30" s="1">
        <v>12</v>
      </c>
      <c r="N30" s="13" t="s">
        <v>69</v>
      </c>
      <c r="O30">
        <v>6</v>
      </c>
    </row>
    <row r="31" spans="1:35">
      <c r="A31" s="6">
        <v>30</v>
      </c>
      <c r="B31" s="7">
        <v>264</v>
      </c>
      <c r="C31" s="10" t="s">
        <v>198</v>
      </c>
      <c r="D31" s="11">
        <v>13</v>
      </c>
      <c r="N31" s="13" t="s">
        <v>79</v>
      </c>
      <c r="O31">
        <v>7</v>
      </c>
    </row>
    <row r="32" spans="1:35">
      <c r="A32" s="6">
        <v>31</v>
      </c>
      <c r="B32" s="7">
        <v>304</v>
      </c>
      <c r="C32" s="9"/>
      <c r="N32" s="13" t="s">
        <v>89</v>
      </c>
      <c r="O32">
        <v>8</v>
      </c>
    </row>
    <row r="33" spans="1:18">
      <c r="A33" s="6">
        <v>32</v>
      </c>
      <c r="B33" s="7">
        <v>350</v>
      </c>
      <c r="C33" s="9"/>
      <c r="N33" s="15" t="s">
        <v>99</v>
      </c>
      <c r="O33">
        <v>9</v>
      </c>
    </row>
    <row r="34" spans="1:18">
      <c r="A34" s="6">
        <v>33</v>
      </c>
      <c r="B34" s="7">
        <v>400</v>
      </c>
      <c r="C34" s="9"/>
      <c r="N34" s="37" t="s">
        <v>18</v>
      </c>
      <c r="O34">
        <v>1</v>
      </c>
    </row>
    <row r="35" spans="1:18">
      <c r="A35" s="6">
        <v>34</v>
      </c>
      <c r="B35" s="7">
        <v>460</v>
      </c>
      <c r="C35" s="9"/>
    </row>
    <row r="36" spans="1:18">
      <c r="A36" s="6">
        <v>35</v>
      </c>
      <c r="B36" s="7">
        <v>528</v>
      </c>
      <c r="N36" s="144" t="s">
        <v>12</v>
      </c>
      <c r="O36" s="14">
        <v>1</v>
      </c>
    </row>
    <row r="37" spans="1:18">
      <c r="A37" s="6">
        <v>36</v>
      </c>
      <c r="B37" s="7">
        <v>608</v>
      </c>
      <c r="N37" s="142" t="s">
        <v>6</v>
      </c>
      <c r="O37" s="1">
        <v>2</v>
      </c>
    </row>
    <row r="38" spans="1:18">
      <c r="A38" s="6">
        <v>37</v>
      </c>
      <c r="B38" s="7">
        <v>700</v>
      </c>
      <c r="N38" s="142" t="s">
        <v>145</v>
      </c>
      <c r="O38" s="1">
        <v>3</v>
      </c>
    </row>
    <row r="39" spans="1:18">
      <c r="A39" s="6">
        <v>38</v>
      </c>
      <c r="B39" s="7">
        <v>800</v>
      </c>
      <c r="N39" s="142" t="s">
        <v>155</v>
      </c>
      <c r="O39" s="1">
        <v>4</v>
      </c>
    </row>
    <row r="40" spans="1:18">
      <c r="A40" s="6">
        <v>39</v>
      </c>
      <c r="B40" s="7">
        <v>920</v>
      </c>
      <c r="N40" s="142" t="s">
        <v>13</v>
      </c>
      <c r="O40" s="1">
        <v>5</v>
      </c>
    </row>
    <row r="41" spans="1:18">
      <c r="A41" s="6">
        <v>40</v>
      </c>
      <c r="B41" s="7">
        <v>1056</v>
      </c>
      <c r="N41" s="143" t="s">
        <v>174</v>
      </c>
      <c r="O41" s="11">
        <v>6</v>
      </c>
    </row>
    <row r="42" spans="1:18">
      <c r="A42" s="6">
        <v>41</v>
      </c>
      <c r="B42" s="7">
        <v>1216</v>
      </c>
      <c r="N42" s="142" t="s">
        <v>27</v>
      </c>
      <c r="O42" s="1">
        <v>1</v>
      </c>
    </row>
    <row r="43" spans="1:18">
      <c r="A43" s="6">
        <v>42</v>
      </c>
      <c r="B43" s="7">
        <v>1400</v>
      </c>
      <c r="N43" s="142" t="s">
        <v>15</v>
      </c>
      <c r="O43" s="1">
        <v>2</v>
      </c>
    </row>
    <row r="44" spans="1:18">
      <c r="A44" s="6">
        <v>43</v>
      </c>
      <c r="B44" s="7">
        <v>1600</v>
      </c>
      <c r="N44" s="142" t="s">
        <v>31</v>
      </c>
      <c r="O44" s="1">
        <v>3</v>
      </c>
      <c r="R44" s="7"/>
    </row>
    <row r="45" spans="1:18">
      <c r="A45" s="6">
        <v>44</v>
      </c>
      <c r="B45" s="7">
        <v>1840</v>
      </c>
      <c r="N45" s="143" t="s">
        <v>4</v>
      </c>
      <c r="O45" s="11">
        <v>4</v>
      </c>
      <c r="R45" s="7"/>
    </row>
    <row r="46" spans="1:18">
      <c r="A46" s="6">
        <v>45</v>
      </c>
      <c r="B46" s="7">
        <v>2112</v>
      </c>
      <c r="N46" s="37"/>
      <c r="R46" s="7"/>
    </row>
    <row r="47" spans="1:18">
      <c r="A47" s="6">
        <v>46</v>
      </c>
      <c r="B47" s="7">
        <v>2432</v>
      </c>
      <c r="R47" s="7"/>
    </row>
    <row r="48" spans="1:18">
      <c r="A48" s="6">
        <v>47</v>
      </c>
      <c r="B48" s="7">
        <v>2800</v>
      </c>
      <c r="R48" s="7"/>
    </row>
    <row r="49" spans="1:21">
      <c r="A49" s="6">
        <v>48</v>
      </c>
      <c r="B49" s="7">
        <v>3200</v>
      </c>
      <c r="R49" s="7"/>
    </row>
    <row r="50" spans="1:21">
      <c r="A50" s="6">
        <v>49</v>
      </c>
      <c r="B50" s="7">
        <v>3680</v>
      </c>
      <c r="R50" s="7"/>
    </row>
    <row r="51" spans="1:21">
      <c r="A51" s="6">
        <v>50</v>
      </c>
      <c r="B51" s="7">
        <v>4224</v>
      </c>
      <c r="R51" s="7"/>
    </row>
    <row r="52" spans="1:21">
      <c r="A52" s="6">
        <v>51</v>
      </c>
      <c r="B52" s="7">
        <f>B47*2</f>
        <v>4864</v>
      </c>
      <c r="R52" s="7"/>
    </row>
    <row r="53" spans="1:21">
      <c r="A53" s="6">
        <v>52</v>
      </c>
      <c r="B53" s="7">
        <f>B48*2</f>
        <v>5600</v>
      </c>
      <c r="R53" s="7"/>
    </row>
    <row r="54" spans="1:21">
      <c r="A54" s="6">
        <v>53</v>
      </c>
      <c r="B54" s="7">
        <f>B49*2</f>
        <v>6400</v>
      </c>
      <c r="R54" s="7"/>
    </row>
    <row r="55" spans="1:21">
      <c r="A55" s="6">
        <v>54</v>
      </c>
      <c r="B55" s="7">
        <f>B50*2</f>
        <v>7360</v>
      </c>
      <c r="R55" s="7"/>
    </row>
    <row r="56" spans="1:21">
      <c r="A56" s="6">
        <v>55</v>
      </c>
      <c r="B56" s="7">
        <f>B51*2</f>
        <v>8448</v>
      </c>
      <c r="R56" s="7"/>
    </row>
    <row r="57" spans="1:21">
      <c r="A57" s="6">
        <v>56</v>
      </c>
      <c r="B57" s="7">
        <f>B52*2</f>
        <v>9728</v>
      </c>
      <c r="R57" s="7"/>
    </row>
    <row r="58" spans="1:21">
      <c r="A58" s="6">
        <v>57</v>
      </c>
      <c r="B58" s="7">
        <f>B53*2</f>
        <v>11200</v>
      </c>
      <c r="R58" s="7"/>
    </row>
    <row r="59" spans="1:21">
      <c r="A59" s="6">
        <v>58</v>
      </c>
      <c r="B59" s="7">
        <f>B54*2</f>
        <v>12800</v>
      </c>
      <c r="R59" s="7"/>
    </row>
    <row r="60" spans="1:21">
      <c r="A60" s="16">
        <v>59</v>
      </c>
      <c r="B60" s="7">
        <f>B55*2</f>
        <v>14720</v>
      </c>
      <c r="C60" s="40" t="s">
        <v>201</v>
      </c>
      <c r="D60" s="41"/>
      <c r="E60" s="42"/>
      <c r="F60" s="43" t="s">
        <v>12</v>
      </c>
      <c r="G60" s="44"/>
      <c r="H60" s="42"/>
      <c r="I60" s="5" t="s">
        <v>6</v>
      </c>
      <c r="J60" s="45"/>
      <c r="K60" s="42"/>
      <c r="L60" s="5" t="s">
        <v>145</v>
      </c>
      <c r="M60" s="45"/>
      <c r="P60" s="45"/>
      <c r="Q60" s="4"/>
      <c r="R60" s="5" t="s">
        <v>13</v>
      </c>
      <c r="S60" s="46"/>
    </row>
    <row r="61" spans="1:21" ht="14.25" thickBot="1">
      <c r="A61" s="51"/>
      <c r="B61" s="48">
        <v>1</v>
      </c>
      <c r="C61" s="48">
        <v>2</v>
      </c>
      <c r="D61" s="48">
        <v>3</v>
      </c>
      <c r="E61" s="49">
        <v>1</v>
      </c>
      <c r="F61" s="48">
        <v>2</v>
      </c>
      <c r="G61" s="48">
        <v>3</v>
      </c>
      <c r="H61" s="49">
        <v>1</v>
      </c>
      <c r="I61" s="48">
        <v>2</v>
      </c>
      <c r="J61" s="48">
        <v>3</v>
      </c>
      <c r="K61" s="49">
        <v>1</v>
      </c>
      <c r="L61" s="48">
        <v>2</v>
      </c>
      <c r="M61" s="48">
        <v>3</v>
      </c>
      <c r="P61" s="48">
        <v>3</v>
      </c>
      <c r="Q61" s="48">
        <v>1</v>
      </c>
      <c r="R61" s="48">
        <v>2</v>
      </c>
      <c r="S61" s="50">
        <v>3</v>
      </c>
    </row>
    <row r="62" spans="1:21" ht="12.75">
      <c r="A62" s="1" t="s">
        <v>200</v>
      </c>
      <c r="B62" s="47">
        <v>2</v>
      </c>
      <c r="C62" s="47">
        <v>0</v>
      </c>
      <c r="D62" s="47">
        <v>0</v>
      </c>
      <c r="E62" s="47">
        <v>1</v>
      </c>
      <c r="F62" s="47">
        <v>0</v>
      </c>
      <c r="G62" s="47">
        <v>0</v>
      </c>
      <c r="H62" s="47">
        <v>0</v>
      </c>
      <c r="I62" s="47">
        <v>0</v>
      </c>
      <c r="J62" s="47">
        <v>0</v>
      </c>
      <c r="K62" s="47">
        <v>0</v>
      </c>
      <c r="L62" s="47">
        <v>0</v>
      </c>
      <c r="M62" s="47">
        <v>0</v>
      </c>
      <c r="N62" s="42"/>
      <c r="O62" s="5" t="s">
        <v>155</v>
      </c>
      <c r="P62" s="47">
        <v>0</v>
      </c>
      <c r="Q62" s="47">
        <v>0</v>
      </c>
      <c r="R62" s="47">
        <v>0</v>
      </c>
      <c r="S62" s="47">
        <v>0</v>
      </c>
      <c r="U62">
        <v>1</v>
      </c>
    </row>
    <row r="63" spans="1:21" thickBot="1">
      <c r="A63" s="1" t="s">
        <v>203</v>
      </c>
      <c r="B63" s="47">
        <v>2</v>
      </c>
      <c r="C63" s="47">
        <v>1</v>
      </c>
      <c r="D63" s="47">
        <v>0</v>
      </c>
      <c r="E63" s="47">
        <v>2</v>
      </c>
      <c r="F63" s="47">
        <v>1</v>
      </c>
      <c r="G63" s="47">
        <v>2</v>
      </c>
      <c r="H63" s="47">
        <v>0</v>
      </c>
      <c r="I63" s="47">
        <v>0</v>
      </c>
      <c r="J63" s="47">
        <v>0</v>
      </c>
      <c r="K63" s="47">
        <v>0</v>
      </c>
      <c r="L63" s="47">
        <v>0</v>
      </c>
      <c r="M63" s="47">
        <v>0</v>
      </c>
      <c r="N63" s="49">
        <v>1</v>
      </c>
      <c r="O63" s="48">
        <v>2</v>
      </c>
      <c r="P63" s="47">
        <v>0</v>
      </c>
      <c r="Q63" s="47">
        <v>0</v>
      </c>
      <c r="R63" s="47">
        <v>0</v>
      </c>
      <c r="S63" s="47">
        <v>0</v>
      </c>
      <c r="U63">
        <v>2</v>
      </c>
    </row>
    <row r="64" spans="1:21" ht="12.75">
      <c r="A64" s="1" t="s">
        <v>204</v>
      </c>
      <c r="B64" s="47">
        <v>2</v>
      </c>
      <c r="C64" s="47">
        <v>2</v>
      </c>
      <c r="D64" s="47">
        <v>0</v>
      </c>
      <c r="E64" s="47">
        <v>2</v>
      </c>
      <c r="F64" s="47">
        <v>1</v>
      </c>
      <c r="G64" s="47">
        <v>2</v>
      </c>
      <c r="H64" s="47">
        <v>0</v>
      </c>
      <c r="I64" s="47">
        <v>0</v>
      </c>
      <c r="J64" s="47">
        <v>0</v>
      </c>
      <c r="K64" s="47">
        <v>0</v>
      </c>
      <c r="L64" s="47">
        <v>0</v>
      </c>
      <c r="M64" s="47">
        <v>0</v>
      </c>
      <c r="N64" s="47">
        <v>0</v>
      </c>
      <c r="O64" s="47">
        <v>0</v>
      </c>
      <c r="P64" s="47">
        <v>0</v>
      </c>
      <c r="Q64" s="47">
        <v>0</v>
      </c>
      <c r="R64" s="47">
        <v>0</v>
      </c>
      <c r="S64" s="47">
        <v>0</v>
      </c>
      <c r="U64">
        <v>3</v>
      </c>
    </row>
    <row r="65" spans="1:21" ht="12.75">
      <c r="A65" s="1" t="s">
        <v>199</v>
      </c>
      <c r="B65" s="47">
        <v>0</v>
      </c>
      <c r="C65" s="47">
        <v>2</v>
      </c>
      <c r="D65" s="47">
        <v>0</v>
      </c>
      <c r="E65" s="47">
        <v>2</v>
      </c>
      <c r="F65" s="47">
        <v>1</v>
      </c>
      <c r="G65" s="47">
        <v>1</v>
      </c>
      <c r="H65" s="47">
        <v>0</v>
      </c>
      <c r="I65" s="47">
        <v>1</v>
      </c>
      <c r="J65" s="47">
        <v>2</v>
      </c>
      <c r="K65" s="47">
        <v>0</v>
      </c>
      <c r="L65" s="47">
        <v>0</v>
      </c>
      <c r="M65" s="47">
        <v>0</v>
      </c>
      <c r="N65" s="47">
        <v>0</v>
      </c>
      <c r="O65" s="47">
        <v>0</v>
      </c>
      <c r="P65" s="47">
        <v>0</v>
      </c>
      <c r="Q65" s="47">
        <v>0</v>
      </c>
      <c r="R65" s="47">
        <v>0</v>
      </c>
      <c r="S65" s="47">
        <v>0</v>
      </c>
      <c r="U65">
        <v>4</v>
      </c>
    </row>
    <row r="66" spans="1:21" ht="12.75">
      <c r="A66" s="1" t="s">
        <v>3</v>
      </c>
      <c r="B66" s="47">
        <v>0</v>
      </c>
      <c r="C66" s="47">
        <v>0</v>
      </c>
      <c r="D66" s="47">
        <v>2</v>
      </c>
      <c r="E66" s="47">
        <v>2</v>
      </c>
      <c r="F66" s="47">
        <v>1</v>
      </c>
      <c r="G66" s="47">
        <v>1</v>
      </c>
      <c r="H66" s="47">
        <v>0</v>
      </c>
      <c r="I66" s="47">
        <v>2</v>
      </c>
      <c r="J66" s="47">
        <v>2</v>
      </c>
      <c r="K66" s="47">
        <v>0</v>
      </c>
      <c r="L66" s="47">
        <v>0</v>
      </c>
      <c r="M66" s="47">
        <v>1</v>
      </c>
      <c r="N66" s="47">
        <v>0</v>
      </c>
      <c r="O66" s="47">
        <v>0</v>
      </c>
      <c r="P66" s="47">
        <v>0</v>
      </c>
      <c r="Q66" s="47">
        <v>0</v>
      </c>
      <c r="R66" s="47">
        <v>0</v>
      </c>
      <c r="S66" s="47">
        <v>0</v>
      </c>
      <c r="U66">
        <v>5</v>
      </c>
    </row>
    <row r="67" spans="1:21" ht="12.75">
      <c r="A67" s="1" t="s">
        <v>205</v>
      </c>
      <c r="B67" s="47">
        <v>0</v>
      </c>
      <c r="C67" s="47">
        <v>0</v>
      </c>
      <c r="D67" s="47">
        <v>0</v>
      </c>
      <c r="E67" s="47">
        <v>2</v>
      </c>
      <c r="F67" s="47">
        <v>1</v>
      </c>
      <c r="G67" s="47">
        <v>1</v>
      </c>
      <c r="H67" s="47">
        <v>0</v>
      </c>
      <c r="I67" s="47">
        <v>2</v>
      </c>
      <c r="J67" s="47">
        <v>2</v>
      </c>
      <c r="K67" s="47">
        <v>0</v>
      </c>
      <c r="L67" s="47">
        <v>0</v>
      </c>
      <c r="M67" s="47">
        <v>2</v>
      </c>
      <c r="N67" s="47">
        <v>0</v>
      </c>
      <c r="O67" s="47">
        <v>0</v>
      </c>
      <c r="P67" s="47">
        <v>1</v>
      </c>
      <c r="Q67" s="47">
        <v>0</v>
      </c>
      <c r="R67" s="47">
        <v>0</v>
      </c>
      <c r="S67" s="47">
        <v>0</v>
      </c>
      <c r="U67">
        <v>6</v>
      </c>
    </row>
    <row r="68" spans="1:21" ht="12.75">
      <c r="A68" s="1" t="s">
        <v>206</v>
      </c>
      <c r="B68" s="47">
        <v>0</v>
      </c>
      <c r="C68" s="47">
        <v>0</v>
      </c>
      <c r="D68" s="47">
        <v>0</v>
      </c>
      <c r="E68" s="47">
        <v>1</v>
      </c>
      <c r="F68" s="47">
        <v>1</v>
      </c>
      <c r="G68" s="47">
        <v>2</v>
      </c>
      <c r="H68" s="47">
        <v>0</v>
      </c>
      <c r="I68" s="47">
        <v>2</v>
      </c>
      <c r="J68" s="47">
        <v>2</v>
      </c>
      <c r="K68" s="47">
        <v>0</v>
      </c>
      <c r="L68" s="47">
        <v>0</v>
      </c>
      <c r="M68" s="47">
        <v>2</v>
      </c>
      <c r="N68" s="47">
        <v>0</v>
      </c>
      <c r="O68" s="47">
        <v>0</v>
      </c>
      <c r="P68" s="47">
        <v>2</v>
      </c>
      <c r="Q68" s="47">
        <v>0</v>
      </c>
      <c r="R68" s="47">
        <v>0</v>
      </c>
      <c r="S68" s="47">
        <v>2</v>
      </c>
      <c r="U68">
        <v>7</v>
      </c>
    </row>
    <row r="69" spans="1:21" ht="12.75">
      <c r="A69" s="1" t="s">
        <v>207</v>
      </c>
      <c r="B69" s="47">
        <v>0</v>
      </c>
      <c r="C69" s="47">
        <v>0</v>
      </c>
      <c r="D69" s="47">
        <v>0</v>
      </c>
      <c r="E69" s="47">
        <v>1</v>
      </c>
      <c r="F69" s="47">
        <v>1</v>
      </c>
      <c r="G69" s="47">
        <v>2</v>
      </c>
      <c r="H69" s="47">
        <v>0</v>
      </c>
      <c r="I69" s="47">
        <v>2</v>
      </c>
      <c r="J69" s="47">
        <v>1</v>
      </c>
      <c r="K69" s="47">
        <v>0</v>
      </c>
      <c r="L69" s="47">
        <v>0</v>
      </c>
      <c r="M69" s="47">
        <v>0</v>
      </c>
      <c r="N69" s="47">
        <v>0</v>
      </c>
      <c r="O69" s="47">
        <v>0</v>
      </c>
      <c r="P69" s="47">
        <v>0</v>
      </c>
      <c r="Q69" s="47">
        <v>0</v>
      </c>
      <c r="R69" s="47">
        <v>0</v>
      </c>
      <c r="S69" s="47">
        <v>0</v>
      </c>
      <c r="U69">
        <v>8</v>
      </c>
    </row>
    <row r="70" spans="1:21">
      <c r="N70" s="47">
        <v>0</v>
      </c>
      <c r="O70" s="47">
        <v>0</v>
      </c>
    </row>
    <row r="71" spans="1:21">
      <c r="B71">
        <f>VLOOKUP(LEFT(Worksheet!#REF!,1),A62:U69,21)</f>
        <v>6</v>
      </c>
      <c r="N71" s="47">
        <v>0</v>
      </c>
      <c r="O71" s="47">
        <v>0</v>
      </c>
    </row>
    <row r="72" spans="1:21">
      <c r="B72" t="str">
        <f>Worksheet!#REF!</f>
        <v>ii+</v>
      </c>
      <c r="C72" t="str">
        <f>Worksheet!#REF!</f>
        <v>ii-</v>
      </c>
    </row>
  </sheetData>
  <customSheetViews>
    <customSheetView guid="{405707A2-D644-4113-A905-B4AA69DE216D}" scale="80" showGridLines="0" showRuler="0">
      <selection activeCell="M20" sqref="M20"/>
      <pageMargins left="0.75" right="0.75" top="1" bottom="1" header="0.4921259845" footer="0.4921259845"/>
      <pageSetup paperSize="9" orientation="portrait" verticalDpi="300" r:id="rId1"/>
      <headerFooter alignWithMargins="0">
        <oddHeader>&amp;F</oddHeader>
        <oddFooter>Page &amp;P</oddFooter>
      </headerFooter>
    </customSheetView>
  </customSheetViews>
  <phoneticPr fontId="71" type="noConversion"/>
  <printOptions gridLinesSet="0"/>
  <pageMargins left="0.75" right="0.75" top="1" bottom="1" header="0.4921259845" footer="0.4921259845"/>
  <pageSetup paperSize="9" orientation="portrait" verticalDpi="300" r:id="rId2"/>
  <headerFooter alignWithMargins="0">
    <oddHeader>&amp;F</oddHeader>
    <oddFooter>Page &amp;P</oddFooter>
  </headerFooter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image" Target="../media/image11.emf"/><Relationship Id="rId26" Type="http://schemas.openxmlformats.org/officeDocument/2006/relationships/ctrlProp" Target="../ctrlProps/ctrlProp8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7" Type="http://schemas.openxmlformats.org/officeDocument/2006/relationships/control" Target="../activeX/activeX4.xml"/><Relationship Id="rId12" Type="http://schemas.openxmlformats.org/officeDocument/2006/relationships/image" Target="../media/image8.emf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2" Type="http://schemas.openxmlformats.org/officeDocument/2006/relationships/printerSettings" Target="../printerSettings/printerSettings5.bin"/><Relationship Id="rId16" Type="http://schemas.openxmlformats.org/officeDocument/2006/relationships/image" Target="../media/image10.emf"/><Relationship Id="rId20" Type="http://schemas.openxmlformats.org/officeDocument/2006/relationships/ctrlProp" Target="../ctrlProps/ctrlProp2.xml"/><Relationship Id="rId29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5.emf"/><Relationship Id="rId11" Type="http://schemas.openxmlformats.org/officeDocument/2006/relationships/control" Target="../activeX/activeX6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omments" Target="../comments1.xml"/><Relationship Id="rId10" Type="http://schemas.openxmlformats.org/officeDocument/2006/relationships/image" Target="../media/image7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Relationship Id="rId14" Type="http://schemas.openxmlformats.org/officeDocument/2006/relationships/image" Target="../media/image9.emf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8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14.xml"/><Relationship Id="rId18" Type="http://schemas.openxmlformats.org/officeDocument/2006/relationships/image" Target="../media/image19.emf"/><Relationship Id="rId3" Type="http://schemas.openxmlformats.org/officeDocument/2006/relationships/drawing" Target="../drawings/drawing4.xml"/><Relationship Id="rId21" Type="http://schemas.openxmlformats.org/officeDocument/2006/relationships/control" Target="../activeX/activeX18.xml"/><Relationship Id="rId7" Type="http://schemas.openxmlformats.org/officeDocument/2006/relationships/control" Target="../activeX/activeX11.xml"/><Relationship Id="rId12" Type="http://schemas.openxmlformats.org/officeDocument/2006/relationships/image" Target="../media/image16.emf"/><Relationship Id="rId17" Type="http://schemas.openxmlformats.org/officeDocument/2006/relationships/control" Target="../activeX/activeX16.xml"/><Relationship Id="rId2" Type="http://schemas.openxmlformats.org/officeDocument/2006/relationships/printerSettings" Target="../printerSettings/printerSettings7.bin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13.emf"/><Relationship Id="rId11" Type="http://schemas.openxmlformats.org/officeDocument/2006/relationships/control" Target="../activeX/activeX13.xml"/><Relationship Id="rId24" Type="http://schemas.openxmlformats.org/officeDocument/2006/relationships/ctrlProp" Target="../ctrlProps/ctrlProp19.xml"/><Relationship Id="rId5" Type="http://schemas.openxmlformats.org/officeDocument/2006/relationships/control" Target="../activeX/activeX10.xml"/><Relationship Id="rId15" Type="http://schemas.openxmlformats.org/officeDocument/2006/relationships/control" Target="../activeX/activeX15.xml"/><Relationship Id="rId23" Type="http://schemas.openxmlformats.org/officeDocument/2006/relationships/ctrlProp" Target="../ctrlProps/ctrlProp18.xml"/><Relationship Id="rId10" Type="http://schemas.openxmlformats.org/officeDocument/2006/relationships/image" Target="../media/image15.emf"/><Relationship Id="rId19" Type="http://schemas.openxmlformats.org/officeDocument/2006/relationships/control" Target="../activeX/activeX17.xml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image" Target="../media/image22.emf"/><Relationship Id="rId5" Type="http://schemas.openxmlformats.org/officeDocument/2006/relationships/control" Target="../activeX/activeX19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image" Target="../media/image25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12"/>
    <pageSetUpPr fitToPage="1"/>
  </sheetPr>
  <dimension ref="A1:H15"/>
  <sheetViews>
    <sheetView showRowColHeaders="0" topLeftCell="A8" workbookViewId="0">
      <selection activeCell="D8" sqref="D8"/>
    </sheetView>
  </sheetViews>
  <sheetFormatPr defaultColWidth="9.33203125" defaultRowHeight="12.75"/>
  <cols>
    <col min="1" max="2" width="9.33203125" style="64"/>
    <col min="3" max="3" width="8.33203125" style="64" customWidth="1"/>
    <col min="4" max="4" width="26.5" style="64" customWidth="1"/>
    <col min="5" max="5" width="17" style="64" customWidth="1"/>
    <col min="6" max="6" width="41" style="74" customWidth="1"/>
    <col min="7" max="7" width="28.5" style="74" customWidth="1"/>
    <col min="8" max="16384" width="9.33203125" style="64"/>
  </cols>
  <sheetData>
    <row r="1" spans="1:8" s="89" customFormat="1" ht="27.75">
      <c r="A1" s="83" t="s">
        <v>302</v>
      </c>
      <c r="B1" s="84"/>
      <c r="C1" s="85"/>
      <c r="D1" s="86"/>
      <c r="E1" s="87"/>
      <c r="F1" s="84"/>
      <c r="G1" s="76"/>
      <c r="H1" s="88"/>
    </row>
    <row r="2" spans="1:8" s="88" customFormat="1">
      <c r="A2" s="90"/>
      <c r="B2" s="91"/>
      <c r="C2" s="91"/>
      <c r="D2" s="91"/>
      <c r="E2" s="91"/>
      <c r="F2" s="91"/>
      <c r="G2" s="91"/>
    </row>
    <row r="3" spans="1:8" s="88" customFormat="1">
      <c r="A3" s="90"/>
      <c r="B3" s="91"/>
      <c r="C3" s="91"/>
      <c r="D3" s="91"/>
      <c r="E3" s="91"/>
      <c r="F3" s="91"/>
      <c r="G3" s="91"/>
    </row>
    <row r="4" spans="1:8" s="88" customFormat="1">
      <c r="A4" s="90"/>
      <c r="B4" s="91"/>
      <c r="C4" s="91"/>
      <c r="D4" s="91"/>
      <c r="E4" s="91"/>
      <c r="F4" s="91"/>
      <c r="G4" s="91"/>
    </row>
    <row r="5" spans="1:8" s="88" customFormat="1">
      <c r="A5" s="90"/>
      <c r="B5" s="91"/>
      <c r="C5" s="91"/>
      <c r="D5" s="91"/>
      <c r="E5" s="91"/>
      <c r="F5" s="91"/>
      <c r="G5" s="91"/>
    </row>
    <row r="6" spans="1:8" s="88" customFormat="1">
      <c r="A6" s="90"/>
      <c r="B6" s="91"/>
      <c r="C6" s="91"/>
      <c r="D6" s="91"/>
      <c r="E6" s="91"/>
      <c r="F6" s="91"/>
      <c r="G6" s="91"/>
    </row>
    <row r="7" spans="1:8" s="88" customFormat="1" ht="45.75" customHeight="1" thickBot="1">
      <c r="A7" s="90"/>
      <c r="B7" s="91"/>
      <c r="C7" s="91"/>
      <c r="D7" s="92"/>
      <c r="E7" s="91"/>
      <c r="F7" s="91"/>
      <c r="G7" s="91"/>
    </row>
    <row r="8" spans="1:8" s="89" customFormat="1" ht="13.5" thickBot="1">
      <c r="A8" s="93"/>
      <c r="B8" s="94" t="s">
        <v>519</v>
      </c>
      <c r="C8" s="95"/>
      <c r="D8" s="101" t="s">
        <v>521</v>
      </c>
      <c r="E8" s="129"/>
      <c r="F8" s="76"/>
      <c r="G8" s="76"/>
    </row>
    <row r="9" spans="1:8" s="89" customFormat="1" ht="13.5" thickBot="1">
      <c r="A9" s="93"/>
      <c r="B9" s="76"/>
      <c r="C9" s="95"/>
      <c r="D9" s="76"/>
      <c r="F9" s="76"/>
      <c r="G9" s="76"/>
    </row>
    <row r="10" spans="1:8" s="89" customFormat="1" ht="13.5" thickBot="1">
      <c r="A10" s="93"/>
      <c r="B10" s="94" t="s">
        <v>298</v>
      </c>
      <c r="C10" s="95"/>
      <c r="D10" s="149" t="s">
        <v>520</v>
      </c>
      <c r="F10" s="76"/>
      <c r="G10" s="76"/>
    </row>
    <row r="11" spans="1:8" s="89" customFormat="1">
      <c r="A11" s="93"/>
      <c r="B11" s="76"/>
      <c r="C11" s="76"/>
      <c r="D11" s="76"/>
      <c r="E11" s="76"/>
      <c r="F11" s="76"/>
      <c r="G11" s="76"/>
    </row>
    <row r="12" spans="1:8" s="89" customFormat="1" ht="14.25" customHeight="1">
      <c r="A12" s="93"/>
      <c r="B12" s="76"/>
      <c r="C12" s="76"/>
      <c r="D12" s="76"/>
      <c r="E12" s="130" t="s">
        <v>299</v>
      </c>
      <c r="F12" s="76"/>
      <c r="G12" s="76"/>
    </row>
    <row r="13" spans="1:8" s="89" customFormat="1" ht="14.25" customHeight="1">
      <c r="A13" s="93"/>
      <c r="B13" s="76"/>
      <c r="C13" s="76"/>
      <c r="D13" s="76"/>
      <c r="E13" s="76"/>
      <c r="F13" s="76"/>
      <c r="G13" s="76"/>
    </row>
    <row r="14" spans="1:8" s="76" customFormat="1" ht="65.25" customHeight="1">
      <c r="A14" s="93"/>
      <c r="B14" s="96" t="s">
        <v>300</v>
      </c>
      <c r="C14" s="97"/>
      <c r="E14" s="98" t="s">
        <v>301</v>
      </c>
    </row>
    <row r="15" spans="1:8" s="76" customFormat="1" ht="231.75" customHeight="1" thickBot="1">
      <c r="A15" s="99"/>
      <c r="B15" s="100"/>
      <c r="C15" s="100"/>
      <c r="D15" s="100"/>
      <c r="E15" s="100"/>
      <c r="F15" s="100"/>
    </row>
  </sheetData>
  <phoneticPr fontId="71" type="noConversion"/>
  <hyperlinks>
    <hyperlink ref="E14" location="Help!A1" display="Help!A1"/>
  </hyperlinks>
  <pageMargins left="0.74803149606299213" right="0.74803149606299213" top="0.98425196850393704" bottom="0.98425196850393704" header="0.51181102362204722" footer="0.51181102362204722"/>
  <pageSetup paperSize="9" scale="9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09" r:id="rId4" name="CommandButton2">
          <controlPr defaultSize="0" autoLine="0" r:id="rId5">
            <anchor moveWithCells="1">
              <from>
                <xdr:col>4</xdr:col>
                <xdr:colOff>0</xdr:colOff>
                <xdr:row>10</xdr:row>
                <xdr:rowOff>133350</xdr:rowOff>
              </from>
              <to>
                <xdr:col>5</xdr:col>
                <xdr:colOff>0</xdr:colOff>
                <xdr:row>12</xdr:row>
                <xdr:rowOff>28575</xdr:rowOff>
              </to>
            </anchor>
          </controlPr>
        </control>
      </mc:Choice>
      <mc:Fallback>
        <control shapeId="8209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30</xdr:col>
                <xdr:colOff>0</xdr:colOff>
                <xdr:row>138</xdr:row>
                <xdr:rowOff>142875</xdr:rowOff>
              </from>
              <to>
                <xdr:col>30</xdr:col>
                <xdr:colOff>114300</xdr:colOff>
                <xdr:row>139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22"/>
    <pageSetUpPr autoPageBreaks="0"/>
  </sheetPr>
  <dimension ref="B1:B158"/>
  <sheetViews>
    <sheetView showGridLines="0" showZeros="0" defaultGridColor="0" colorId="18" workbookViewId="0">
      <selection activeCell="B3" sqref="B3"/>
    </sheetView>
  </sheetViews>
  <sheetFormatPr defaultColWidth="9.33203125" defaultRowHeight="12.75"/>
  <cols>
    <col min="1" max="1" width="0.33203125" style="82" customWidth="1"/>
    <col min="2" max="2" width="110.1640625" style="82" customWidth="1"/>
    <col min="3" max="16384" width="9.33203125" style="82"/>
  </cols>
  <sheetData>
    <row r="1" spans="2:2" s="80" customFormat="1"/>
    <row r="2" spans="2:2" s="80" customFormat="1"/>
    <row r="3" spans="2:2" s="80" customFormat="1"/>
    <row r="4" spans="2:2" ht="27">
      <c r="B4" s="81"/>
    </row>
    <row r="94" ht="10.15" customHeight="1"/>
    <row r="158" ht="52.5" customHeight="1"/>
  </sheetData>
  <sheetProtection algorithmName="SHA-512" hashValue="/X2ECpd4yQpDIsE2QJLQg28j0iIlhSpC+bw9QAQt3annZeTfGUT2CxKWc9axfAMBAa1SOvzig9jE5vnl7w+8ng==" saltValue="XPqSmVExdlHZYpouyif0cA==" spinCount="100000" sheet="1" objects="1" scenarios="1"/>
  <customSheetViews>
    <customSheetView guid="{405707A2-D644-4113-A905-B4AA69DE216D}" scale="85" showGridLines="0" showRowCol="0" zeroValues="0" fitToPage="1" showRuler="0">
      <pageMargins left="0.43307086614173229" right="0.53" top="0.43307086614173229" bottom="0.51181102362204722" header="0.31496062992125984" footer="0.35433070866141736"/>
      <printOptions horizontalCentered="1" verticalCentered="1"/>
      <pageSetup paperSize="9" scale="88" orientation="portrait" r:id="rId1"/>
      <headerFooter alignWithMargins="0"/>
    </customSheetView>
  </customSheetViews>
  <phoneticPr fontId="71" type="noConversion"/>
  <pageMargins left="0" right="0.18" top="0.43307086614173201" bottom="0.511811023622047" header="0.31496062992126" footer="0.35433070866141703"/>
  <pageSetup paperSize="9" scale="94" fitToHeight="2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0"/>
    <pageSetUpPr autoPageBreaks="0"/>
  </sheetPr>
  <dimension ref="A1:AA771"/>
  <sheetViews>
    <sheetView showGridLines="0" tabSelected="1" defaultGridColor="0" colorId="23" zoomScaleNormal="100" workbookViewId="0">
      <pane xSplit="5" ySplit="2" topLeftCell="F3" activePane="bottomRight" state="frozenSplit"/>
      <selection activeCell="E4" sqref="E4"/>
      <selection pane="topRight" activeCell="E4" sqref="E4"/>
      <selection pane="bottomLeft" activeCell="E4" sqref="E4"/>
      <selection pane="bottomRight" activeCell="AB19" sqref="AB19"/>
    </sheetView>
  </sheetViews>
  <sheetFormatPr defaultColWidth="12" defaultRowHeight="13.5"/>
  <cols>
    <col min="1" max="1" width="4.1640625" style="232" customWidth="1"/>
    <col min="2" max="2" width="6.33203125" style="150" hidden="1" customWidth="1"/>
    <col min="3" max="3" width="13" style="150" customWidth="1"/>
    <col min="4" max="4" width="30.1640625" style="150" customWidth="1"/>
    <col min="5" max="5" width="36.6640625" style="150" customWidth="1"/>
    <col min="6" max="6" width="2.83203125" style="168" hidden="1" customWidth="1"/>
    <col min="7" max="7" width="3.1640625" style="151" customWidth="1"/>
    <col min="8" max="8" width="4" style="151" customWidth="1"/>
    <col min="9" max="9" width="3.1640625" style="151" customWidth="1"/>
    <col min="10" max="10" width="2.83203125" style="154" hidden="1" customWidth="1"/>
    <col min="11" max="11" width="6" style="155" customWidth="1"/>
    <col min="12" max="12" width="4.33203125" style="156" customWidth="1"/>
    <col min="13" max="13" width="3.1640625" style="152" bestFit="1" customWidth="1"/>
    <col min="14" max="14" width="6.6640625" style="157" customWidth="1"/>
    <col min="15" max="15" width="2.6640625" style="158" hidden="1" customWidth="1"/>
    <col min="16" max="16" width="3.5" style="159" hidden="1" customWidth="1"/>
    <col min="17" max="17" width="5.1640625" style="160" customWidth="1"/>
    <col min="18" max="18" width="4.6640625" style="152" customWidth="1"/>
    <col min="19" max="19" width="3.5" style="152" customWidth="1"/>
    <col min="20" max="20" width="3.6640625" style="152" customWidth="1"/>
    <col min="21" max="21" width="8" style="161" hidden="1" customWidth="1"/>
    <col min="22" max="22" width="7.1640625" style="162" customWidth="1"/>
    <col min="23" max="23" width="6.6640625" style="163" customWidth="1"/>
    <col min="24" max="24" width="11.1640625" style="164" customWidth="1"/>
    <col min="25" max="25" width="6.1640625" style="167" customWidth="1"/>
    <col min="26" max="26" width="9.5" style="166" hidden="1" customWidth="1"/>
    <col min="27" max="27" width="42" style="153" customWidth="1"/>
    <col min="28" max="28" width="22.6640625" style="26" bestFit="1" customWidth="1"/>
    <col min="29" max="16384" width="12" style="26"/>
  </cols>
  <sheetData>
    <row r="1" spans="1:27" s="102" customFormat="1" ht="71.25" customHeight="1" thickBot="1">
      <c r="A1" s="231"/>
      <c r="B1" s="171"/>
      <c r="C1" s="172"/>
      <c r="D1" s="173"/>
      <c r="E1" s="174"/>
      <c r="F1" s="175"/>
      <c r="G1" s="176"/>
      <c r="H1" s="177"/>
      <c r="I1" s="178"/>
      <c r="J1" s="179">
        <f ca="1">IF(NOT(Format2Print),2,IF(OR(LEN(G1)=0,LEN(H1)=0,LEN(I1)=0),2,OFFSET(Validation!$A$8,VLOOKUP(LEFT(Worksheet!G1,1),Validation!$A$9:$U$16,21),HLOOKUP(SUBSTITUTE(SUBSTITUTE(SUBSTITUTE(UPPER(Worksheet!H1),"+",""),"-",""),"N","T"),Validation!$B$7:$S$18,12,FALSE)*3+VALUE(LEFT(Worksheet!I1,1)))))</f>
        <v>2</v>
      </c>
      <c r="K1" s="180"/>
      <c r="L1" s="181"/>
      <c r="M1" s="182"/>
      <c r="N1" s="183"/>
      <c r="O1" s="184">
        <f ca="1">IF(NOT(Format2Print),2,MIN(3,IF(OR(LEN(L1)=0,LEN(M1)=0),2,OFFSET(Validation!$A$21,VLOOKUP(LEFT(UPPER(Worksheet!L1),1),Validation!$A$22:$L$30,12,FALSE),(VALUE(LEFT(Worksheet!M1,1))-1)*2+1+IF(IF(RIGHT(Worksheet!L1,1)="+",1,IF(RIGHT(Worksheet!L1,1)="-",-1,0))+IF(RIGHT(Worksheet!M1,1)="+",1,IF(RIGHT(Worksheet!M1,1)="-",-1,0))&gt;0,1,0)))))</f>
        <v>2</v>
      </c>
      <c r="P1" s="185">
        <f ca="1">IF(NOT(Format2Print),2,OFFSET(Validation!$C$53,VLOOKUP(N1,Validation!$A$54:$B$69,2),HLOOKUP(K1,Validation!$D$51:$AD$52,2)))</f>
        <v>2</v>
      </c>
      <c r="Q1" s="186"/>
      <c r="R1" s="187"/>
      <c r="S1" s="188"/>
      <c r="T1" s="189"/>
      <c r="U1" s="190" t="b">
        <f>ISERROR(VLOOKUP(LEFT(T1,LEN(T1)-IF(OR(RIGHT(T1)="-",RIGHT(T1)="+"),1,0)),IF(LEFT(Worksheet!S1,1)="N",'macro d''éval'!$N$36:$O$39,'macro d''éval'!$N$42:$O$45),2,FALSE))</f>
        <v>1</v>
      </c>
      <c r="V1" s="191"/>
      <c r="W1" s="192"/>
      <c r="X1" s="193" t="e">
        <f>VLOOKUP(W1,Jobgrades!$H$7:$L$46,4)</f>
        <v>#N/A</v>
      </c>
      <c r="Y1" s="194"/>
      <c r="Z1" s="195" t="str">
        <f>LProf(N1,Y1)</f>
        <v/>
      </c>
      <c r="AA1" s="196"/>
    </row>
    <row r="2" spans="1:27" s="75" customFormat="1" ht="13.15" customHeight="1" thickBot="1">
      <c r="A2" s="230" t="s">
        <v>202</v>
      </c>
      <c r="B2" s="206" t="s">
        <v>0</v>
      </c>
      <c r="C2" s="206" t="s">
        <v>223</v>
      </c>
      <c r="D2" s="206" t="s">
        <v>229</v>
      </c>
      <c r="E2" s="207" t="s">
        <v>224</v>
      </c>
      <c r="F2" s="208"/>
      <c r="G2" s="209" t="s">
        <v>524</v>
      </c>
      <c r="H2" s="210"/>
      <c r="I2" s="211"/>
      <c r="J2" s="212">
        <f ca="1">IF(NOT(Format2Print),2,IF(OR(LEN(G2)=0,LEN(H2)=0,LEN(I2)=0),2,OFFSET(Validation!$A$8,VLOOKUP(LEFT(Worksheet!G2,1),Validation!$A$9:$U$16,21),HLOOKUP(SUBSTITUTE(SUBSTITUTE(SUBSTITUTE(UPPER(Worksheet!H2),"+",""),"-",""),"N","T"),Validation!$B$7:$S$18,12,FALSE)*3+VALUE(LEFT(Worksheet!I2,1)))))</f>
        <v>2</v>
      </c>
      <c r="K2" s="213"/>
      <c r="L2" s="214" t="s">
        <v>523</v>
      </c>
      <c r="M2" s="215"/>
      <c r="N2" s="216"/>
      <c r="O2" s="217">
        <f ca="1">IF(NOT(Format2Print),2,MIN(3,IF(OR(LEN(L2)=0,LEN(M2)=0),2,OFFSET(Validation!$A$21,VLOOKUP(LEFT(UPPER(Worksheet!L2),1),Validation!$A$22:$L$30,12,FALSE),(VALUE(LEFT(Worksheet!M2,1))-1)*2+1+IF(IF(RIGHT(Worksheet!L2,1)="+",1,IF(RIGHT(Worksheet!L2,1)="-",-1,0))+IF(RIGHT(Worksheet!M2,1)="+",1,IF(RIGHT(Worksheet!M2,1)="-",-1,0))&gt;0,1,0)))))</f>
        <v>2</v>
      </c>
      <c r="P2" s="218">
        <f ca="1">IF(NOT(Format2Print),2,OFFSET(Validation!$C$53,VLOOKUP(#REF!,Validation!$A$54:$B$69,2),HLOOKUP(#REF!,Validation!$D$51:$AD$52,2)))</f>
        <v>2</v>
      </c>
      <c r="Q2" s="219"/>
      <c r="R2" s="220" t="s">
        <v>522</v>
      </c>
      <c r="S2" s="221"/>
      <c r="T2" s="221"/>
      <c r="U2" s="222" t="b">
        <f>ISERROR(VLOOKUP(LEFT(T2,LEN(T2)-IF(OR(RIGHT(T2)="-",RIGHT(T2)="+"),1,0)),IF(LEFT(Worksheet!S2,1)="N",'macro d''éval'!$N$36:$O$39,'macro d''éval'!$N$42:$O$45),2,FALSE))</f>
        <v>1</v>
      </c>
      <c r="V2" s="223"/>
      <c r="W2" s="224" t="s">
        <v>225</v>
      </c>
      <c r="X2" s="225" t="s">
        <v>226</v>
      </c>
      <c r="Y2" s="226" t="s">
        <v>227</v>
      </c>
      <c r="Z2" s="227"/>
      <c r="AA2" s="228" t="s">
        <v>228</v>
      </c>
    </row>
    <row r="3" spans="1:27">
      <c r="A3" s="235"/>
      <c r="B3" s="236"/>
      <c r="C3" s="241"/>
      <c r="D3" s="241"/>
      <c r="E3" s="242"/>
      <c r="F3" s="237" t="s">
        <v>525</v>
      </c>
      <c r="G3" s="243"/>
      <c r="H3" s="243"/>
      <c r="I3" s="243"/>
      <c r="J3" s="244">
        <f ca="1">IF(NOT(Format2Print),2,IF(OR(LEN(G3)=0,LEN(H3)=0,LEN(I3)=0),2,OFFSET(Validation!$A$8,VLOOKUP(LEFT(Worksheet!G3,1),Validation!$A$9:$U$16,21),HLOOKUP(SUBSTITUTE(SUBSTITUTE(SUBSTITUTE(UPPER(Worksheet!H3),"+",""),"-",""),"N","T"),Validation!$B$7:$S$18,12,FALSE)*3+VALUE(LEFT(Worksheet!I3,1)))))</f>
        <v>2</v>
      </c>
      <c r="K3" s="245">
        <f t="shared" ref="K3:K6" si="0">COMP(G3,H3,I3)</f>
        <v>0</v>
      </c>
      <c r="L3" s="246"/>
      <c r="M3" s="246"/>
      <c r="N3" s="247">
        <f t="shared" ref="N3:N6" si="1">IC(L3,M3)</f>
        <v>0</v>
      </c>
      <c r="O3" s="248">
        <f ca="1">IF(NOT(Format2Print),2,MIN(3,IF(OR(LEN(L3)=0,LEN(M3)=0),2,OFFSET(Validation!$A$21,VLOOKUP(LEFT(UPPER(Worksheet!L3),1),Validation!$A$22:$L$30,12,FALSE),(VALUE(LEFT(Worksheet!M3,1))-1)*2+1+IF(IF(RIGHT(Worksheet!L3,1)="+",1,IF(RIGHT(Worksheet!L3,1)="-",-1,0))+IF(RIGHT(Worksheet!M3,1)="+",1,IF(RIGHT(Worksheet!M3,1)="-",-1,0))&gt;0,1,0)))))</f>
        <v>2</v>
      </c>
      <c r="P3" s="249">
        <f ca="1">IF(NOT(Format2Print),2,OFFSET(Validation!$C$53,VLOOKUP(N3,Validation!$A$54:$B$69,2),HLOOKUP(K3,Validation!$D$51:$AD$52,2)))</f>
        <v>2</v>
      </c>
      <c r="Q3" s="250">
        <f t="shared" ref="Q3:Q6" si="2">PTSIC(K3,N3)</f>
        <v>0</v>
      </c>
      <c r="R3" s="243"/>
      <c r="S3" s="243"/>
      <c r="T3" s="243"/>
      <c r="U3" s="238" t="b">
        <f>ISERROR(VLOOKUP(LEFT(T3,LEN(T3)-IF(OR(RIGHT(T3)="-",RIGHT(T3)="+"),1,0)),IF(LEFT(Worksheet!S3,1)="N",'macro d''éval'!$N$36:$O$39,'macro d''éval'!$N$42:$O$45),2,FALSE))</f>
        <v>1</v>
      </c>
      <c r="V3" s="251">
        <f t="shared" ref="V3:V6" si="3">FINALITE(R3,S3,T3)</f>
        <v>0</v>
      </c>
      <c r="W3" s="252">
        <f t="shared" ref="W3:W6" si="4">IF(LEN(F3)&lt;1,0,V3+Q3+K3)</f>
        <v>0</v>
      </c>
      <c r="X3" s="253">
        <f>VLOOKUP(W3,Jobgrades!_xlnm.Print_Area,4)</f>
        <v>0</v>
      </c>
      <c r="Y3" s="229">
        <f t="shared" ref="Y3:Y6" si="5">PROFIL(Q3,V3)</f>
        <v>0</v>
      </c>
      <c r="Z3" s="239"/>
      <c r="AA3" s="240"/>
    </row>
    <row r="4" spans="1:27">
      <c r="A4" s="235"/>
      <c r="B4" s="236"/>
      <c r="C4" s="241"/>
      <c r="D4" s="241"/>
      <c r="E4" s="241"/>
      <c r="F4" s="237" t="s">
        <v>525</v>
      </c>
      <c r="G4" s="243"/>
      <c r="H4" s="243"/>
      <c r="I4" s="243"/>
      <c r="J4" s="244">
        <f ca="1">IF(NOT(Format2Print),2,IF(OR(LEN(G4)=0,LEN(H4)=0,LEN(I4)=0),2,OFFSET(Validation!$A$8,VLOOKUP(LEFT(Worksheet!G4,1),Validation!$A$9:$U$16,21),HLOOKUP(SUBSTITUTE(SUBSTITUTE(SUBSTITUTE(UPPER(Worksheet!H4),"+",""),"-",""),"N","T"),Validation!$B$7:$S$18,12,FALSE)*3+VALUE(LEFT(Worksheet!I4,1)))))</f>
        <v>2</v>
      </c>
      <c r="K4" s="245">
        <f t="shared" si="0"/>
        <v>0</v>
      </c>
      <c r="L4" s="246"/>
      <c r="M4" s="246"/>
      <c r="N4" s="247">
        <f t="shared" si="1"/>
        <v>0</v>
      </c>
      <c r="O4" s="248">
        <f ca="1">IF(NOT(Format2Print),2,MIN(3,IF(OR(LEN(L4)=0,LEN(M4)=0),2,OFFSET(Validation!$A$21,VLOOKUP(LEFT(UPPER(Worksheet!L4),1),Validation!$A$22:$L$30,12,FALSE),(VALUE(LEFT(Worksheet!M4,1))-1)*2+1+IF(IF(RIGHT(Worksheet!L4,1)="+",1,IF(RIGHT(Worksheet!L4,1)="-",-1,0))+IF(RIGHT(Worksheet!M4,1)="+",1,IF(RIGHT(Worksheet!M4,1)="-",-1,0))&gt;0,1,0)))))</f>
        <v>2</v>
      </c>
      <c r="P4" s="249">
        <f ca="1">IF(NOT(Format2Print),2,OFFSET(Validation!$C$53,VLOOKUP(N4,Validation!$A$54:$B$69,2),HLOOKUP(K4,Validation!$D$51:$AD$52,2)))</f>
        <v>2</v>
      </c>
      <c r="Q4" s="250">
        <f t="shared" si="2"/>
        <v>0</v>
      </c>
      <c r="R4" s="243"/>
      <c r="S4" s="243"/>
      <c r="T4" s="243"/>
      <c r="U4" s="238" t="b">
        <f>ISERROR(VLOOKUP(LEFT(T4,LEN(T4)-IF(OR(RIGHT(T4)="-",RIGHT(T4)="+"),1,0)),IF(LEFT(Worksheet!S4,1)="N",'macro d''éval'!$N$36:$O$39,'macro d''éval'!$N$42:$O$45),2,FALSE))</f>
        <v>1</v>
      </c>
      <c r="V4" s="251">
        <f t="shared" si="3"/>
        <v>0</v>
      </c>
      <c r="W4" s="252">
        <f t="shared" si="4"/>
        <v>0</v>
      </c>
      <c r="X4" s="253">
        <f>VLOOKUP(W4,Jobgrades!_xlnm.Print_Area,4)</f>
        <v>0</v>
      </c>
      <c r="Y4" s="229">
        <f t="shared" si="5"/>
        <v>0</v>
      </c>
      <c r="Z4" s="239"/>
      <c r="AA4" s="240"/>
    </row>
    <row r="5" spans="1:27">
      <c r="A5" s="235"/>
      <c r="B5" s="236"/>
      <c r="C5" s="241"/>
      <c r="D5" s="241"/>
      <c r="E5" s="241"/>
      <c r="F5" s="237" t="s">
        <v>525</v>
      </c>
      <c r="G5" s="243"/>
      <c r="H5" s="243"/>
      <c r="I5" s="243"/>
      <c r="J5" s="244">
        <f ca="1">IF(NOT(Format2Print),2,IF(OR(LEN(G5)=0,LEN(H5)=0,LEN(I5)=0),2,OFFSET(Validation!$A$8,VLOOKUP(LEFT(Worksheet!G5,1),Validation!$A$9:$U$16,21),HLOOKUP(SUBSTITUTE(SUBSTITUTE(SUBSTITUTE(UPPER(Worksheet!H5),"+",""),"-",""),"N","T"),Validation!$B$7:$S$18,12,FALSE)*3+VALUE(LEFT(Worksheet!I5,1)))))</f>
        <v>2</v>
      </c>
      <c r="K5" s="245">
        <f t="shared" si="0"/>
        <v>0</v>
      </c>
      <c r="L5" s="246"/>
      <c r="M5" s="246"/>
      <c r="N5" s="247">
        <f t="shared" si="1"/>
        <v>0</v>
      </c>
      <c r="O5" s="248">
        <f ca="1">IF(NOT(Format2Print),2,MIN(3,IF(OR(LEN(L5)=0,LEN(M5)=0),2,OFFSET(Validation!$A$21,VLOOKUP(LEFT(UPPER(Worksheet!L5),1),Validation!$A$22:$L$30,12,FALSE),(VALUE(LEFT(Worksheet!M5,1))-1)*2+1+IF(IF(RIGHT(Worksheet!L5,1)="+",1,IF(RIGHT(Worksheet!L5,1)="-",-1,0))+IF(RIGHT(Worksheet!M5,1)="+",1,IF(RIGHT(Worksheet!M5,1)="-",-1,0))&gt;0,1,0)))))</f>
        <v>2</v>
      </c>
      <c r="P5" s="249">
        <f ca="1">IF(NOT(Format2Print),2,OFFSET(Validation!$C$53,VLOOKUP(N5,Validation!$A$54:$B$69,2),HLOOKUP(K5,Validation!$D$51:$AD$52,2)))</f>
        <v>2</v>
      </c>
      <c r="Q5" s="250">
        <f t="shared" si="2"/>
        <v>0</v>
      </c>
      <c r="R5" s="243"/>
      <c r="S5" s="243"/>
      <c r="T5" s="243"/>
      <c r="U5" s="238" t="b">
        <f>ISERROR(VLOOKUP(LEFT(T5,LEN(T5)-IF(OR(RIGHT(T5)="-",RIGHT(T5)="+"),1,0)),IF(LEFT(Worksheet!S5,1)="N",'macro d''éval'!$N$36:$O$39,'macro d''éval'!$N$42:$O$45),2,FALSE))</f>
        <v>1</v>
      </c>
      <c r="V5" s="251">
        <f t="shared" si="3"/>
        <v>0</v>
      </c>
      <c r="W5" s="252">
        <f t="shared" si="4"/>
        <v>0</v>
      </c>
      <c r="X5" s="253">
        <f>VLOOKUP(W5,Jobgrades!_xlnm.Print_Area,4)</f>
        <v>0</v>
      </c>
      <c r="Y5" s="229">
        <f t="shared" si="5"/>
        <v>0</v>
      </c>
      <c r="Z5" s="239"/>
      <c r="AA5" s="240"/>
    </row>
    <row r="6" spans="1:27">
      <c r="A6" s="235"/>
      <c r="B6" s="236"/>
      <c r="C6" s="241"/>
      <c r="D6" s="241"/>
      <c r="E6" s="241"/>
      <c r="F6" s="237" t="s">
        <v>525</v>
      </c>
      <c r="G6" s="243"/>
      <c r="H6" s="243"/>
      <c r="I6" s="243"/>
      <c r="J6" s="244">
        <f ca="1">IF(NOT(Format2Print),2,IF(OR(LEN(G6)=0,LEN(H6)=0,LEN(I6)=0),2,OFFSET(Validation!$A$8,VLOOKUP(LEFT(Worksheet!G6,1),Validation!$A$9:$U$16,21),HLOOKUP(SUBSTITUTE(SUBSTITUTE(SUBSTITUTE(UPPER(Worksheet!H6),"+",""),"-",""),"N","T"),Validation!$B$7:$S$18,12,FALSE)*3+VALUE(LEFT(Worksheet!I6,1)))))</f>
        <v>2</v>
      </c>
      <c r="K6" s="245">
        <f t="shared" si="0"/>
        <v>0</v>
      </c>
      <c r="L6" s="246"/>
      <c r="M6" s="246"/>
      <c r="N6" s="247">
        <f t="shared" si="1"/>
        <v>0</v>
      </c>
      <c r="O6" s="248">
        <f ca="1">IF(NOT(Format2Print),2,MIN(3,IF(OR(LEN(L6)=0,LEN(M6)=0),2,OFFSET(Validation!$A$21,VLOOKUP(LEFT(UPPER(Worksheet!L6),1),Validation!$A$22:$L$30,12,FALSE),(VALUE(LEFT(Worksheet!M6,1))-1)*2+1+IF(IF(RIGHT(Worksheet!L6,1)="+",1,IF(RIGHT(Worksheet!L6,1)="-",-1,0))+IF(RIGHT(Worksheet!M6,1)="+",1,IF(RIGHT(Worksheet!M6,1)="-",-1,0))&gt;0,1,0)))))</f>
        <v>2</v>
      </c>
      <c r="P6" s="249">
        <f ca="1">IF(NOT(Format2Print),2,OFFSET(Validation!$C$53,VLOOKUP(N6,Validation!$A$54:$B$69,2),HLOOKUP(K6,Validation!$D$51:$AD$52,2)))</f>
        <v>2</v>
      </c>
      <c r="Q6" s="250">
        <f t="shared" si="2"/>
        <v>0</v>
      </c>
      <c r="R6" s="243"/>
      <c r="S6" s="243"/>
      <c r="T6" s="243"/>
      <c r="U6" s="238" t="b">
        <f>ISERROR(VLOOKUP(LEFT(T6,LEN(T6)-IF(OR(RIGHT(T6)="-",RIGHT(T6)="+"),1,0)),IF(LEFT(Worksheet!S6,1)="N",'macro d''éval'!$N$36:$O$39,'macro d''éval'!$N$42:$O$45),2,FALSE))</f>
        <v>1</v>
      </c>
      <c r="V6" s="251">
        <f t="shared" si="3"/>
        <v>0</v>
      </c>
      <c r="W6" s="252">
        <f t="shared" si="4"/>
        <v>0</v>
      </c>
      <c r="X6" s="253">
        <f>VLOOKUP(W6,Jobgrades!_xlnm.Print_Area,4)</f>
        <v>0</v>
      </c>
      <c r="Y6" s="229">
        <f t="shared" si="5"/>
        <v>0</v>
      </c>
      <c r="Z6" s="239"/>
      <c r="AA6" s="240"/>
    </row>
    <row r="7" spans="1:27">
      <c r="A7" s="241"/>
      <c r="B7" s="241"/>
      <c r="C7" s="241"/>
      <c r="D7" s="241"/>
      <c r="E7" s="241"/>
      <c r="F7" s="241" t="s">
        <v>525</v>
      </c>
      <c r="G7" s="243"/>
      <c r="H7" s="243"/>
      <c r="I7" s="243"/>
      <c r="J7" s="244">
        <f ca="1">IF(NOT(Format2Print),2,IF(OR(LEN(G7)=0,LEN(H7)=0,LEN(I7)=0),2,OFFSET(Validation!$A$8,VLOOKUP(LEFT(Worksheet!G7,1),Validation!$A$9:$U$16,21),HLOOKUP(SUBSTITUTE(SUBSTITUTE(SUBSTITUTE(UPPER(Worksheet!H7),"+",""),"-",""),"N","T"),Validation!$B$7:$S$18,12,FALSE)*3+VALUE(LEFT(Worksheet!I7,1)))))</f>
        <v>2</v>
      </c>
      <c r="K7" s="245">
        <f t="shared" ref="K7:K24" si="6">COMP(G7,H7,I7)</f>
        <v>0</v>
      </c>
      <c r="L7" s="246"/>
      <c r="M7" s="246"/>
      <c r="N7" s="247">
        <f t="shared" ref="N7:N24" si="7">IC(L7,M7)</f>
        <v>0</v>
      </c>
      <c r="O7" s="248">
        <f ca="1">IF(NOT(Format2Print),2,MIN(3,IF(OR(LEN(L7)=0,LEN(M7)=0),2,OFFSET(Validation!$A$21,VLOOKUP(LEFT(UPPER(Worksheet!L7),1),Validation!$A$22:$L$30,12,FALSE),(VALUE(LEFT(Worksheet!M7,1))-1)*2+1+IF(IF(RIGHT(Worksheet!L7,1)="+",1,IF(RIGHT(Worksheet!L7,1)="-",-1,0))+IF(RIGHT(Worksheet!M7,1)="+",1,IF(RIGHT(Worksheet!M7,1)="-",-1,0))&gt;0,1,0)))))</f>
        <v>2</v>
      </c>
      <c r="P7" s="249">
        <f ca="1">IF(NOT(Format2Print),2,OFFSET(Validation!$C$53,VLOOKUP(N7,Validation!$A$54:$B$69,2),HLOOKUP(K7,Validation!$D$51:$AD$52,2)))</f>
        <v>2</v>
      </c>
      <c r="Q7" s="250">
        <f t="shared" ref="Q7:Q24" si="8">PTSIC(K7,N7)</f>
        <v>0</v>
      </c>
      <c r="R7" s="243"/>
      <c r="S7" s="243"/>
      <c r="T7" s="243"/>
      <c r="U7" s="238" t="b">
        <f>ISERROR(VLOOKUP(LEFT(T7,LEN(T7)-IF(OR(RIGHT(T7)="-",RIGHT(T7)="+"),1,0)),IF(LEFT(Worksheet!S7,1)="N",'macro d''éval'!$N$36:$O$39,'macro d''éval'!$N$42:$O$45),2,FALSE))</f>
        <v>1</v>
      </c>
      <c r="V7" s="251">
        <f t="shared" ref="V7:V24" si="9">FINALITE(R7,S7,T7)</f>
        <v>0</v>
      </c>
      <c r="W7" s="252">
        <f t="shared" ref="W7:W24" si="10">IF(LEN(F7)&lt;1,0,V7+Q7+K7)</f>
        <v>0</v>
      </c>
      <c r="X7" s="253">
        <f>VLOOKUP(W7,Jobgrades!_xlnm.Print_Area,4)</f>
        <v>0</v>
      </c>
      <c r="Y7" s="229">
        <f t="shared" ref="Y7:Y24" si="11">PROFIL(Q7,V7)</f>
        <v>0</v>
      </c>
      <c r="Z7" s="241"/>
      <c r="AA7" s="241"/>
    </row>
    <row r="8" spans="1:27">
      <c r="A8" s="241"/>
      <c r="B8" s="241"/>
      <c r="C8" s="241"/>
      <c r="D8" s="241"/>
      <c r="E8" s="241"/>
      <c r="F8" s="241" t="s">
        <v>525</v>
      </c>
      <c r="G8" s="243"/>
      <c r="H8" s="243"/>
      <c r="I8" s="243"/>
      <c r="J8" s="244">
        <f ca="1">IF(NOT(Format2Print),2,IF(OR(LEN(G8)=0,LEN(H8)=0,LEN(I8)=0),2,OFFSET(Validation!$A$8,VLOOKUP(LEFT(Worksheet!G8,1),Validation!$A$9:$U$16,21),HLOOKUP(SUBSTITUTE(SUBSTITUTE(SUBSTITUTE(UPPER(Worksheet!H8),"+",""),"-",""),"N","T"),Validation!$B$7:$S$18,12,FALSE)*3+VALUE(LEFT(Worksheet!I8,1)))))</f>
        <v>2</v>
      </c>
      <c r="K8" s="245">
        <f t="shared" si="6"/>
        <v>0</v>
      </c>
      <c r="L8" s="246"/>
      <c r="M8" s="246"/>
      <c r="N8" s="247">
        <f t="shared" si="7"/>
        <v>0</v>
      </c>
      <c r="O8" s="248">
        <f ca="1">IF(NOT(Format2Print),2,MIN(3,IF(OR(LEN(L8)=0,LEN(M8)=0),2,OFFSET(Validation!$A$21,VLOOKUP(LEFT(UPPER(Worksheet!L8),1),Validation!$A$22:$L$30,12,FALSE),(VALUE(LEFT(Worksheet!M8,1))-1)*2+1+IF(IF(RIGHT(Worksheet!L8,1)="+",1,IF(RIGHT(Worksheet!L8,1)="-",-1,0))+IF(RIGHT(Worksheet!M8,1)="+",1,IF(RIGHT(Worksheet!M8,1)="-",-1,0))&gt;0,1,0)))))</f>
        <v>2</v>
      </c>
      <c r="P8" s="249">
        <f ca="1">IF(NOT(Format2Print),2,OFFSET(Validation!$C$53,VLOOKUP(N8,Validation!$A$54:$B$69,2),HLOOKUP(K8,Validation!$D$51:$AD$52,2)))</f>
        <v>2</v>
      </c>
      <c r="Q8" s="250">
        <f t="shared" si="8"/>
        <v>0</v>
      </c>
      <c r="R8" s="243"/>
      <c r="S8" s="243"/>
      <c r="T8" s="243"/>
      <c r="U8" s="238" t="b">
        <f>ISERROR(VLOOKUP(LEFT(T8,LEN(T8)-IF(OR(RIGHT(T8)="-",RIGHT(T8)="+"),1,0)),IF(LEFT(Worksheet!S8,1)="N",'macro d''éval'!$N$36:$O$39,'macro d''éval'!$N$42:$O$45),2,FALSE))</f>
        <v>1</v>
      </c>
      <c r="V8" s="251">
        <f t="shared" si="9"/>
        <v>0</v>
      </c>
      <c r="W8" s="252">
        <f t="shared" si="10"/>
        <v>0</v>
      </c>
      <c r="X8" s="253">
        <f>VLOOKUP(W8,Jobgrades!_xlnm.Print_Area,4)</f>
        <v>0</v>
      </c>
      <c r="Y8" s="229">
        <f t="shared" si="11"/>
        <v>0</v>
      </c>
      <c r="Z8" s="241"/>
      <c r="AA8" s="241"/>
    </row>
    <row r="9" spans="1:27">
      <c r="A9" s="241"/>
      <c r="B9" s="241"/>
      <c r="C9" s="241"/>
      <c r="D9" s="241"/>
      <c r="E9" s="241"/>
      <c r="F9" s="241" t="s">
        <v>525</v>
      </c>
      <c r="G9" s="243"/>
      <c r="H9" s="243"/>
      <c r="I9" s="243"/>
      <c r="J9" s="244">
        <f ca="1">IF(NOT(Format2Print),2,IF(OR(LEN(G9)=0,LEN(H9)=0,LEN(I9)=0),2,OFFSET(Validation!$A$8,VLOOKUP(LEFT(Worksheet!G9,1),Validation!$A$9:$U$16,21),HLOOKUP(SUBSTITUTE(SUBSTITUTE(SUBSTITUTE(UPPER(Worksheet!H9),"+",""),"-",""),"N","T"),Validation!$B$7:$S$18,12,FALSE)*3+VALUE(LEFT(Worksheet!I9,1)))))</f>
        <v>2</v>
      </c>
      <c r="K9" s="245">
        <f t="shared" si="6"/>
        <v>0</v>
      </c>
      <c r="L9" s="246"/>
      <c r="M9" s="246"/>
      <c r="N9" s="247">
        <f t="shared" si="7"/>
        <v>0</v>
      </c>
      <c r="O9" s="248">
        <f ca="1">IF(NOT(Format2Print),2,MIN(3,IF(OR(LEN(L9)=0,LEN(M9)=0),2,OFFSET(Validation!$A$21,VLOOKUP(LEFT(UPPER(Worksheet!L9),1),Validation!$A$22:$L$30,12,FALSE),(VALUE(LEFT(Worksheet!M9,1))-1)*2+1+IF(IF(RIGHT(Worksheet!L9,1)="+",1,IF(RIGHT(Worksheet!L9,1)="-",-1,0))+IF(RIGHT(Worksheet!M9,1)="+",1,IF(RIGHT(Worksheet!M9,1)="-",-1,0))&gt;0,1,0)))))</f>
        <v>2</v>
      </c>
      <c r="P9" s="249">
        <f ca="1">IF(NOT(Format2Print),2,OFFSET(Validation!$C$53,VLOOKUP(N9,Validation!$A$54:$B$69,2),HLOOKUP(K9,Validation!$D$51:$AD$52,2)))</f>
        <v>2</v>
      </c>
      <c r="Q9" s="250">
        <f t="shared" si="8"/>
        <v>0</v>
      </c>
      <c r="R9" s="243"/>
      <c r="S9" s="243"/>
      <c r="T9" s="243"/>
      <c r="U9" s="238" t="b">
        <f>ISERROR(VLOOKUP(LEFT(T9,LEN(T9)-IF(OR(RIGHT(T9)="-",RIGHT(T9)="+"),1,0)),IF(LEFT(Worksheet!S9,1)="N",'macro d''éval'!$N$36:$O$39,'macro d''éval'!$N$42:$O$45),2,FALSE))</f>
        <v>1</v>
      </c>
      <c r="V9" s="251">
        <f t="shared" si="9"/>
        <v>0</v>
      </c>
      <c r="W9" s="252">
        <f t="shared" si="10"/>
        <v>0</v>
      </c>
      <c r="X9" s="253">
        <f>VLOOKUP(W9,Jobgrades!_xlnm.Print_Area,4)</f>
        <v>0</v>
      </c>
      <c r="Y9" s="229">
        <f t="shared" si="11"/>
        <v>0</v>
      </c>
      <c r="Z9" s="241"/>
      <c r="AA9" s="241"/>
    </row>
    <row r="10" spans="1:27">
      <c r="A10" s="241"/>
      <c r="B10" s="241"/>
      <c r="C10" s="241"/>
      <c r="D10" s="241"/>
      <c r="E10" s="241"/>
      <c r="F10" s="241" t="s">
        <v>525</v>
      </c>
      <c r="G10" s="243"/>
      <c r="H10" s="243"/>
      <c r="I10" s="243"/>
      <c r="J10" s="244">
        <f ca="1">IF(NOT(Format2Print),2,IF(OR(LEN(G10)=0,LEN(H10)=0,LEN(I10)=0),2,OFFSET(Validation!$A$8,VLOOKUP(LEFT(Worksheet!G10,1),Validation!$A$9:$U$16,21),HLOOKUP(SUBSTITUTE(SUBSTITUTE(SUBSTITUTE(UPPER(Worksheet!H10),"+",""),"-",""),"N","T"),Validation!$B$7:$S$18,12,FALSE)*3+VALUE(LEFT(Worksheet!I10,1)))))</f>
        <v>2</v>
      </c>
      <c r="K10" s="245">
        <f t="shared" si="6"/>
        <v>0</v>
      </c>
      <c r="L10" s="246"/>
      <c r="M10" s="246"/>
      <c r="N10" s="247">
        <f t="shared" si="7"/>
        <v>0</v>
      </c>
      <c r="O10" s="248">
        <f ca="1">IF(NOT(Format2Print),2,MIN(3,IF(OR(LEN(L10)=0,LEN(M10)=0),2,OFFSET(Validation!$A$21,VLOOKUP(LEFT(UPPER(Worksheet!L10),1),Validation!$A$22:$L$30,12,FALSE),(VALUE(LEFT(Worksheet!M10,1))-1)*2+1+IF(IF(RIGHT(Worksheet!L10,1)="+",1,IF(RIGHT(Worksheet!L10,1)="-",-1,0))+IF(RIGHT(Worksheet!M10,1)="+",1,IF(RIGHT(Worksheet!M10,1)="-",-1,0))&gt;0,1,0)))))</f>
        <v>2</v>
      </c>
      <c r="P10" s="249">
        <f ca="1">IF(NOT(Format2Print),2,OFFSET(Validation!$C$53,VLOOKUP(N10,Validation!$A$54:$B$69,2),HLOOKUP(K10,Validation!$D$51:$AD$52,2)))</f>
        <v>2</v>
      </c>
      <c r="Q10" s="250">
        <f t="shared" si="8"/>
        <v>0</v>
      </c>
      <c r="R10" s="243"/>
      <c r="S10" s="243"/>
      <c r="T10" s="243"/>
      <c r="U10" s="238" t="b">
        <f>ISERROR(VLOOKUP(LEFT(T10,LEN(T10)-IF(OR(RIGHT(T10)="-",RIGHT(T10)="+"),1,0)),IF(LEFT(Worksheet!S10,1)="N",'macro d''éval'!$N$36:$O$39,'macro d''éval'!$N$42:$O$45),2,FALSE))</f>
        <v>1</v>
      </c>
      <c r="V10" s="251">
        <f t="shared" si="9"/>
        <v>0</v>
      </c>
      <c r="W10" s="252">
        <f t="shared" si="10"/>
        <v>0</v>
      </c>
      <c r="X10" s="253">
        <f>VLOOKUP(W10,Jobgrades!_xlnm.Print_Area,4)</f>
        <v>0</v>
      </c>
      <c r="Y10" s="229">
        <f t="shared" si="11"/>
        <v>0</v>
      </c>
      <c r="Z10" s="241"/>
      <c r="AA10" s="241"/>
    </row>
    <row r="11" spans="1:27">
      <c r="A11" s="241"/>
      <c r="B11" s="241"/>
      <c r="C11" s="241"/>
      <c r="D11" s="241"/>
      <c r="E11" s="241"/>
      <c r="F11" s="241" t="s">
        <v>525</v>
      </c>
      <c r="G11" s="243"/>
      <c r="H11" s="243"/>
      <c r="I11" s="243"/>
      <c r="J11" s="244">
        <f ca="1">IF(NOT(Format2Print),2,IF(OR(LEN(G11)=0,LEN(H11)=0,LEN(I11)=0),2,OFFSET(Validation!$A$8,VLOOKUP(LEFT(Worksheet!G11,1),Validation!$A$9:$U$16,21),HLOOKUP(SUBSTITUTE(SUBSTITUTE(SUBSTITUTE(UPPER(Worksheet!H11),"+",""),"-",""),"N","T"),Validation!$B$7:$S$18,12,FALSE)*3+VALUE(LEFT(Worksheet!I11,1)))))</f>
        <v>2</v>
      </c>
      <c r="K11" s="245">
        <f t="shared" si="6"/>
        <v>0</v>
      </c>
      <c r="L11" s="246"/>
      <c r="M11" s="246"/>
      <c r="N11" s="247">
        <f t="shared" si="7"/>
        <v>0</v>
      </c>
      <c r="O11" s="248">
        <f ca="1">IF(NOT(Format2Print),2,MIN(3,IF(OR(LEN(L11)=0,LEN(M11)=0),2,OFFSET(Validation!$A$21,VLOOKUP(LEFT(UPPER(Worksheet!L11),1),Validation!$A$22:$L$30,12,FALSE),(VALUE(LEFT(Worksheet!M11,1))-1)*2+1+IF(IF(RIGHT(Worksheet!L11,1)="+",1,IF(RIGHT(Worksheet!L11,1)="-",-1,0))+IF(RIGHT(Worksheet!M11,1)="+",1,IF(RIGHT(Worksheet!M11,1)="-",-1,0))&gt;0,1,0)))))</f>
        <v>2</v>
      </c>
      <c r="P11" s="249">
        <f ca="1">IF(NOT(Format2Print),2,OFFSET(Validation!$C$53,VLOOKUP(N11,Validation!$A$54:$B$69,2),HLOOKUP(K11,Validation!$D$51:$AD$52,2)))</f>
        <v>2</v>
      </c>
      <c r="Q11" s="250">
        <f t="shared" si="8"/>
        <v>0</v>
      </c>
      <c r="R11" s="243"/>
      <c r="S11" s="243"/>
      <c r="T11" s="243"/>
      <c r="U11" s="238" t="b">
        <f>ISERROR(VLOOKUP(LEFT(T11,LEN(T11)-IF(OR(RIGHT(T11)="-",RIGHT(T11)="+"),1,0)),IF(LEFT(Worksheet!S11,1)="N",'macro d''éval'!$N$36:$O$39,'macro d''éval'!$N$42:$O$45),2,FALSE))</f>
        <v>1</v>
      </c>
      <c r="V11" s="251">
        <f t="shared" si="9"/>
        <v>0</v>
      </c>
      <c r="W11" s="252">
        <f t="shared" si="10"/>
        <v>0</v>
      </c>
      <c r="X11" s="253">
        <f>VLOOKUP(W11,Jobgrades!_xlnm.Print_Area,4)</f>
        <v>0</v>
      </c>
      <c r="Y11" s="229">
        <f t="shared" si="11"/>
        <v>0</v>
      </c>
      <c r="Z11" s="241"/>
      <c r="AA11" s="241"/>
    </row>
    <row r="12" spans="1:27">
      <c r="A12" s="270"/>
      <c r="B12" s="270"/>
      <c r="C12" s="241"/>
      <c r="D12" s="241"/>
      <c r="E12" s="241"/>
      <c r="F12" s="241" t="s">
        <v>525</v>
      </c>
      <c r="G12" s="243"/>
      <c r="H12" s="243"/>
      <c r="I12" s="243"/>
      <c r="J12" s="244">
        <f ca="1">IF(NOT(Format2Print),2,IF(OR(LEN(G12)=0,LEN(H12)=0,LEN(I12)=0),2,OFFSET(Validation!$A$8,VLOOKUP(LEFT(Worksheet!G12,1),Validation!$A$9:$U$16,21),HLOOKUP(SUBSTITUTE(SUBSTITUTE(SUBSTITUTE(UPPER(Worksheet!H12),"+",""),"-",""),"N","T"),Validation!$B$7:$S$18,12,FALSE)*3+VALUE(LEFT(Worksheet!I12,1)))))</f>
        <v>2</v>
      </c>
      <c r="K12" s="245">
        <f t="shared" si="6"/>
        <v>0</v>
      </c>
      <c r="L12" s="246"/>
      <c r="M12" s="246"/>
      <c r="N12" s="247">
        <f t="shared" si="7"/>
        <v>0</v>
      </c>
      <c r="O12" s="271"/>
      <c r="P12" s="272"/>
      <c r="Q12" s="250">
        <f t="shared" si="8"/>
        <v>0</v>
      </c>
      <c r="R12" s="243"/>
      <c r="S12" s="243"/>
      <c r="T12" s="243"/>
      <c r="U12" s="273"/>
      <c r="V12" s="251">
        <f t="shared" si="9"/>
        <v>0</v>
      </c>
      <c r="W12" s="252">
        <f t="shared" si="10"/>
        <v>0</v>
      </c>
      <c r="X12" s="253">
        <f>VLOOKUP(W12,Jobgrades!_xlnm.Print_Area,4)</f>
        <v>0</v>
      </c>
      <c r="Y12" s="229">
        <f t="shared" si="11"/>
        <v>0</v>
      </c>
      <c r="Z12" s="270"/>
      <c r="AA12" s="270"/>
    </row>
    <row r="13" spans="1:27">
      <c r="A13" s="270"/>
      <c r="B13" s="270"/>
      <c r="C13" s="241"/>
      <c r="D13" s="241"/>
      <c r="E13" s="241"/>
      <c r="F13" s="241" t="s">
        <v>525</v>
      </c>
      <c r="G13" s="243"/>
      <c r="H13" s="243"/>
      <c r="I13" s="243"/>
      <c r="J13" s="244">
        <f ca="1">IF(NOT(Format2Print),2,IF(OR(LEN(G13)=0,LEN(H13)=0,LEN(I13)=0),2,OFFSET(Validation!$A$8,VLOOKUP(LEFT(Worksheet!G13,1),Validation!$A$9:$U$16,21),HLOOKUP(SUBSTITUTE(SUBSTITUTE(SUBSTITUTE(UPPER(Worksheet!H13),"+",""),"-",""),"N","T"),Validation!$B$7:$S$18,12,FALSE)*3+VALUE(LEFT(Worksheet!I13,1)))))</f>
        <v>2</v>
      </c>
      <c r="K13" s="245">
        <f t="shared" si="6"/>
        <v>0</v>
      </c>
      <c r="L13" s="246"/>
      <c r="M13" s="246"/>
      <c r="N13" s="247">
        <f t="shared" si="7"/>
        <v>0</v>
      </c>
      <c r="O13" s="271"/>
      <c r="P13" s="272"/>
      <c r="Q13" s="250">
        <f t="shared" si="8"/>
        <v>0</v>
      </c>
      <c r="R13" s="243"/>
      <c r="S13" s="243"/>
      <c r="T13" s="243"/>
      <c r="U13" s="273"/>
      <c r="V13" s="251">
        <f t="shared" si="9"/>
        <v>0</v>
      </c>
      <c r="W13" s="252">
        <f t="shared" si="10"/>
        <v>0</v>
      </c>
      <c r="X13" s="253">
        <f>VLOOKUP(W13,Jobgrades!_xlnm.Print_Area,4)</f>
        <v>0</v>
      </c>
      <c r="Y13" s="229">
        <f t="shared" si="11"/>
        <v>0</v>
      </c>
      <c r="Z13" s="270"/>
      <c r="AA13" s="270"/>
    </row>
    <row r="14" spans="1:27">
      <c r="A14" s="270"/>
      <c r="B14" s="270"/>
      <c r="C14" s="241"/>
      <c r="D14" s="241"/>
      <c r="E14" s="241"/>
      <c r="F14" s="241" t="s">
        <v>525</v>
      </c>
      <c r="G14" s="243"/>
      <c r="H14" s="243"/>
      <c r="I14" s="243"/>
      <c r="J14" s="244">
        <f ca="1">IF(NOT(Format2Print),2,IF(OR(LEN(G14)=0,LEN(H14)=0,LEN(I14)=0),2,OFFSET(Validation!$A$8,VLOOKUP(LEFT(Worksheet!G14,1),Validation!$A$9:$U$16,21),HLOOKUP(SUBSTITUTE(SUBSTITUTE(SUBSTITUTE(UPPER(Worksheet!H14),"+",""),"-",""),"N","T"),Validation!$B$7:$S$18,12,FALSE)*3+VALUE(LEFT(Worksheet!I14,1)))))</f>
        <v>2</v>
      </c>
      <c r="K14" s="245">
        <f t="shared" si="6"/>
        <v>0</v>
      </c>
      <c r="L14" s="246"/>
      <c r="M14" s="246"/>
      <c r="N14" s="247">
        <f t="shared" si="7"/>
        <v>0</v>
      </c>
      <c r="O14" s="271"/>
      <c r="P14" s="272"/>
      <c r="Q14" s="250">
        <f t="shared" si="8"/>
        <v>0</v>
      </c>
      <c r="R14" s="243"/>
      <c r="S14" s="243"/>
      <c r="T14" s="243"/>
      <c r="U14" s="273"/>
      <c r="V14" s="251">
        <f t="shared" si="9"/>
        <v>0</v>
      </c>
      <c r="W14" s="252">
        <f t="shared" si="10"/>
        <v>0</v>
      </c>
      <c r="X14" s="253">
        <f>VLOOKUP(W14,Jobgrades!_xlnm.Print_Area,4)</f>
        <v>0</v>
      </c>
      <c r="Y14" s="229">
        <f t="shared" si="11"/>
        <v>0</v>
      </c>
      <c r="Z14" s="270"/>
      <c r="AA14" s="270"/>
    </row>
    <row r="15" spans="1:27">
      <c r="A15" s="270"/>
      <c r="B15" s="270"/>
      <c r="C15" s="241"/>
      <c r="D15" s="241"/>
      <c r="E15" s="241"/>
      <c r="F15" s="241" t="s">
        <v>525</v>
      </c>
      <c r="G15" s="243"/>
      <c r="H15" s="243"/>
      <c r="I15" s="243"/>
      <c r="J15" s="244">
        <f ca="1">IF(NOT(Format2Print),2,IF(OR(LEN(G15)=0,LEN(H15)=0,LEN(I15)=0),2,OFFSET(Validation!$A$8,VLOOKUP(LEFT(Worksheet!G15,1),Validation!$A$9:$U$16,21),HLOOKUP(SUBSTITUTE(SUBSTITUTE(SUBSTITUTE(UPPER(Worksheet!H15),"+",""),"-",""),"N","T"),Validation!$B$7:$S$18,12,FALSE)*3+VALUE(LEFT(Worksheet!I15,1)))))</f>
        <v>2</v>
      </c>
      <c r="K15" s="245">
        <f t="shared" si="6"/>
        <v>0</v>
      </c>
      <c r="L15" s="246"/>
      <c r="M15" s="246"/>
      <c r="N15" s="247">
        <f t="shared" si="7"/>
        <v>0</v>
      </c>
      <c r="O15" s="271"/>
      <c r="P15" s="272"/>
      <c r="Q15" s="250">
        <f t="shared" si="8"/>
        <v>0</v>
      </c>
      <c r="R15" s="243"/>
      <c r="S15" s="243"/>
      <c r="T15" s="243"/>
      <c r="U15" s="273"/>
      <c r="V15" s="251">
        <f t="shared" si="9"/>
        <v>0</v>
      </c>
      <c r="W15" s="252">
        <f t="shared" si="10"/>
        <v>0</v>
      </c>
      <c r="X15" s="253">
        <f>VLOOKUP(W15,Jobgrades!_xlnm.Print_Area,4)</f>
        <v>0</v>
      </c>
      <c r="Y15" s="229">
        <f t="shared" si="11"/>
        <v>0</v>
      </c>
      <c r="Z15" s="270"/>
      <c r="AA15" s="270"/>
    </row>
    <row r="16" spans="1:27">
      <c r="A16" s="270"/>
      <c r="B16" s="270"/>
      <c r="C16" s="241"/>
      <c r="D16" s="241"/>
      <c r="E16" s="241"/>
      <c r="F16" s="241" t="s">
        <v>525</v>
      </c>
      <c r="G16" s="243"/>
      <c r="H16" s="243"/>
      <c r="I16" s="243"/>
      <c r="J16" s="244">
        <f ca="1">IF(NOT(Format2Print),2,IF(OR(LEN(G16)=0,LEN(H16)=0,LEN(I16)=0),2,OFFSET(Validation!$A$8,VLOOKUP(LEFT(Worksheet!G16,1),Validation!$A$9:$U$16,21),HLOOKUP(SUBSTITUTE(SUBSTITUTE(SUBSTITUTE(UPPER(Worksheet!H16),"+",""),"-",""),"N","T"),Validation!$B$7:$S$18,12,FALSE)*3+VALUE(LEFT(Worksheet!I16,1)))))</f>
        <v>2</v>
      </c>
      <c r="K16" s="245">
        <f t="shared" si="6"/>
        <v>0</v>
      </c>
      <c r="L16" s="246"/>
      <c r="M16" s="246"/>
      <c r="N16" s="247">
        <f t="shared" si="7"/>
        <v>0</v>
      </c>
      <c r="O16" s="271"/>
      <c r="P16" s="272"/>
      <c r="Q16" s="250">
        <f t="shared" si="8"/>
        <v>0</v>
      </c>
      <c r="R16" s="243"/>
      <c r="S16" s="243"/>
      <c r="T16" s="243"/>
      <c r="U16" s="273"/>
      <c r="V16" s="251">
        <f t="shared" si="9"/>
        <v>0</v>
      </c>
      <c r="W16" s="252">
        <f t="shared" si="10"/>
        <v>0</v>
      </c>
      <c r="X16" s="253">
        <f>VLOOKUP(W16,Jobgrades!_xlnm.Print_Area,4)</f>
        <v>0</v>
      </c>
      <c r="Y16" s="229">
        <f t="shared" si="11"/>
        <v>0</v>
      </c>
      <c r="Z16" s="270"/>
      <c r="AA16" s="270"/>
    </row>
    <row r="17" spans="1:27">
      <c r="A17" s="270"/>
      <c r="B17" s="270"/>
      <c r="C17" s="241"/>
      <c r="D17" s="241"/>
      <c r="E17" s="241"/>
      <c r="F17" s="241" t="s">
        <v>525</v>
      </c>
      <c r="G17" s="243"/>
      <c r="H17" s="243"/>
      <c r="I17" s="243"/>
      <c r="J17" s="244">
        <f ca="1">IF(NOT(Format2Print),2,IF(OR(LEN(G17)=0,LEN(H17)=0,LEN(I17)=0),2,OFFSET(Validation!$A$8,VLOOKUP(LEFT(Worksheet!G17,1),Validation!$A$9:$U$16,21),HLOOKUP(SUBSTITUTE(SUBSTITUTE(SUBSTITUTE(UPPER(Worksheet!H17),"+",""),"-",""),"N","T"),Validation!$B$7:$S$18,12,FALSE)*3+VALUE(LEFT(Worksheet!I17,1)))))</f>
        <v>2</v>
      </c>
      <c r="K17" s="245">
        <f t="shared" si="6"/>
        <v>0</v>
      </c>
      <c r="L17" s="246"/>
      <c r="M17" s="246"/>
      <c r="N17" s="247">
        <f t="shared" si="7"/>
        <v>0</v>
      </c>
      <c r="O17" s="271"/>
      <c r="P17" s="272"/>
      <c r="Q17" s="250">
        <f t="shared" si="8"/>
        <v>0</v>
      </c>
      <c r="R17" s="243"/>
      <c r="S17" s="243"/>
      <c r="T17" s="243"/>
      <c r="U17" s="273"/>
      <c r="V17" s="251">
        <f t="shared" si="9"/>
        <v>0</v>
      </c>
      <c r="W17" s="252">
        <f t="shared" si="10"/>
        <v>0</v>
      </c>
      <c r="X17" s="253">
        <f>VLOOKUP(W17,Jobgrades!_xlnm.Print_Area,4)</f>
        <v>0</v>
      </c>
      <c r="Y17" s="229">
        <f t="shared" si="11"/>
        <v>0</v>
      </c>
      <c r="Z17" s="270"/>
      <c r="AA17" s="270"/>
    </row>
    <row r="18" spans="1:27">
      <c r="A18" s="270"/>
      <c r="B18" s="270"/>
      <c r="C18" s="241"/>
      <c r="D18" s="241"/>
      <c r="E18" s="241"/>
      <c r="F18" s="241" t="s">
        <v>525</v>
      </c>
      <c r="G18" s="243"/>
      <c r="H18" s="243"/>
      <c r="I18" s="243"/>
      <c r="J18" s="244">
        <f ca="1">IF(NOT(Format2Print),2,IF(OR(LEN(G18)=0,LEN(H18)=0,LEN(I18)=0),2,OFFSET(Validation!$A$8,VLOOKUP(LEFT(Worksheet!G18,1),Validation!$A$9:$U$16,21),HLOOKUP(SUBSTITUTE(SUBSTITUTE(SUBSTITUTE(UPPER(Worksheet!H18),"+",""),"-",""),"N","T"),Validation!$B$7:$S$18,12,FALSE)*3+VALUE(LEFT(Worksheet!I18,1)))))</f>
        <v>2</v>
      </c>
      <c r="K18" s="245">
        <f t="shared" si="6"/>
        <v>0</v>
      </c>
      <c r="L18" s="246"/>
      <c r="M18" s="246"/>
      <c r="N18" s="247">
        <f t="shared" si="7"/>
        <v>0</v>
      </c>
      <c r="O18" s="271"/>
      <c r="P18" s="272"/>
      <c r="Q18" s="250">
        <f t="shared" si="8"/>
        <v>0</v>
      </c>
      <c r="R18" s="243"/>
      <c r="S18" s="243"/>
      <c r="T18" s="243"/>
      <c r="U18" s="273"/>
      <c r="V18" s="251">
        <f t="shared" si="9"/>
        <v>0</v>
      </c>
      <c r="W18" s="252">
        <f t="shared" si="10"/>
        <v>0</v>
      </c>
      <c r="X18" s="253">
        <f>VLOOKUP(W18,Jobgrades!_xlnm.Print_Area,4)</f>
        <v>0</v>
      </c>
      <c r="Y18" s="229">
        <f t="shared" si="11"/>
        <v>0</v>
      </c>
      <c r="Z18" s="270"/>
      <c r="AA18" s="270"/>
    </row>
    <row r="19" spans="1:27">
      <c r="A19" s="270"/>
      <c r="B19" s="270"/>
      <c r="C19" s="241"/>
      <c r="D19" s="241"/>
      <c r="E19" s="241"/>
      <c r="F19" s="241" t="s">
        <v>525</v>
      </c>
      <c r="G19" s="243"/>
      <c r="H19" s="243"/>
      <c r="I19" s="243"/>
      <c r="J19" s="244">
        <f ca="1">IF(NOT(Format2Print),2,IF(OR(LEN(G19)=0,LEN(H19)=0,LEN(I19)=0),2,OFFSET(Validation!$A$8,VLOOKUP(LEFT(Worksheet!G19,1),Validation!$A$9:$U$16,21),HLOOKUP(SUBSTITUTE(SUBSTITUTE(SUBSTITUTE(UPPER(Worksheet!H19),"+",""),"-",""),"N","T"),Validation!$B$7:$S$18,12,FALSE)*3+VALUE(LEFT(Worksheet!I19,1)))))</f>
        <v>2</v>
      </c>
      <c r="K19" s="245">
        <f t="shared" si="6"/>
        <v>0</v>
      </c>
      <c r="L19" s="246"/>
      <c r="M19" s="246"/>
      <c r="N19" s="247">
        <f t="shared" si="7"/>
        <v>0</v>
      </c>
      <c r="O19" s="271"/>
      <c r="P19" s="272"/>
      <c r="Q19" s="250">
        <f t="shared" si="8"/>
        <v>0</v>
      </c>
      <c r="R19" s="243"/>
      <c r="S19" s="243"/>
      <c r="T19" s="243"/>
      <c r="U19" s="273"/>
      <c r="V19" s="251">
        <f t="shared" si="9"/>
        <v>0</v>
      </c>
      <c r="W19" s="252">
        <f t="shared" si="10"/>
        <v>0</v>
      </c>
      <c r="X19" s="253">
        <f>VLOOKUP(W19,Jobgrades!_xlnm.Print_Area,4)</f>
        <v>0</v>
      </c>
      <c r="Y19" s="229">
        <f t="shared" si="11"/>
        <v>0</v>
      </c>
      <c r="Z19" s="270"/>
      <c r="AA19" s="270"/>
    </row>
    <row r="20" spans="1:27">
      <c r="A20" s="270"/>
      <c r="B20" s="270"/>
      <c r="C20" s="241"/>
      <c r="D20" s="241"/>
      <c r="E20" s="241"/>
      <c r="F20" s="241" t="s">
        <v>525</v>
      </c>
      <c r="G20" s="243"/>
      <c r="H20" s="243"/>
      <c r="I20" s="243"/>
      <c r="J20" s="244">
        <f ca="1">IF(NOT(Format2Print),2,IF(OR(LEN(G20)=0,LEN(H20)=0,LEN(I20)=0),2,OFFSET(Validation!$A$8,VLOOKUP(LEFT(Worksheet!G20,1),Validation!$A$9:$U$16,21),HLOOKUP(SUBSTITUTE(SUBSTITUTE(SUBSTITUTE(UPPER(Worksheet!H20),"+",""),"-",""),"N","T"),Validation!$B$7:$S$18,12,FALSE)*3+VALUE(LEFT(Worksheet!I20,1)))))</f>
        <v>2</v>
      </c>
      <c r="K20" s="245">
        <f t="shared" si="6"/>
        <v>0</v>
      </c>
      <c r="L20" s="246"/>
      <c r="M20" s="246"/>
      <c r="N20" s="247">
        <f t="shared" si="7"/>
        <v>0</v>
      </c>
      <c r="O20" s="271"/>
      <c r="P20" s="272"/>
      <c r="Q20" s="250">
        <f t="shared" si="8"/>
        <v>0</v>
      </c>
      <c r="R20" s="243"/>
      <c r="S20" s="243"/>
      <c r="T20" s="243"/>
      <c r="U20" s="273"/>
      <c r="V20" s="251">
        <f t="shared" si="9"/>
        <v>0</v>
      </c>
      <c r="W20" s="252">
        <f t="shared" si="10"/>
        <v>0</v>
      </c>
      <c r="X20" s="253">
        <f>VLOOKUP(W20,Jobgrades!_xlnm.Print_Area,4)</f>
        <v>0</v>
      </c>
      <c r="Y20" s="229">
        <f t="shared" si="11"/>
        <v>0</v>
      </c>
      <c r="Z20" s="270"/>
      <c r="AA20" s="270"/>
    </row>
    <row r="21" spans="1:27">
      <c r="A21" s="270"/>
      <c r="B21" s="270"/>
      <c r="C21" s="241"/>
      <c r="D21" s="241"/>
      <c r="E21" s="241"/>
      <c r="F21" s="241" t="s">
        <v>525</v>
      </c>
      <c r="G21" s="243"/>
      <c r="H21" s="243"/>
      <c r="I21" s="243"/>
      <c r="J21" s="244">
        <f ca="1">IF(NOT(Format2Print),2,IF(OR(LEN(G21)=0,LEN(H21)=0,LEN(I21)=0),2,OFFSET(Validation!$A$8,VLOOKUP(LEFT(Worksheet!G21,1),Validation!$A$9:$U$16,21),HLOOKUP(SUBSTITUTE(SUBSTITUTE(SUBSTITUTE(UPPER(Worksheet!H21),"+",""),"-",""),"N","T"),Validation!$B$7:$S$18,12,FALSE)*3+VALUE(LEFT(Worksheet!I21,1)))))</f>
        <v>2</v>
      </c>
      <c r="K21" s="245">
        <f t="shared" si="6"/>
        <v>0</v>
      </c>
      <c r="L21" s="246"/>
      <c r="M21" s="246"/>
      <c r="N21" s="247">
        <f t="shared" si="7"/>
        <v>0</v>
      </c>
      <c r="O21" s="271"/>
      <c r="P21" s="272"/>
      <c r="Q21" s="250">
        <f t="shared" si="8"/>
        <v>0</v>
      </c>
      <c r="R21" s="243"/>
      <c r="S21" s="243"/>
      <c r="T21" s="243"/>
      <c r="U21" s="273"/>
      <c r="V21" s="251">
        <f t="shared" si="9"/>
        <v>0</v>
      </c>
      <c r="W21" s="252">
        <f t="shared" si="10"/>
        <v>0</v>
      </c>
      <c r="X21" s="253">
        <f>VLOOKUP(W21,Jobgrades!_xlnm.Print_Area,4)</f>
        <v>0</v>
      </c>
      <c r="Y21" s="229">
        <f t="shared" si="11"/>
        <v>0</v>
      </c>
      <c r="Z21" s="270"/>
      <c r="AA21" s="270"/>
    </row>
    <row r="22" spans="1:27">
      <c r="C22" s="241"/>
      <c r="D22" s="241"/>
      <c r="E22" s="241"/>
      <c r="F22" s="241" t="s">
        <v>525</v>
      </c>
      <c r="G22" s="243"/>
      <c r="H22" s="243"/>
      <c r="I22" s="243"/>
      <c r="J22" s="244">
        <f ca="1">IF(NOT(Format2Print),2,IF(OR(LEN(G22)=0,LEN(H22)=0,LEN(I22)=0),2,OFFSET(Validation!$A$8,VLOOKUP(LEFT(Worksheet!G22,1),Validation!$A$9:$U$16,21),HLOOKUP(SUBSTITUTE(SUBSTITUTE(SUBSTITUTE(UPPER(Worksheet!H22),"+",""),"-",""),"N","T"),Validation!$B$7:$S$18,12,FALSE)*3+VALUE(LEFT(Worksheet!I22,1)))))</f>
        <v>2</v>
      </c>
      <c r="K22" s="245">
        <f t="shared" si="6"/>
        <v>0</v>
      </c>
      <c r="L22" s="246"/>
      <c r="M22" s="246"/>
      <c r="N22" s="247">
        <f t="shared" si="7"/>
        <v>0</v>
      </c>
      <c r="Q22" s="250">
        <f t="shared" si="8"/>
        <v>0</v>
      </c>
      <c r="R22" s="243"/>
      <c r="S22" s="243"/>
      <c r="T22" s="243"/>
      <c r="V22" s="251">
        <f t="shared" si="9"/>
        <v>0</v>
      </c>
      <c r="W22" s="252">
        <f t="shared" si="10"/>
        <v>0</v>
      </c>
      <c r="X22" s="253">
        <f>VLOOKUP(W22,Jobgrades!_xlnm.Print_Area,4)</f>
        <v>0</v>
      </c>
      <c r="Y22" s="229">
        <f t="shared" si="11"/>
        <v>0</v>
      </c>
    </row>
    <row r="23" spans="1:27">
      <c r="C23" s="241"/>
      <c r="D23" s="241"/>
      <c r="E23" s="241"/>
      <c r="F23" s="241" t="s">
        <v>525</v>
      </c>
      <c r="G23" s="243"/>
      <c r="H23" s="243"/>
      <c r="I23" s="243"/>
      <c r="J23" s="244">
        <f ca="1">IF(NOT(Format2Print),2,IF(OR(LEN(G23)=0,LEN(H23)=0,LEN(I23)=0),2,OFFSET(Validation!$A$8,VLOOKUP(LEFT(Worksheet!G23,1),Validation!$A$9:$U$16,21),HLOOKUP(SUBSTITUTE(SUBSTITUTE(SUBSTITUTE(UPPER(Worksheet!H23),"+",""),"-",""),"N","T"),Validation!$B$7:$S$18,12,FALSE)*3+VALUE(LEFT(Worksheet!I23,1)))))</f>
        <v>2</v>
      </c>
      <c r="K23" s="245">
        <f t="shared" si="6"/>
        <v>0</v>
      </c>
      <c r="L23" s="246"/>
      <c r="M23" s="246"/>
      <c r="N23" s="247">
        <f t="shared" si="7"/>
        <v>0</v>
      </c>
      <c r="O23" s="158">
        <f ca="1">IF(NOT(Format2Print),2,MIN(3,IF(OR(LEN(L23)=0,LEN(M23)=0),2,OFFSET(Validation!$A$21,VLOOKUP(LEFT(UPPER(Worksheet!L23),1),Validation!$A$22:$L$30,12,FALSE),(VALUE(LEFT(Worksheet!M23,1))-1)*2+1+IF(IF(RIGHT(Worksheet!L23,1)="+",1,IF(RIGHT(Worksheet!L23,1)="-",-1,0))+IF(RIGHT(Worksheet!M23,1)="+",1,IF(RIGHT(Worksheet!M23,1)="-",-1,0))&gt;0,1,0)))))</f>
        <v>2</v>
      </c>
      <c r="P23" s="159">
        <f ca="1">IF(NOT(Format2Print),2,OFFSET(Validation!$C$53,VLOOKUP(N23,Validation!$A$54:$B$69,2),HLOOKUP(K23,Validation!$D$51:$AD$52,2)))</f>
        <v>2</v>
      </c>
      <c r="Q23" s="250">
        <f t="shared" si="8"/>
        <v>0</v>
      </c>
      <c r="R23" s="243"/>
      <c r="S23" s="243"/>
      <c r="T23" s="243"/>
      <c r="U23" s="161" t="b">
        <f>ISERROR(VLOOKUP(LEFT(T23,LEN(T23)-IF(OR(RIGHT(T23)="-",RIGHT(T23)="+"),1,0)),IF(LEFT(Worksheet!S23,1)="N",'macro d''éval'!$N$36:$O$39,'macro d''éval'!$N$42:$O$45),2,FALSE))</f>
        <v>1</v>
      </c>
      <c r="V23" s="251">
        <f t="shared" si="9"/>
        <v>0</v>
      </c>
      <c r="W23" s="252">
        <f t="shared" si="10"/>
        <v>0</v>
      </c>
      <c r="X23" s="253">
        <f>VLOOKUP(W23,Jobgrades!_xlnm.Print_Area,4)</f>
        <v>0</v>
      </c>
      <c r="Y23" s="229">
        <f t="shared" si="11"/>
        <v>0</v>
      </c>
    </row>
    <row r="24" spans="1:27">
      <c r="C24" s="241"/>
      <c r="D24" s="241"/>
      <c r="E24" s="241"/>
      <c r="F24" s="241" t="s">
        <v>525</v>
      </c>
      <c r="G24" s="243"/>
      <c r="H24" s="243"/>
      <c r="I24" s="243"/>
      <c r="J24" s="244">
        <f ca="1">IF(NOT(Format2Print),2,IF(OR(LEN(G24)=0,LEN(H24)=0,LEN(I24)=0),2,OFFSET(Validation!$A$8,VLOOKUP(LEFT(Worksheet!G24,1),Validation!$A$9:$U$16,21),HLOOKUP(SUBSTITUTE(SUBSTITUTE(SUBSTITUTE(UPPER(Worksheet!H24),"+",""),"-",""),"N","T"),Validation!$B$7:$S$18,12,FALSE)*3+VALUE(LEFT(Worksheet!I24,1)))))</f>
        <v>2</v>
      </c>
      <c r="K24" s="245">
        <f t="shared" si="6"/>
        <v>0</v>
      </c>
      <c r="L24" s="246"/>
      <c r="M24" s="246"/>
      <c r="N24" s="247">
        <f t="shared" si="7"/>
        <v>0</v>
      </c>
      <c r="O24" s="158">
        <f ca="1">IF(NOT(Format2Print),2,MIN(3,IF(OR(LEN(L24)=0,LEN(M24)=0),2,OFFSET(Validation!$A$21,VLOOKUP(LEFT(UPPER(Worksheet!L24),1),Validation!$A$22:$L$30,12,FALSE),(VALUE(LEFT(Worksheet!M24,1))-1)*2+1+IF(IF(RIGHT(Worksheet!L24,1)="+",1,IF(RIGHT(Worksheet!L24,1)="-",-1,0))+IF(RIGHT(Worksheet!M24,1)="+",1,IF(RIGHT(Worksheet!M24,1)="-",-1,0))&gt;0,1,0)))))</f>
        <v>2</v>
      </c>
      <c r="P24" s="159">
        <f ca="1">IF(NOT(Format2Print),2,OFFSET(Validation!$C$53,VLOOKUP(N24,Validation!$A$54:$B$69,2),HLOOKUP(K24,Validation!$D$51:$AD$52,2)))</f>
        <v>2</v>
      </c>
      <c r="Q24" s="250">
        <f t="shared" si="8"/>
        <v>0</v>
      </c>
      <c r="R24" s="243"/>
      <c r="S24" s="243"/>
      <c r="T24" s="243"/>
      <c r="U24" s="161" t="b">
        <f>ISERROR(VLOOKUP(LEFT(T24,LEN(T24)-IF(OR(RIGHT(T24)="-",RIGHT(T24)="+"),1,0)),IF(LEFT(Worksheet!S24,1)="N",'macro d''éval'!$N$36:$O$39,'macro d''éval'!$N$42:$O$45),2,FALSE))</f>
        <v>1</v>
      </c>
      <c r="V24" s="251">
        <f t="shared" si="9"/>
        <v>0</v>
      </c>
      <c r="W24" s="252">
        <f t="shared" si="10"/>
        <v>0</v>
      </c>
      <c r="X24" s="253">
        <f>VLOOKUP(W24,Jobgrades!_xlnm.Print_Area,4)</f>
        <v>0</v>
      </c>
      <c r="Y24" s="229">
        <f t="shared" si="11"/>
        <v>0</v>
      </c>
    </row>
    <row r="25" spans="1:27">
      <c r="G25" s="234"/>
      <c r="H25" s="234"/>
      <c r="I25" s="234"/>
      <c r="J25" s="154">
        <f ca="1">IF(NOT(Format2Print),2,IF(OR(LEN(G25)=0,LEN(H25)=0,LEN(I25)=0),2,OFFSET(Validation!$A$8,VLOOKUP(LEFT(Worksheet!G25,1),Validation!$A$9:$U$16,21),HLOOKUP(SUBSTITUTE(SUBSTITUTE(SUBSTITUTE(UPPER(Worksheet!H25),"+",""),"-",""),"N","T"),Validation!$B$7:$S$18,12,FALSE)*3+VALUE(LEFT(Worksheet!I25,1)))))</f>
        <v>2</v>
      </c>
      <c r="L25" s="233"/>
      <c r="O25" s="158">
        <f ca="1">IF(NOT(Format2Print),2,MIN(3,IF(OR(LEN(L25)=0,LEN(M25)=0),2,OFFSET(Validation!$A$21,VLOOKUP(LEFT(UPPER(Worksheet!L25),1),Validation!$A$22:$L$30,12,FALSE),(VALUE(LEFT(Worksheet!M25,1))-1)*2+1+IF(IF(RIGHT(Worksheet!L25,1)="+",1,IF(RIGHT(Worksheet!L25,1)="-",-1,0))+IF(RIGHT(Worksheet!M25,1)="+",1,IF(RIGHT(Worksheet!M25,1)="-",-1,0))&gt;0,1,0)))))</f>
        <v>2</v>
      </c>
      <c r="P25" s="159">
        <f ca="1">IF(NOT(Format2Print),2,OFFSET(Validation!$C$53,VLOOKUP(N25,Validation!$A$54:$B$69,2),HLOOKUP(K25,Validation!$D$51:$AD$52,2)))</f>
        <v>2</v>
      </c>
      <c r="U25" s="161" t="b">
        <f>ISERROR(VLOOKUP(LEFT(T25,LEN(T25)-IF(OR(RIGHT(T25)="-",RIGHT(T25)="+"),1,0)),IF(LEFT(Worksheet!S25,1)="N",'macro d''éval'!$N$36:$O$39,'macro d''éval'!$N$42:$O$45),2,FALSE))</f>
        <v>1</v>
      </c>
      <c r="Y25" s="165"/>
    </row>
    <row r="26" spans="1:27">
      <c r="G26" s="234"/>
      <c r="H26" s="234"/>
      <c r="I26" s="234"/>
      <c r="J26" s="154">
        <f ca="1">IF(NOT(Format2Print),2,IF(OR(LEN(G26)=0,LEN(H26)=0,LEN(I26)=0),2,OFFSET(Validation!$A$8,VLOOKUP(LEFT(Worksheet!G26,1),Validation!$A$9:$U$16,21),HLOOKUP(SUBSTITUTE(SUBSTITUTE(SUBSTITUTE(UPPER(Worksheet!H26),"+",""),"-",""),"N","T"),Validation!$B$7:$S$18,12,FALSE)*3+VALUE(LEFT(Worksheet!I26,1)))))</f>
        <v>2</v>
      </c>
      <c r="L26" s="233"/>
      <c r="O26" s="158">
        <f ca="1">IF(NOT(Format2Print),2,MIN(3,IF(OR(LEN(L26)=0,LEN(M26)=0),2,OFFSET(Validation!$A$21,VLOOKUP(LEFT(UPPER(Worksheet!L26),1),Validation!$A$22:$L$30,12,FALSE),(VALUE(LEFT(Worksheet!M26,1))-1)*2+1+IF(IF(RIGHT(Worksheet!L26,1)="+",1,IF(RIGHT(Worksheet!L26,1)="-",-1,0))+IF(RIGHT(Worksheet!M26,1)="+",1,IF(RIGHT(Worksheet!M26,1)="-",-1,0))&gt;0,1,0)))))</f>
        <v>2</v>
      </c>
      <c r="P26" s="159">
        <f ca="1">IF(NOT(Format2Print),2,OFFSET(Validation!$C$53,VLOOKUP(N26,Validation!$A$54:$B$69,2),HLOOKUP(K26,Validation!$D$51:$AD$52,2)))</f>
        <v>2</v>
      </c>
      <c r="U26" s="161" t="b">
        <f>ISERROR(VLOOKUP(LEFT(T26,LEN(T26)-IF(OR(RIGHT(T26)="-",RIGHT(T26)="+"),1,0)),IF(LEFT(Worksheet!S26,1)="N",'macro d''éval'!$N$36:$O$39,'macro d''éval'!$N$42:$O$45),2,FALSE))</f>
        <v>1</v>
      </c>
      <c r="Y26" s="165"/>
    </row>
    <row r="27" spans="1:27">
      <c r="G27" s="234"/>
      <c r="H27" s="234"/>
      <c r="I27" s="234"/>
      <c r="J27" s="154">
        <f ca="1">IF(NOT(Format2Print),2,IF(OR(LEN(G27)=0,LEN(H27)=0,LEN(I27)=0),2,OFFSET(Validation!$A$8,VLOOKUP(LEFT(Worksheet!G27,1),Validation!$A$9:$U$16,21),HLOOKUP(SUBSTITUTE(SUBSTITUTE(SUBSTITUTE(UPPER(Worksheet!H27),"+",""),"-",""),"N","T"),Validation!$B$7:$S$18,12,FALSE)*3+VALUE(LEFT(Worksheet!I27,1)))))</f>
        <v>2</v>
      </c>
      <c r="L27" s="233"/>
      <c r="O27" s="158">
        <f ca="1">IF(NOT(Format2Print),2,MIN(3,IF(OR(LEN(L27)=0,LEN(M27)=0),2,OFFSET(Validation!$A$21,VLOOKUP(LEFT(UPPER(Worksheet!L27),1),Validation!$A$22:$L$30,12,FALSE),(VALUE(LEFT(Worksheet!M27,1))-1)*2+1+IF(IF(RIGHT(Worksheet!L27,1)="+",1,IF(RIGHT(Worksheet!L27,1)="-",-1,0))+IF(RIGHT(Worksheet!M27,1)="+",1,IF(RIGHT(Worksheet!M27,1)="-",-1,0))&gt;0,1,0)))))</f>
        <v>2</v>
      </c>
      <c r="P27" s="159">
        <f ca="1">IF(NOT(Format2Print),2,OFFSET(Validation!$C$53,VLOOKUP(N27,Validation!$A$54:$B$69,2),HLOOKUP(K27,Validation!$D$51:$AD$52,2)))</f>
        <v>2</v>
      </c>
      <c r="U27" s="161" t="b">
        <f>ISERROR(VLOOKUP(LEFT(T27,LEN(T27)-IF(OR(RIGHT(T27)="-",RIGHT(T27)="+"),1,0)),IF(LEFT(Worksheet!S27,1)="N",'macro d''éval'!$N$36:$O$39,'macro d''éval'!$N$42:$O$45),2,FALSE))</f>
        <v>1</v>
      </c>
      <c r="Y27" s="165"/>
    </row>
    <row r="28" spans="1:27">
      <c r="G28" s="234"/>
      <c r="H28" s="234"/>
      <c r="I28" s="234"/>
      <c r="J28" s="154">
        <f ca="1">IF(NOT(Format2Print),2,IF(OR(LEN(G28)=0,LEN(H28)=0,LEN(I28)=0),2,OFFSET(Validation!$A$8,VLOOKUP(LEFT(Worksheet!G28,1),Validation!$A$9:$U$16,21),HLOOKUP(SUBSTITUTE(SUBSTITUTE(SUBSTITUTE(UPPER(Worksheet!H28),"+",""),"-",""),"N","T"),Validation!$B$7:$S$18,12,FALSE)*3+VALUE(LEFT(Worksheet!I28,1)))))</f>
        <v>2</v>
      </c>
      <c r="L28" s="233"/>
      <c r="O28" s="158">
        <f ca="1">IF(NOT(Format2Print),2,MIN(3,IF(OR(LEN(L28)=0,LEN(M28)=0),2,OFFSET(Validation!$A$21,VLOOKUP(LEFT(UPPER(Worksheet!L28),1),Validation!$A$22:$L$30,12,FALSE),(VALUE(LEFT(Worksheet!M28,1))-1)*2+1+IF(IF(RIGHT(Worksheet!L28,1)="+",1,IF(RIGHT(Worksheet!L28,1)="-",-1,0))+IF(RIGHT(Worksheet!M28,1)="+",1,IF(RIGHT(Worksheet!M28,1)="-",-1,0))&gt;0,1,0)))))</f>
        <v>2</v>
      </c>
      <c r="P28" s="159">
        <f ca="1">IF(NOT(Format2Print),2,OFFSET(Validation!$C$53,VLOOKUP(N28,Validation!$A$54:$B$69,2),HLOOKUP(K28,Validation!$D$51:$AD$52,2)))</f>
        <v>2</v>
      </c>
      <c r="U28" s="161" t="b">
        <f>ISERROR(VLOOKUP(LEFT(T28,LEN(T28)-IF(OR(RIGHT(T28)="-",RIGHT(T28)="+"),1,0)),IF(LEFT(Worksheet!S28,1)="N",'macro d''éval'!$N$36:$O$39,'macro d''éval'!$N$42:$O$45),2,FALSE))</f>
        <v>1</v>
      </c>
      <c r="Y28" s="165"/>
    </row>
    <row r="29" spans="1:27">
      <c r="G29" s="234"/>
      <c r="H29" s="234"/>
      <c r="I29" s="234"/>
      <c r="J29" s="154">
        <f ca="1">IF(NOT(Format2Print),2,IF(OR(LEN(G29)=0,LEN(H29)=0,LEN(I29)=0),2,OFFSET(Validation!$A$8,VLOOKUP(LEFT(Worksheet!G29,1),Validation!$A$9:$U$16,21),HLOOKUP(SUBSTITUTE(SUBSTITUTE(SUBSTITUTE(UPPER(Worksheet!H29),"+",""),"-",""),"N","T"),Validation!$B$7:$S$18,12,FALSE)*3+VALUE(LEFT(Worksheet!I29,1)))))</f>
        <v>2</v>
      </c>
      <c r="L29" s="233"/>
      <c r="O29" s="158">
        <f ca="1">IF(NOT(Format2Print),2,MIN(3,IF(OR(LEN(L29)=0,LEN(M29)=0),2,OFFSET(Validation!$A$21,VLOOKUP(LEFT(UPPER(Worksheet!L29),1),Validation!$A$22:$L$30,12,FALSE),(VALUE(LEFT(Worksheet!M29,1))-1)*2+1+IF(IF(RIGHT(Worksheet!L29,1)="+",1,IF(RIGHT(Worksheet!L29,1)="-",-1,0))+IF(RIGHT(Worksheet!M29,1)="+",1,IF(RIGHT(Worksheet!M29,1)="-",-1,0))&gt;0,1,0)))))</f>
        <v>2</v>
      </c>
      <c r="P29" s="159">
        <f ca="1">IF(NOT(Format2Print),2,OFFSET(Validation!$C$53,VLOOKUP(N29,Validation!$A$54:$B$69,2),HLOOKUP(K29,Validation!$D$51:$AD$52,2)))</f>
        <v>2</v>
      </c>
      <c r="U29" s="161" t="b">
        <f>ISERROR(VLOOKUP(LEFT(T29,LEN(T29)-IF(OR(RIGHT(T29)="-",RIGHT(T29)="+"),1,0)),IF(LEFT(Worksheet!S29,1)="N",'macro d''éval'!$N$36:$O$39,'macro d''éval'!$N$42:$O$45),2,FALSE))</f>
        <v>1</v>
      </c>
      <c r="Y29" s="165"/>
    </row>
    <row r="30" spans="1:27">
      <c r="G30" s="234"/>
      <c r="H30" s="234"/>
      <c r="I30" s="234"/>
      <c r="J30" s="154">
        <f ca="1">IF(NOT(Format2Print),2,IF(OR(LEN(G30)=0,LEN(H30)=0,LEN(I30)=0),2,OFFSET(Validation!$A$8,VLOOKUP(LEFT(Worksheet!G30,1),Validation!$A$9:$U$16,21),HLOOKUP(SUBSTITUTE(SUBSTITUTE(SUBSTITUTE(UPPER(Worksheet!H30),"+",""),"-",""),"N","T"),Validation!$B$7:$S$18,12,FALSE)*3+VALUE(LEFT(Worksheet!I30,1)))))</f>
        <v>2</v>
      </c>
      <c r="L30" s="233"/>
      <c r="O30" s="158">
        <f ca="1">IF(NOT(Format2Print),2,MIN(3,IF(OR(LEN(L30)=0,LEN(M30)=0),2,OFFSET(Validation!$A$21,VLOOKUP(LEFT(UPPER(Worksheet!L30),1),Validation!$A$22:$L$30,12,FALSE),(VALUE(LEFT(Worksheet!M30,1))-1)*2+1+IF(IF(RIGHT(Worksheet!L30,1)="+",1,IF(RIGHT(Worksheet!L30,1)="-",-1,0))+IF(RIGHT(Worksheet!M30,1)="+",1,IF(RIGHT(Worksheet!M30,1)="-",-1,0))&gt;0,1,0)))))</f>
        <v>2</v>
      </c>
      <c r="P30" s="159">
        <f ca="1">IF(NOT(Format2Print),2,OFFSET(Validation!$C$53,VLOOKUP(N30,Validation!$A$54:$B$69,2),HLOOKUP(K30,Validation!$D$51:$AD$52,2)))</f>
        <v>2</v>
      </c>
      <c r="U30" s="161" t="b">
        <f>ISERROR(VLOOKUP(LEFT(T30,LEN(T30)-IF(OR(RIGHT(T30)="-",RIGHT(T30)="+"),1,0)),IF(LEFT(Worksheet!S30,1)="N",'macro d''éval'!$N$36:$O$39,'macro d''éval'!$N$42:$O$45),2,FALSE))</f>
        <v>1</v>
      </c>
      <c r="Y30" s="165"/>
    </row>
    <row r="31" spans="1:27">
      <c r="G31" s="234"/>
      <c r="H31" s="234"/>
      <c r="I31" s="234"/>
      <c r="J31" s="154">
        <f ca="1">IF(NOT(Format2Print),2,IF(OR(LEN(G31)=0,LEN(H31)=0,LEN(I31)=0),2,OFFSET(Validation!$A$8,VLOOKUP(LEFT(Worksheet!G31,1),Validation!$A$9:$U$16,21),HLOOKUP(SUBSTITUTE(SUBSTITUTE(SUBSTITUTE(UPPER(Worksheet!H31),"+",""),"-",""),"N","T"),Validation!$B$7:$S$18,12,FALSE)*3+VALUE(LEFT(Worksheet!I31,1)))))</f>
        <v>2</v>
      </c>
      <c r="L31" s="233"/>
      <c r="O31" s="158">
        <f ca="1">IF(NOT(Format2Print),2,MIN(3,IF(OR(LEN(L31)=0,LEN(M31)=0),2,OFFSET(Validation!$A$21,VLOOKUP(LEFT(UPPER(Worksheet!L31),1),Validation!$A$22:$L$30,12,FALSE),(VALUE(LEFT(Worksheet!M31,1))-1)*2+1+IF(IF(RIGHT(Worksheet!L31,1)="+",1,IF(RIGHT(Worksheet!L31,1)="-",-1,0))+IF(RIGHT(Worksheet!M31,1)="+",1,IF(RIGHT(Worksheet!M31,1)="-",-1,0))&gt;0,1,0)))))</f>
        <v>2</v>
      </c>
      <c r="P31" s="159">
        <f ca="1">IF(NOT(Format2Print),2,OFFSET(Validation!$C$53,VLOOKUP(N31,Validation!$A$54:$B$69,2),HLOOKUP(K31,Validation!$D$51:$AD$52,2)))</f>
        <v>2</v>
      </c>
      <c r="U31" s="161" t="b">
        <f>ISERROR(VLOOKUP(LEFT(T31,LEN(T31)-IF(OR(RIGHT(T31)="-",RIGHT(T31)="+"),1,0)),IF(LEFT(Worksheet!S31,1)="N",'macro d''éval'!$N$36:$O$39,'macro d''éval'!$N$42:$O$45),2,FALSE))</f>
        <v>1</v>
      </c>
      <c r="Y31" s="165"/>
    </row>
    <row r="32" spans="1:27">
      <c r="G32" s="234"/>
      <c r="H32" s="234"/>
      <c r="I32" s="234"/>
      <c r="J32" s="154">
        <f ca="1">IF(NOT(Format2Print),2,IF(OR(LEN(G32)=0,LEN(H32)=0,LEN(I32)=0),2,OFFSET(Validation!$A$8,VLOOKUP(LEFT(Worksheet!G32,1),Validation!$A$9:$U$16,21),HLOOKUP(SUBSTITUTE(SUBSTITUTE(SUBSTITUTE(UPPER(Worksheet!H32),"+",""),"-",""),"N","T"),Validation!$B$7:$S$18,12,FALSE)*3+VALUE(LEFT(Worksheet!I32,1)))))</f>
        <v>2</v>
      </c>
      <c r="L32" s="233"/>
      <c r="O32" s="158">
        <f ca="1">IF(NOT(Format2Print),2,MIN(3,IF(OR(LEN(L32)=0,LEN(M32)=0),2,OFFSET(Validation!$A$21,VLOOKUP(LEFT(UPPER(Worksheet!L32),1),Validation!$A$22:$L$30,12,FALSE),(VALUE(LEFT(Worksheet!M32,1))-1)*2+1+IF(IF(RIGHT(Worksheet!L32,1)="+",1,IF(RIGHT(Worksheet!L32,1)="-",-1,0))+IF(RIGHT(Worksheet!M32,1)="+",1,IF(RIGHT(Worksheet!M32,1)="-",-1,0))&gt;0,1,0)))))</f>
        <v>2</v>
      </c>
      <c r="P32" s="159">
        <f ca="1">IF(NOT(Format2Print),2,OFFSET(Validation!$C$53,VLOOKUP(N32,Validation!$A$54:$B$69,2),HLOOKUP(K32,Validation!$D$51:$AD$52,2)))</f>
        <v>2</v>
      </c>
      <c r="U32" s="161" t="b">
        <f>ISERROR(VLOOKUP(LEFT(T32,LEN(T32)-IF(OR(RIGHT(T32)="-",RIGHT(T32)="+"),1,0)),IF(LEFT(Worksheet!S32,1)="N",'macro d''éval'!$N$36:$O$39,'macro d''éval'!$N$42:$O$45),2,FALSE))</f>
        <v>1</v>
      </c>
      <c r="Y32" s="165"/>
    </row>
    <row r="33" spans="7:25">
      <c r="G33" s="234"/>
      <c r="H33" s="234"/>
      <c r="I33" s="234"/>
      <c r="J33" s="154">
        <f ca="1">IF(NOT(Format2Print),2,IF(OR(LEN(G33)=0,LEN(H33)=0,LEN(I33)=0),2,OFFSET(Validation!$A$8,VLOOKUP(LEFT(Worksheet!G33,1),Validation!$A$9:$U$16,21),HLOOKUP(SUBSTITUTE(SUBSTITUTE(SUBSTITUTE(UPPER(Worksheet!H33),"+",""),"-",""),"N","T"),Validation!$B$7:$S$18,12,FALSE)*3+VALUE(LEFT(Worksheet!I33,1)))))</f>
        <v>2</v>
      </c>
      <c r="L33" s="233"/>
      <c r="O33" s="158">
        <f ca="1">IF(NOT(Format2Print),2,MIN(3,IF(OR(LEN(L33)=0,LEN(M33)=0),2,OFFSET(Validation!$A$21,VLOOKUP(LEFT(UPPER(Worksheet!L33),1),Validation!$A$22:$L$30,12,FALSE),(VALUE(LEFT(Worksheet!M33,1))-1)*2+1+IF(IF(RIGHT(Worksheet!L33,1)="+",1,IF(RIGHT(Worksheet!L33,1)="-",-1,0))+IF(RIGHT(Worksheet!M33,1)="+",1,IF(RIGHT(Worksheet!M33,1)="-",-1,0))&gt;0,1,0)))))</f>
        <v>2</v>
      </c>
      <c r="P33" s="159">
        <f ca="1">IF(NOT(Format2Print),2,OFFSET(Validation!$C$53,VLOOKUP(N33,Validation!$A$54:$B$69,2),HLOOKUP(K33,Validation!$D$51:$AD$52,2)))</f>
        <v>2</v>
      </c>
      <c r="U33" s="161" t="b">
        <f>ISERROR(VLOOKUP(LEFT(T33,LEN(T33)-IF(OR(RIGHT(T33)="-",RIGHT(T33)="+"),1,0)),IF(LEFT(Worksheet!S33,1)="N",'macro d''éval'!$N$36:$O$39,'macro d''éval'!$N$42:$O$45),2,FALSE))</f>
        <v>1</v>
      </c>
      <c r="Y33" s="165"/>
    </row>
    <row r="34" spans="7:25">
      <c r="G34" s="234"/>
      <c r="H34" s="234"/>
      <c r="I34" s="234"/>
      <c r="J34" s="154">
        <f ca="1">IF(NOT(Format2Print),2,IF(OR(LEN(G34)=0,LEN(H34)=0,LEN(I34)=0),2,OFFSET(Validation!$A$8,VLOOKUP(LEFT(Worksheet!G34,1),Validation!$A$9:$U$16,21),HLOOKUP(SUBSTITUTE(SUBSTITUTE(SUBSTITUTE(UPPER(Worksheet!H34),"+",""),"-",""),"N","T"),Validation!$B$7:$S$18,12,FALSE)*3+VALUE(LEFT(Worksheet!I34,1)))))</f>
        <v>2</v>
      </c>
      <c r="L34" s="233"/>
      <c r="O34" s="158">
        <f ca="1">IF(NOT(Format2Print),2,MIN(3,IF(OR(LEN(L34)=0,LEN(M34)=0),2,OFFSET(Validation!$A$21,VLOOKUP(LEFT(UPPER(Worksheet!L34),1),Validation!$A$22:$L$30,12,FALSE),(VALUE(LEFT(Worksheet!M34,1))-1)*2+1+IF(IF(RIGHT(Worksheet!L34,1)="+",1,IF(RIGHT(Worksheet!L34,1)="-",-1,0))+IF(RIGHT(Worksheet!M34,1)="+",1,IF(RIGHT(Worksheet!M34,1)="-",-1,0))&gt;0,1,0)))))</f>
        <v>2</v>
      </c>
      <c r="P34" s="159">
        <f ca="1">IF(NOT(Format2Print),2,OFFSET(Validation!$C$53,VLOOKUP(N34,Validation!$A$54:$B$69,2),HLOOKUP(K34,Validation!$D$51:$AD$52,2)))</f>
        <v>2</v>
      </c>
      <c r="U34" s="161" t="b">
        <f>ISERROR(VLOOKUP(LEFT(T34,LEN(T34)-IF(OR(RIGHT(T34)="-",RIGHT(T34)="+"),1,0)),IF(LEFT(Worksheet!S34,1)="N",'macro d''éval'!$N$36:$O$39,'macro d''éval'!$N$42:$O$45),2,FALSE))</f>
        <v>1</v>
      </c>
      <c r="Y34" s="165"/>
    </row>
    <row r="35" spans="7:25">
      <c r="G35" s="234"/>
      <c r="H35" s="234"/>
      <c r="I35" s="234"/>
      <c r="J35" s="154">
        <f ca="1">IF(NOT(Format2Print),2,IF(OR(LEN(G35)=0,LEN(H35)=0,LEN(I35)=0),2,OFFSET(Validation!$A$8,VLOOKUP(LEFT(Worksheet!G35,1),Validation!$A$9:$U$16,21),HLOOKUP(SUBSTITUTE(SUBSTITUTE(SUBSTITUTE(UPPER(Worksheet!H35),"+",""),"-",""),"N","T"),Validation!$B$7:$S$18,12,FALSE)*3+VALUE(LEFT(Worksheet!I35,1)))))</f>
        <v>2</v>
      </c>
      <c r="L35" s="233"/>
      <c r="O35" s="158">
        <f ca="1">IF(NOT(Format2Print),2,MIN(3,IF(OR(LEN(L35)=0,LEN(M35)=0),2,OFFSET(Validation!$A$21,VLOOKUP(LEFT(UPPER(Worksheet!L35),1),Validation!$A$22:$L$30,12,FALSE),(VALUE(LEFT(Worksheet!M35,1))-1)*2+1+IF(IF(RIGHT(Worksheet!L35,1)="+",1,IF(RIGHT(Worksheet!L35,1)="-",-1,0))+IF(RIGHT(Worksheet!M35,1)="+",1,IF(RIGHT(Worksheet!M35,1)="-",-1,0))&gt;0,1,0)))))</f>
        <v>2</v>
      </c>
      <c r="P35" s="159">
        <f ca="1">IF(NOT(Format2Print),2,OFFSET(Validation!$C$53,VLOOKUP(N35,Validation!$A$54:$B$69,2),HLOOKUP(K35,Validation!$D$51:$AD$52,2)))</f>
        <v>2</v>
      </c>
      <c r="U35" s="161" t="b">
        <f>ISERROR(VLOOKUP(LEFT(T35,LEN(T35)-IF(OR(RIGHT(T35)="-",RIGHT(T35)="+"),1,0)),IF(LEFT(Worksheet!S35,1)="N",'macro d''éval'!$N$36:$O$39,'macro d''éval'!$N$42:$O$45),2,FALSE))</f>
        <v>1</v>
      </c>
      <c r="Y35" s="165"/>
    </row>
    <row r="36" spans="7:25">
      <c r="G36" s="234"/>
      <c r="H36" s="234"/>
      <c r="I36" s="234"/>
      <c r="J36" s="154">
        <f ca="1">IF(NOT(Format2Print),2,IF(OR(LEN(G36)=0,LEN(H36)=0,LEN(I36)=0),2,OFFSET(Validation!$A$8,VLOOKUP(LEFT(Worksheet!G36,1),Validation!$A$9:$U$16,21),HLOOKUP(SUBSTITUTE(SUBSTITUTE(SUBSTITUTE(UPPER(Worksheet!H36),"+",""),"-",""),"N","T"),Validation!$B$7:$S$18,12,FALSE)*3+VALUE(LEFT(Worksheet!I36,1)))))</f>
        <v>2</v>
      </c>
      <c r="L36" s="233"/>
      <c r="O36" s="158">
        <f ca="1">IF(NOT(Format2Print),2,MIN(3,IF(OR(LEN(L36)=0,LEN(M36)=0),2,OFFSET(Validation!$A$21,VLOOKUP(LEFT(UPPER(Worksheet!L36),1),Validation!$A$22:$L$30,12,FALSE),(VALUE(LEFT(Worksheet!M36,1))-1)*2+1+IF(IF(RIGHT(Worksheet!L36,1)="+",1,IF(RIGHT(Worksheet!L36,1)="-",-1,0))+IF(RIGHT(Worksheet!M36,1)="+",1,IF(RIGHT(Worksheet!M36,1)="-",-1,0))&gt;0,1,0)))))</f>
        <v>2</v>
      </c>
      <c r="P36" s="159">
        <f ca="1">IF(NOT(Format2Print),2,OFFSET(Validation!$C$53,VLOOKUP(N36,Validation!$A$54:$B$69,2),HLOOKUP(K36,Validation!$D$51:$AD$52,2)))</f>
        <v>2</v>
      </c>
      <c r="U36" s="161" t="b">
        <f>ISERROR(VLOOKUP(LEFT(T36,LEN(T36)-IF(OR(RIGHT(T36)="-",RIGHT(T36)="+"),1,0)),IF(LEFT(Worksheet!S36,1)="N",'macro d''éval'!$N$36:$O$39,'macro d''éval'!$N$42:$O$45),2,FALSE))</f>
        <v>1</v>
      </c>
      <c r="Y36" s="165"/>
    </row>
    <row r="37" spans="7:25">
      <c r="G37" s="234"/>
      <c r="H37" s="234"/>
      <c r="I37" s="234"/>
      <c r="J37" s="154">
        <f ca="1">IF(NOT(Format2Print),2,IF(OR(LEN(G37)=0,LEN(H37)=0,LEN(I37)=0),2,OFFSET(Validation!$A$8,VLOOKUP(LEFT(Worksheet!G37,1),Validation!$A$9:$U$16,21),HLOOKUP(SUBSTITUTE(SUBSTITUTE(SUBSTITUTE(UPPER(Worksheet!H37),"+",""),"-",""),"N","T"),Validation!$B$7:$S$18,12,FALSE)*3+VALUE(LEFT(Worksheet!I37,1)))))</f>
        <v>2</v>
      </c>
      <c r="L37" s="233"/>
      <c r="O37" s="158">
        <f ca="1">IF(NOT(Format2Print),2,MIN(3,IF(OR(LEN(L37)=0,LEN(M37)=0),2,OFFSET(Validation!$A$21,VLOOKUP(LEFT(UPPER(Worksheet!L37),1),Validation!$A$22:$L$30,12,FALSE),(VALUE(LEFT(Worksheet!M37,1))-1)*2+1+IF(IF(RIGHT(Worksheet!L37,1)="+",1,IF(RIGHT(Worksheet!L37,1)="-",-1,0))+IF(RIGHT(Worksheet!M37,1)="+",1,IF(RIGHT(Worksheet!M37,1)="-",-1,0))&gt;0,1,0)))))</f>
        <v>2</v>
      </c>
      <c r="P37" s="159">
        <f ca="1">IF(NOT(Format2Print),2,OFFSET(Validation!$C$53,VLOOKUP(N37,Validation!$A$54:$B$69,2),HLOOKUP(K37,Validation!$D$51:$AD$52,2)))</f>
        <v>2</v>
      </c>
      <c r="U37" s="161" t="b">
        <f>ISERROR(VLOOKUP(LEFT(T37,LEN(T37)-IF(OR(RIGHT(T37)="-",RIGHT(T37)="+"),1,0)),IF(LEFT(Worksheet!S37,1)="N",'macro d''éval'!$N$36:$O$39,'macro d''éval'!$N$42:$O$45),2,FALSE))</f>
        <v>1</v>
      </c>
      <c r="Y37" s="165"/>
    </row>
    <row r="38" spans="7:25">
      <c r="G38" s="234"/>
      <c r="H38" s="234"/>
      <c r="I38" s="234"/>
      <c r="J38" s="154">
        <f ca="1">IF(NOT(Format2Print),2,IF(OR(LEN(G38)=0,LEN(H38)=0,LEN(I38)=0),2,OFFSET(Validation!$A$8,VLOOKUP(LEFT(Worksheet!G38,1),Validation!$A$9:$U$16,21),HLOOKUP(SUBSTITUTE(SUBSTITUTE(SUBSTITUTE(UPPER(Worksheet!H38),"+",""),"-",""),"N","T"),Validation!$B$7:$S$18,12,FALSE)*3+VALUE(LEFT(Worksheet!I38,1)))))</f>
        <v>2</v>
      </c>
      <c r="L38" s="233"/>
      <c r="O38" s="158">
        <f ca="1">IF(NOT(Format2Print),2,MIN(3,IF(OR(LEN(L38)=0,LEN(M38)=0),2,OFFSET(Validation!$A$21,VLOOKUP(LEFT(UPPER(Worksheet!L38),1),Validation!$A$22:$L$30,12,FALSE),(VALUE(LEFT(Worksheet!M38,1))-1)*2+1+IF(IF(RIGHT(Worksheet!L38,1)="+",1,IF(RIGHT(Worksheet!L38,1)="-",-1,0))+IF(RIGHT(Worksheet!M38,1)="+",1,IF(RIGHT(Worksheet!M38,1)="-",-1,0))&gt;0,1,0)))))</f>
        <v>2</v>
      </c>
      <c r="P38" s="159">
        <f ca="1">IF(NOT(Format2Print),2,OFFSET(Validation!$C$53,VLOOKUP(N38,Validation!$A$54:$B$69,2),HLOOKUP(K38,Validation!$D$51:$AD$52,2)))</f>
        <v>2</v>
      </c>
      <c r="U38" s="161" t="b">
        <f>ISERROR(VLOOKUP(LEFT(T38,LEN(T38)-IF(OR(RIGHT(T38)="-",RIGHT(T38)="+"),1,0)),IF(LEFT(Worksheet!S38,1)="N",'macro d''éval'!$N$36:$O$39,'macro d''éval'!$N$42:$O$45),2,FALSE))</f>
        <v>1</v>
      </c>
      <c r="Y38" s="165"/>
    </row>
    <row r="39" spans="7:25">
      <c r="G39" s="234"/>
      <c r="H39" s="234"/>
      <c r="I39" s="234"/>
      <c r="J39" s="154">
        <f ca="1">IF(NOT(Format2Print),2,IF(OR(LEN(G39)=0,LEN(H39)=0,LEN(I39)=0),2,OFFSET(Validation!$A$8,VLOOKUP(LEFT(Worksheet!G39,1),Validation!$A$9:$U$16,21),HLOOKUP(SUBSTITUTE(SUBSTITUTE(SUBSTITUTE(UPPER(Worksheet!H39),"+",""),"-",""),"N","T"),Validation!$B$7:$S$18,12,FALSE)*3+VALUE(LEFT(Worksheet!I39,1)))))</f>
        <v>2</v>
      </c>
      <c r="L39" s="233"/>
      <c r="O39" s="158">
        <f ca="1">IF(NOT(Format2Print),2,MIN(3,IF(OR(LEN(L39)=0,LEN(M39)=0),2,OFFSET(Validation!$A$21,VLOOKUP(LEFT(UPPER(Worksheet!L39),1),Validation!$A$22:$L$30,12,FALSE),(VALUE(LEFT(Worksheet!M39,1))-1)*2+1+IF(IF(RIGHT(Worksheet!L39,1)="+",1,IF(RIGHT(Worksheet!L39,1)="-",-1,0))+IF(RIGHT(Worksheet!M39,1)="+",1,IF(RIGHT(Worksheet!M39,1)="-",-1,0))&gt;0,1,0)))))</f>
        <v>2</v>
      </c>
      <c r="P39" s="159">
        <f ca="1">IF(NOT(Format2Print),2,OFFSET(Validation!$C$53,VLOOKUP(N39,Validation!$A$54:$B$69,2),HLOOKUP(K39,Validation!$D$51:$AD$52,2)))</f>
        <v>2</v>
      </c>
      <c r="U39" s="161" t="b">
        <f>ISERROR(VLOOKUP(LEFT(T39,LEN(T39)-IF(OR(RIGHT(T39)="-",RIGHT(T39)="+"),1,0)),IF(LEFT(Worksheet!S39,1)="N",'macro d''éval'!$N$36:$O$39,'macro d''éval'!$N$42:$O$45),2,FALSE))</f>
        <v>1</v>
      </c>
      <c r="Y39" s="165"/>
    </row>
    <row r="40" spans="7:25">
      <c r="G40" s="234"/>
      <c r="H40" s="234"/>
      <c r="I40" s="234"/>
      <c r="J40" s="154">
        <f ca="1">IF(NOT(Format2Print),2,IF(OR(LEN(G40)=0,LEN(H40)=0,LEN(I40)=0),2,OFFSET(Validation!$A$8,VLOOKUP(LEFT(Worksheet!G40,1),Validation!$A$9:$U$16,21),HLOOKUP(SUBSTITUTE(SUBSTITUTE(SUBSTITUTE(UPPER(Worksheet!H40),"+",""),"-",""),"N","T"),Validation!$B$7:$S$18,12,FALSE)*3+VALUE(LEFT(Worksheet!I40,1)))))</f>
        <v>2</v>
      </c>
      <c r="O40" s="158">
        <f ca="1">IF(NOT(Format2Print),2,MIN(3,IF(OR(LEN(L40)=0,LEN(M40)=0),2,OFFSET(Validation!$A$21,VLOOKUP(LEFT(UPPER(Worksheet!L40),1),Validation!$A$22:$L$30,12,FALSE),(VALUE(LEFT(Worksheet!M40,1))-1)*2+1+IF(IF(RIGHT(Worksheet!L40,1)="+",1,IF(RIGHT(Worksheet!L40,1)="-",-1,0))+IF(RIGHT(Worksheet!M40,1)="+",1,IF(RIGHT(Worksheet!M40,1)="-",-1,0))&gt;0,1,0)))))</f>
        <v>2</v>
      </c>
      <c r="P40" s="159">
        <f ca="1">IF(NOT(Format2Print),2,OFFSET(Validation!$C$53,VLOOKUP(N40,Validation!$A$54:$B$69,2),HLOOKUP(K40,Validation!$D$51:$AD$52,2)))</f>
        <v>2</v>
      </c>
      <c r="U40" s="161" t="b">
        <f>ISERROR(VLOOKUP(LEFT(T40,LEN(T40)-IF(OR(RIGHT(T40)="-",RIGHT(T40)="+"),1,0)),IF(LEFT(Worksheet!S40,1)="N",'macro d''éval'!$N$36:$O$39,'macro d''éval'!$N$42:$O$45),2,FALSE))</f>
        <v>1</v>
      </c>
      <c r="Y40" s="165"/>
    </row>
    <row r="41" spans="7:25">
      <c r="G41" s="234"/>
      <c r="I41" s="234"/>
      <c r="J41" s="154">
        <f ca="1">IF(NOT(Format2Print),2,IF(OR(LEN(G41)=0,LEN(H41)=0,LEN(I41)=0),2,OFFSET(Validation!$A$8,VLOOKUP(LEFT(Worksheet!G41,1),Validation!$A$9:$U$16,21),HLOOKUP(SUBSTITUTE(SUBSTITUTE(SUBSTITUTE(UPPER(Worksheet!H41),"+",""),"-",""),"N","T"),Validation!$B$7:$S$18,12,FALSE)*3+VALUE(LEFT(Worksheet!I41,1)))))</f>
        <v>2</v>
      </c>
      <c r="O41" s="158">
        <f ca="1">IF(NOT(Format2Print),2,MIN(3,IF(OR(LEN(L41)=0,LEN(M41)=0),2,OFFSET(Validation!$A$21,VLOOKUP(LEFT(UPPER(Worksheet!L41),1),Validation!$A$22:$L$30,12,FALSE),(VALUE(LEFT(Worksheet!M41,1))-1)*2+1+IF(IF(RIGHT(Worksheet!L41,1)="+",1,IF(RIGHT(Worksheet!L41,1)="-",-1,0))+IF(RIGHT(Worksheet!M41,1)="+",1,IF(RIGHT(Worksheet!M41,1)="-",-1,0))&gt;0,1,0)))))</f>
        <v>2</v>
      </c>
      <c r="P41" s="159">
        <f ca="1">IF(NOT(Format2Print),2,OFFSET(Validation!$C$53,VLOOKUP(N41,Validation!$A$54:$B$69,2),HLOOKUP(K41,Validation!$D$51:$AD$52,2)))</f>
        <v>2</v>
      </c>
      <c r="U41" s="161" t="b">
        <f>ISERROR(VLOOKUP(LEFT(T41,LEN(T41)-IF(OR(RIGHT(T41)="-",RIGHT(T41)="+"),1,0)),IF(LEFT(Worksheet!S41,1)="N",'macro d''éval'!$N$36:$O$39,'macro d''éval'!$N$42:$O$45),2,FALSE))</f>
        <v>1</v>
      </c>
      <c r="Y41" s="165"/>
    </row>
    <row r="42" spans="7:25">
      <c r="G42" s="234"/>
      <c r="I42" s="234"/>
      <c r="J42" s="154">
        <f ca="1">IF(NOT(Format2Print),2,IF(OR(LEN(G42)=0,LEN(H42)=0,LEN(I42)=0),2,OFFSET(Validation!$A$8,VLOOKUP(LEFT(Worksheet!G42,1),Validation!$A$9:$U$16,21),HLOOKUP(SUBSTITUTE(SUBSTITUTE(SUBSTITUTE(UPPER(Worksheet!H42),"+",""),"-",""),"N","T"),Validation!$B$7:$S$18,12,FALSE)*3+VALUE(LEFT(Worksheet!I42,1)))))</f>
        <v>2</v>
      </c>
      <c r="O42" s="158">
        <f ca="1">IF(NOT(Format2Print),2,MIN(3,IF(OR(LEN(L42)=0,LEN(M42)=0),2,OFFSET(Validation!$A$21,VLOOKUP(LEFT(UPPER(Worksheet!L42),1),Validation!$A$22:$L$30,12,FALSE),(VALUE(LEFT(Worksheet!M42,1))-1)*2+1+IF(IF(RIGHT(Worksheet!L42,1)="+",1,IF(RIGHT(Worksheet!L42,1)="-",-1,0))+IF(RIGHT(Worksheet!M42,1)="+",1,IF(RIGHT(Worksheet!M42,1)="-",-1,0))&gt;0,1,0)))))</f>
        <v>2</v>
      </c>
      <c r="P42" s="159">
        <f ca="1">IF(NOT(Format2Print),2,OFFSET(Validation!$C$53,VLOOKUP(N42,Validation!$A$54:$B$69,2),HLOOKUP(K42,Validation!$D$51:$AD$52,2)))</f>
        <v>2</v>
      </c>
      <c r="U42" s="161" t="b">
        <f>ISERROR(VLOOKUP(LEFT(T42,LEN(T42)-IF(OR(RIGHT(T42)="-",RIGHT(T42)="+"),1,0)),IF(LEFT(Worksheet!S42,1)="N",'macro d''éval'!$N$36:$O$39,'macro d''éval'!$N$42:$O$45),2,FALSE))</f>
        <v>1</v>
      </c>
      <c r="Y42" s="165"/>
    </row>
    <row r="43" spans="7:25">
      <c r="G43" s="234"/>
      <c r="I43" s="234"/>
      <c r="J43" s="154">
        <f ca="1">IF(NOT(Format2Print),2,IF(OR(LEN(G43)=0,LEN(H43)=0,LEN(I43)=0),2,OFFSET(Validation!$A$8,VLOOKUP(LEFT(Worksheet!G43,1),Validation!$A$9:$U$16,21),HLOOKUP(SUBSTITUTE(SUBSTITUTE(SUBSTITUTE(UPPER(Worksheet!H43),"+",""),"-",""),"N","T"),Validation!$B$7:$S$18,12,FALSE)*3+VALUE(LEFT(Worksheet!I43,1)))))</f>
        <v>2</v>
      </c>
      <c r="O43" s="158">
        <f ca="1">IF(NOT(Format2Print),2,MIN(3,IF(OR(LEN(L43)=0,LEN(M43)=0),2,OFFSET(Validation!$A$21,VLOOKUP(LEFT(UPPER(Worksheet!L43),1),Validation!$A$22:$L$30,12,FALSE),(VALUE(LEFT(Worksheet!M43,1))-1)*2+1+IF(IF(RIGHT(Worksheet!L43,1)="+",1,IF(RIGHT(Worksheet!L43,1)="-",-1,0))+IF(RIGHT(Worksheet!M43,1)="+",1,IF(RIGHT(Worksheet!M43,1)="-",-1,0))&gt;0,1,0)))))</f>
        <v>2</v>
      </c>
      <c r="P43" s="159">
        <f ca="1">IF(NOT(Format2Print),2,OFFSET(Validation!$C$53,VLOOKUP(N43,Validation!$A$54:$B$69,2),HLOOKUP(K43,Validation!$D$51:$AD$52,2)))</f>
        <v>2</v>
      </c>
      <c r="U43" s="161" t="b">
        <f>ISERROR(VLOOKUP(LEFT(T43,LEN(T43)-IF(OR(RIGHT(T43)="-",RIGHT(T43)="+"),1,0)),IF(LEFT(Worksheet!S43,1)="N",'macro d''éval'!$N$36:$O$39,'macro d''éval'!$N$42:$O$45),2,FALSE))</f>
        <v>1</v>
      </c>
      <c r="Y43" s="165"/>
    </row>
    <row r="44" spans="7:25">
      <c r="G44" s="234"/>
      <c r="I44" s="234"/>
      <c r="J44" s="154">
        <f ca="1">IF(NOT(Format2Print),2,IF(OR(LEN(G44)=0,LEN(H44)=0,LEN(I44)=0),2,OFFSET(Validation!$A$8,VLOOKUP(LEFT(Worksheet!G44,1),Validation!$A$9:$U$16,21),HLOOKUP(SUBSTITUTE(SUBSTITUTE(SUBSTITUTE(UPPER(Worksheet!H44),"+",""),"-",""),"N","T"),Validation!$B$7:$S$18,12,FALSE)*3+VALUE(LEFT(Worksheet!I44,1)))))</f>
        <v>2</v>
      </c>
      <c r="O44" s="158">
        <f ca="1">IF(NOT(Format2Print),2,MIN(3,IF(OR(LEN(L44)=0,LEN(M44)=0),2,OFFSET(Validation!$A$21,VLOOKUP(LEFT(UPPER(Worksheet!L44),1),Validation!$A$22:$L$30,12,FALSE),(VALUE(LEFT(Worksheet!M44,1))-1)*2+1+IF(IF(RIGHT(Worksheet!L44,1)="+",1,IF(RIGHT(Worksheet!L44,1)="-",-1,0))+IF(RIGHT(Worksheet!M44,1)="+",1,IF(RIGHT(Worksheet!M44,1)="-",-1,0))&gt;0,1,0)))))</f>
        <v>2</v>
      </c>
      <c r="P44" s="159">
        <f ca="1">IF(NOT(Format2Print),2,OFFSET(Validation!$C$53,VLOOKUP(N44,Validation!$A$54:$B$69,2),HLOOKUP(K44,Validation!$D$51:$AD$52,2)))</f>
        <v>2</v>
      </c>
      <c r="U44" s="161" t="b">
        <f>ISERROR(VLOOKUP(LEFT(T44,LEN(T44)-IF(OR(RIGHT(T44)="-",RIGHT(T44)="+"),1,0)),IF(LEFT(Worksheet!S44,1)="N",'macro d''éval'!$N$36:$O$39,'macro d''éval'!$N$42:$O$45),2,FALSE))</f>
        <v>1</v>
      </c>
      <c r="Y44" s="165"/>
    </row>
    <row r="45" spans="7:25">
      <c r="G45" s="234"/>
      <c r="I45" s="234"/>
      <c r="J45" s="154">
        <f ca="1">IF(NOT(Format2Print),2,IF(OR(LEN(G45)=0,LEN(H45)=0,LEN(I45)=0),2,OFFSET(Validation!$A$8,VLOOKUP(LEFT(Worksheet!G45,1),Validation!$A$9:$U$16,21),HLOOKUP(SUBSTITUTE(SUBSTITUTE(SUBSTITUTE(UPPER(Worksheet!H45),"+",""),"-",""),"N","T"),Validation!$B$7:$S$18,12,FALSE)*3+VALUE(LEFT(Worksheet!I45,1)))))</f>
        <v>2</v>
      </c>
      <c r="O45" s="158">
        <f ca="1">IF(NOT(Format2Print),2,MIN(3,IF(OR(LEN(L45)=0,LEN(M45)=0),2,OFFSET(Validation!$A$21,VLOOKUP(LEFT(UPPER(Worksheet!L45),1),Validation!$A$22:$L$30,12,FALSE),(VALUE(LEFT(Worksheet!M45,1))-1)*2+1+IF(IF(RIGHT(Worksheet!L45,1)="+",1,IF(RIGHT(Worksheet!L45,1)="-",-1,0))+IF(RIGHT(Worksheet!M45,1)="+",1,IF(RIGHT(Worksheet!M45,1)="-",-1,0))&gt;0,1,0)))))</f>
        <v>2</v>
      </c>
      <c r="P45" s="159">
        <f ca="1">IF(NOT(Format2Print),2,OFFSET(Validation!$C$53,VLOOKUP(N45,Validation!$A$54:$B$69,2),HLOOKUP(K45,Validation!$D$51:$AD$52,2)))</f>
        <v>2</v>
      </c>
      <c r="U45" s="161" t="b">
        <f>ISERROR(VLOOKUP(LEFT(T45,LEN(T45)-IF(OR(RIGHT(T45)="-",RIGHT(T45)="+"),1,0)),IF(LEFT(Worksheet!S45,1)="N",'macro d''éval'!$N$36:$O$39,'macro d''éval'!$N$42:$O$45),2,FALSE))</f>
        <v>1</v>
      </c>
      <c r="Y45" s="165"/>
    </row>
    <row r="46" spans="7:25">
      <c r="G46" s="234"/>
      <c r="J46" s="154">
        <f ca="1">IF(NOT(Format2Print),2,IF(OR(LEN(G46)=0,LEN(H46)=0,LEN(I46)=0),2,OFFSET(Validation!$A$8,VLOOKUP(LEFT(Worksheet!G46,1),Validation!$A$9:$U$16,21),HLOOKUP(SUBSTITUTE(SUBSTITUTE(SUBSTITUTE(UPPER(Worksheet!H46),"+",""),"-",""),"N","T"),Validation!$B$7:$S$18,12,FALSE)*3+VALUE(LEFT(Worksheet!I46,1)))))</f>
        <v>2</v>
      </c>
      <c r="O46" s="158">
        <f ca="1">IF(NOT(Format2Print),2,MIN(3,IF(OR(LEN(L46)=0,LEN(M46)=0),2,OFFSET(Validation!$A$21,VLOOKUP(LEFT(UPPER(Worksheet!L46),1),Validation!$A$22:$L$30,12,FALSE),(VALUE(LEFT(Worksheet!M46,1))-1)*2+1+IF(IF(RIGHT(Worksheet!L46,1)="+",1,IF(RIGHT(Worksheet!L46,1)="-",-1,0))+IF(RIGHT(Worksheet!M46,1)="+",1,IF(RIGHT(Worksheet!M46,1)="-",-1,0))&gt;0,1,0)))))</f>
        <v>2</v>
      </c>
      <c r="P46" s="159">
        <f ca="1">IF(NOT(Format2Print),2,OFFSET(Validation!$C$53,VLOOKUP(N46,Validation!$A$54:$B$69,2),HLOOKUP(K46,Validation!$D$51:$AD$52,2)))</f>
        <v>2</v>
      </c>
      <c r="U46" s="161" t="b">
        <f>ISERROR(VLOOKUP(LEFT(T46,LEN(T46)-IF(OR(RIGHT(T46)="-",RIGHT(T46)="+"),1,0)),IF(LEFT(Worksheet!S46,1)="N",'macro d''éval'!$N$36:$O$39,'macro d''éval'!$N$42:$O$45),2,FALSE))</f>
        <v>1</v>
      </c>
      <c r="Y46" s="165"/>
    </row>
    <row r="47" spans="7:25">
      <c r="G47" s="234"/>
      <c r="J47" s="154">
        <f ca="1">IF(NOT(Format2Print),2,IF(OR(LEN(G47)=0,LEN(H47)=0,LEN(I47)=0),2,OFFSET(Validation!$A$8,VLOOKUP(LEFT(Worksheet!G47,1),Validation!$A$9:$U$16,21),HLOOKUP(SUBSTITUTE(SUBSTITUTE(SUBSTITUTE(UPPER(Worksheet!H47),"+",""),"-",""),"N","T"),Validation!$B$7:$S$18,12,FALSE)*3+VALUE(LEFT(Worksheet!I47,1)))))</f>
        <v>2</v>
      </c>
      <c r="O47" s="158">
        <f ca="1">IF(NOT(Format2Print),2,MIN(3,IF(OR(LEN(L47)=0,LEN(M47)=0),2,OFFSET(Validation!$A$21,VLOOKUP(LEFT(UPPER(Worksheet!L47),1),Validation!$A$22:$L$30,12,FALSE),(VALUE(LEFT(Worksheet!M47,1))-1)*2+1+IF(IF(RIGHT(Worksheet!L47,1)="+",1,IF(RIGHT(Worksheet!L47,1)="-",-1,0))+IF(RIGHT(Worksheet!M47,1)="+",1,IF(RIGHT(Worksheet!M47,1)="-",-1,0))&gt;0,1,0)))))</f>
        <v>2</v>
      </c>
      <c r="P47" s="159">
        <f ca="1">IF(NOT(Format2Print),2,OFFSET(Validation!$C$53,VLOOKUP(N47,Validation!$A$54:$B$69,2),HLOOKUP(K47,Validation!$D$51:$AD$52,2)))</f>
        <v>2</v>
      </c>
      <c r="U47" s="161" t="b">
        <f>ISERROR(VLOOKUP(LEFT(T47,LEN(T47)-IF(OR(RIGHT(T47)="-",RIGHT(T47)="+"),1,0)),IF(LEFT(Worksheet!S47,1)="N",'macro d''éval'!$N$36:$O$39,'macro d''éval'!$N$42:$O$45),2,FALSE))</f>
        <v>1</v>
      </c>
      <c r="Y47" s="165"/>
    </row>
    <row r="48" spans="7:25">
      <c r="G48" s="234"/>
      <c r="J48" s="154">
        <f ca="1">IF(NOT(Format2Print),2,IF(OR(LEN(G48)=0,LEN(H48)=0,LEN(I48)=0),2,OFFSET(Validation!$A$8,VLOOKUP(LEFT(Worksheet!G48,1),Validation!$A$9:$U$16,21),HLOOKUP(SUBSTITUTE(SUBSTITUTE(SUBSTITUTE(UPPER(Worksheet!H48),"+",""),"-",""),"N","T"),Validation!$B$7:$S$18,12,FALSE)*3+VALUE(LEFT(Worksheet!I48,1)))))</f>
        <v>2</v>
      </c>
      <c r="O48" s="158">
        <f ca="1">IF(NOT(Format2Print),2,MIN(3,IF(OR(LEN(L48)=0,LEN(M48)=0),2,OFFSET(Validation!$A$21,VLOOKUP(LEFT(UPPER(Worksheet!L48),1),Validation!$A$22:$L$30,12,FALSE),(VALUE(LEFT(Worksheet!M48,1))-1)*2+1+IF(IF(RIGHT(Worksheet!L48,1)="+",1,IF(RIGHT(Worksheet!L48,1)="-",-1,0))+IF(RIGHT(Worksheet!M48,1)="+",1,IF(RIGHT(Worksheet!M48,1)="-",-1,0))&gt;0,1,0)))))</f>
        <v>2</v>
      </c>
      <c r="P48" s="159">
        <f ca="1">IF(NOT(Format2Print),2,OFFSET(Validation!$C$53,VLOOKUP(N48,Validation!$A$54:$B$69,2),HLOOKUP(K48,Validation!$D$51:$AD$52,2)))</f>
        <v>2</v>
      </c>
      <c r="U48" s="161" t="b">
        <f>ISERROR(VLOOKUP(LEFT(T48,LEN(T48)-IF(OR(RIGHT(T48)="-",RIGHT(T48)="+"),1,0)),IF(LEFT(Worksheet!S48,1)="N",'macro d''éval'!$N$36:$O$39,'macro d''éval'!$N$42:$O$45),2,FALSE))</f>
        <v>1</v>
      </c>
      <c r="Y48" s="165"/>
    </row>
    <row r="49" spans="7:25">
      <c r="G49" s="234"/>
      <c r="J49" s="154">
        <f ca="1">IF(NOT(Format2Print),2,IF(OR(LEN(G49)=0,LEN(H49)=0,LEN(I49)=0),2,OFFSET(Validation!$A$8,VLOOKUP(LEFT(Worksheet!G49,1),Validation!$A$9:$U$16,21),HLOOKUP(SUBSTITUTE(SUBSTITUTE(SUBSTITUTE(UPPER(Worksheet!H49),"+",""),"-",""),"N","T"),Validation!$B$7:$S$18,12,FALSE)*3+VALUE(LEFT(Worksheet!I49,1)))))</f>
        <v>2</v>
      </c>
      <c r="O49" s="158">
        <f ca="1">IF(NOT(Format2Print),2,MIN(3,IF(OR(LEN(L49)=0,LEN(M49)=0),2,OFFSET(Validation!$A$21,VLOOKUP(LEFT(UPPER(Worksheet!L49),1),Validation!$A$22:$L$30,12,FALSE),(VALUE(LEFT(Worksheet!M49,1))-1)*2+1+IF(IF(RIGHT(Worksheet!L49,1)="+",1,IF(RIGHT(Worksheet!L49,1)="-",-1,0))+IF(RIGHT(Worksheet!M49,1)="+",1,IF(RIGHT(Worksheet!M49,1)="-",-1,0))&gt;0,1,0)))))</f>
        <v>2</v>
      </c>
      <c r="P49" s="159">
        <f ca="1">IF(NOT(Format2Print),2,OFFSET(Validation!$C$53,VLOOKUP(N49,Validation!$A$54:$B$69,2),HLOOKUP(K49,Validation!$D$51:$AD$52,2)))</f>
        <v>2</v>
      </c>
      <c r="U49" s="161" t="b">
        <f>ISERROR(VLOOKUP(LEFT(T49,LEN(T49)-IF(OR(RIGHT(T49)="-",RIGHT(T49)="+"),1,0)),IF(LEFT(Worksheet!S49,1)="N",'macro d''éval'!$N$36:$O$39,'macro d''éval'!$N$42:$O$45),2,FALSE))</f>
        <v>1</v>
      </c>
      <c r="Y49" s="165"/>
    </row>
    <row r="50" spans="7:25">
      <c r="G50" s="234"/>
      <c r="J50" s="154">
        <f ca="1">IF(NOT(Format2Print),2,IF(OR(LEN(G50)=0,LEN(H50)=0,LEN(I50)=0),2,OFFSET(Validation!$A$8,VLOOKUP(LEFT(Worksheet!G50,1),Validation!$A$9:$U$16,21),HLOOKUP(SUBSTITUTE(SUBSTITUTE(SUBSTITUTE(UPPER(Worksheet!H50),"+",""),"-",""),"N","T"),Validation!$B$7:$S$18,12,FALSE)*3+VALUE(LEFT(Worksheet!I50,1)))))</f>
        <v>2</v>
      </c>
      <c r="O50" s="158">
        <f ca="1">IF(NOT(Format2Print),2,MIN(3,IF(OR(LEN(L50)=0,LEN(M50)=0),2,OFFSET(Validation!$A$21,VLOOKUP(LEFT(UPPER(Worksheet!L50),1),Validation!$A$22:$L$30,12,FALSE),(VALUE(LEFT(Worksheet!M50,1))-1)*2+1+IF(IF(RIGHT(Worksheet!L50,1)="+",1,IF(RIGHT(Worksheet!L50,1)="-",-1,0))+IF(RIGHT(Worksheet!M50,1)="+",1,IF(RIGHT(Worksheet!M50,1)="-",-1,0))&gt;0,1,0)))))</f>
        <v>2</v>
      </c>
      <c r="P50" s="159">
        <f ca="1">IF(NOT(Format2Print),2,OFFSET(Validation!$C$53,VLOOKUP(N50,Validation!$A$54:$B$69,2),HLOOKUP(K50,Validation!$D$51:$AD$52,2)))</f>
        <v>2</v>
      </c>
      <c r="U50" s="161" t="b">
        <f>ISERROR(VLOOKUP(LEFT(T50,LEN(T50)-IF(OR(RIGHT(T50)="-",RIGHT(T50)="+"),1,0)),IF(LEFT(Worksheet!S50,1)="N",'macro d''éval'!$N$36:$O$39,'macro d''éval'!$N$42:$O$45),2,FALSE))</f>
        <v>1</v>
      </c>
      <c r="Y50" s="165"/>
    </row>
    <row r="51" spans="7:25">
      <c r="G51" s="234"/>
      <c r="J51" s="154">
        <f ca="1">IF(NOT(Format2Print),2,IF(OR(LEN(G51)=0,LEN(H51)=0,LEN(I51)=0),2,OFFSET(Validation!$A$8,VLOOKUP(LEFT(Worksheet!G51,1),Validation!$A$9:$U$16,21),HLOOKUP(SUBSTITUTE(SUBSTITUTE(SUBSTITUTE(UPPER(Worksheet!H51),"+",""),"-",""),"N","T"),Validation!$B$7:$S$18,12,FALSE)*3+VALUE(LEFT(Worksheet!I51,1)))))</f>
        <v>2</v>
      </c>
      <c r="O51" s="158">
        <f ca="1">IF(NOT(Format2Print),2,MIN(3,IF(OR(LEN(L51)=0,LEN(M51)=0),2,OFFSET(Validation!$A$21,VLOOKUP(LEFT(UPPER(Worksheet!L51),1),Validation!$A$22:$L$30,12,FALSE),(VALUE(LEFT(Worksheet!M51,1))-1)*2+1+IF(IF(RIGHT(Worksheet!L51,1)="+",1,IF(RIGHT(Worksheet!L51,1)="-",-1,0))+IF(RIGHT(Worksheet!M51,1)="+",1,IF(RIGHT(Worksheet!M51,1)="-",-1,0))&gt;0,1,0)))))</f>
        <v>2</v>
      </c>
      <c r="P51" s="159">
        <f ca="1">IF(NOT(Format2Print),2,OFFSET(Validation!$C$53,VLOOKUP(N51,Validation!$A$54:$B$69,2),HLOOKUP(K51,Validation!$D$51:$AD$52,2)))</f>
        <v>2</v>
      </c>
      <c r="U51" s="161" t="b">
        <f>ISERROR(VLOOKUP(LEFT(T51,LEN(T51)-IF(OR(RIGHT(T51)="-",RIGHT(T51)="+"),1,0)),IF(LEFT(Worksheet!S51,1)="N",'macro d''éval'!$N$36:$O$39,'macro d''éval'!$N$42:$O$45),2,FALSE))</f>
        <v>1</v>
      </c>
      <c r="Y51" s="165"/>
    </row>
    <row r="52" spans="7:25">
      <c r="G52" s="234"/>
      <c r="J52" s="154">
        <f ca="1">IF(NOT(Format2Print),2,IF(OR(LEN(G52)=0,LEN(H52)=0,LEN(I52)=0),2,OFFSET(Validation!$A$8,VLOOKUP(LEFT(Worksheet!G52,1),Validation!$A$9:$U$16,21),HLOOKUP(SUBSTITUTE(SUBSTITUTE(SUBSTITUTE(UPPER(Worksheet!H52),"+",""),"-",""),"N","T"),Validation!$B$7:$S$18,12,FALSE)*3+VALUE(LEFT(Worksheet!I52,1)))))</f>
        <v>2</v>
      </c>
      <c r="O52" s="158">
        <f ca="1">IF(NOT(Format2Print),2,MIN(3,IF(OR(LEN(L52)=0,LEN(M52)=0),2,OFFSET(Validation!$A$21,VLOOKUP(LEFT(UPPER(Worksheet!L52),1),Validation!$A$22:$L$30,12,FALSE),(VALUE(LEFT(Worksheet!M52,1))-1)*2+1+IF(IF(RIGHT(Worksheet!L52,1)="+",1,IF(RIGHT(Worksheet!L52,1)="-",-1,0))+IF(RIGHT(Worksheet!M52,1)="+",1,IF(RIGHT(Worksheet!M52,1)="-",-1,0))&gt;0,1,0)))))</f>
        <v>2</v>
      </c>
      <c r="P52" s="159">
        <f ca="1">IF(NOT(Format2Print),2,OFFSET(Validation!$C$53,VLOOKUP(N52,Validation!$A$54:$B$69,2),HLOOKUP(K52,Validation!$D$51:$AD$52,2)))</f>
        <v>2</v>
      </c>
      <c r="U52" s="161" t="b">
        <f>ISERROR(VLOOKUP(LEFT(T52,LEN(T52)-IF(OR(RIGHT(T52)="-",RIGHT(T52)="+"),1,0)),IF(LEFT(Worksheet!S52,1)="N",'macro d''éval'!$N$36:$O$39,'macro d''éval'!$N$42:$O$45),2,FALSE))</f>
        <v>1</v>
      </c>
      <c r="Y52" s="165"/>
    </row>
    <row r="53" spans="7:25">
      <c r="G53" s="234"/>
      <c r="J53" s="154">
        <f ca="1">IF(NOT(Format2Print),2,IF(OR(LEN(G53)=0,LEN(H53)=0,LEN(I53)=0),2,OFFSET(Validation!$A$8,VLOOKUP(LEFT(Worksheet!G53,1),Validation!$A$9:$U$16,21),HLOOKUP(SUBSTITUTE(SUBSTITUTE(SUBSTITUTE(UPPER(Worksheet!H53),"+",""),"-",""),"N","T"),Validation!$B$7:$S$18,12,FALSE)*3+VALUE(LEFT(Worksheet!I53,1)))))</f>
        <v>2</v>
      </c>
      <c r="O53" s="158">
        <f ca="1">IF(NOT(Format2Print),2,MIN(3,IF(OR(LEN(L53)=0,LEN(M53)=0),2,OFFSET(Validation!$A$21,VLOOKUP(LEFT(UPPER(Worksheet!L53),1),Validation!$A$22:$L$30,12,FALSE),(VALUE(LEFT(Worksheet!M53,1))-1)*2+1+IF(IF(RIGHT(Worksheet!L53,1)="+",1,IF(RIGHT(Worksheet!L53,1)="-",-1,0))+IF(RIGHT(Worksheet!M53,1)="+",1,IF(RIGHT(Worksheet!M53,1)="-",-1,0))&gt;0,1,0)))))</f>
        <v>2</v>
      </c>
      <c r="P53" s="159">
        <f ca="1">IF(NOT(Format2Print),2,OFFSET(Validation!$C$53,VLOOKUP(N53,Validation!$A$54:$B$69,2),HLOOKUP(K53,Validation!$D$51:$AD$52,2)))</f>
        <v>2</v>
      </c>
      <c r="U53" s="161" t="b">
        <f>ISERROR(VLOOKUP(LEFT(T53,LEN(T53)-IF(OR(RIGHT(T53)="-",RIGHT(T53)="+"),1,0)),IF(LEFT(Worksheet!S53,1)="N",'macro d''éval'!$N$36:$O$39,'macro d''éval'!$N$42:$O$45),2,FALSE))</f>
        <v>1</v>
      </c>
      <c r="Y53" s="165"/>
    </row>
    <row r="54" spans="7:25">
      <c r="G54" s="234"/>
      <c r="J54" s="154">
        <f ca="1">IF(NOT(Format2Print),2,IF(OR(LEN(G54)=0,LEN(H54)=0,LEN(I54)=0),2,OFFSET(Validation!$A$8,VLOOKUP(LEFT(Worksheet!G54,1),Validation!$A$9:$U$16,21),HLOOKUP(SUBSTITUTE(SUBSTITUTE(SUBSTITUTE(UPPER(Worksheet!H54),"+",""),"-",""),"N","T"),Validation!$B$7:$S$18,12,FALSE)*3+VALUE(LEFT(Worksheet!I54,1)))))</f>
        <v>2</v>
      </c>
      <c r="O54" s="158">
        <f ca="1">IF(NOT(Format2Print),2,MIN(3,IF(OR(LEN(L54)=0,LEN(M54)=0),2,OFFSET(Validation!$A$21,VLOOKUP(LEFT(UPPER(Worksheet!L54),1),Validation!$A$22:$L$30,12,FALSE),(VALUE(LEFT(Worksheet!M54,1))-1)*2+1+IF(IF(RIGHT(Worksheet!L54,1)="+",1,IF(RIGHT(Worksheet!L54,1)="-",-1,0))+IF(RIGHT(Worksheet!M54,1)="+",1,IF(RIGHT(Worksheet!M54,1)="-",-1,0))&gt;0,1,0)))))</f>
        <v>2</v>
      </c>
      <c r="P54" s="159">
        <f ca="1">IF(NOT(Format2Print),2,OFFSET(Validation!$C$53,VLOOKUP(N54,Validation!$A$54:$B$69,2),HLOOKUP(K54,Validation!$D$51:$AD$52,2)))</f>
        <v>2</v>
      </c>
      <c r="U54" s="161" t="b">
        <f>ISERROR(VLOOKUP(LEFT(T54,LEN(T54)-IF(OR(RIGHT(T54)="-",RIGHT(T54)="+"),1,0)),IF(LEFT(Worksheet!S54,1)="N",'macro d''éval'!$N$36:$O$39,'macro d''éval'!$N$42:$O$45),2,FALSE))</f>
        <v>1</v>
      </c>
      <c r="Y54" s="165"/>
    </row>
    <row r="55" spans="7:25">
      <c r="G55" s="234"/>
      <c r="J55" s="154">
        <f ca="1">IF(NOT(Format2Print),2,IF(OR(LEN(G55)=0,LEN(H55)=0,LEN(I55)=0),2,OFFSET(Validation!$A$8,VLOOKUP(LEFT(Worksheet!G55,1),Validation!$A$9:$U$16,21),HLOOKUP(SUBSTITUTE(SUBSTITUTE(SUBSTITUTE(UPPER(Worksheet!H55),"+",""),"-",""),"N","T"),Validation!$B$7:$S$18,12,FALSE)*3+VALUE(LEFT(Worksheet!I55,1)))))</f>
        <v>2</v>
      </c>
      <c r="O55" s="158">
        <f ca="1">IF(NOT(Format2Print),2,MIN(3,IF(OR(LEN(L55)=0,LEN(M55)=0),2,OFFSET(Validation!$A$21,VLOOKUP(LEFT(UPPER(Worksheet!L55),1),Validation!$A$22:$L$30,12,FALSE),(VALUE(LEFT(Worksheet!M55,1))-1)*2+1+IF(IF(RIGHT(Worksheet!L55,1)="+",1,IF(RIGHT(Worksheet!L55,1)="-",-1,0))+IF(RIGHT(Worksheet!M55,1)="+",1,IF(RIGHT(Worksheet!M55,1)="-",-1,0))&gt;0,1,0)))))</f>
        <v>2</v>
      </c>
      <c r="P55" s="159">
        <f ca="1">IF(NOT(Format2Print),2,OFFSET(Validation!$C$53,VLOOKUP(N55,Validation!$A$54:$B$69,2),HLOOKUP(K55,Validation!$D$51:$AD$52,2)))</f>
        <v>2</v>
      </c>
      <c r="U55" s="161" t="b">
        <f>ISERROR(VLOOKUP(LEFT(T55,LEN(T55)-IF(OR(RIGHT(T55)="-",RIGHT(T55)="+"),1,0)),IF(LEFT(Worksheet!S55,1)="N",'macro d''éval'!$N$36:$O$39,'macro d''éval'!$N$42:$O$45),2,FALSE))</f>
        <v>1</v>
      </c>
      <c r="Y55" s="165"/>
    </row>
    <row r="56" spans="7:25">
      <c r="G56" s="234"/>
      <c r="J56" s="154">
        <f ca="1">IF(NOT(Format2Print),2,IF(OR(LEN(G56)=0,LEN(H56)=0,LEN(I56)=0),2,OFFSET(Validation!$A$8,VLOOKUP(LEFT(Worksheet!G56,1),Validation!$A$9:$U$16,21),HLOOKUP(SUBSTITUTE(SUBSTITUTE(SUBSTITUTE(UPPER(Worksheet!H56),"+",""),"-",""),"N","T"),Validation!$B$7:$S$18,12,FALSE)*3+VALUE(LEFT(Worksheet!I56,1)))))</f>
        <v>2</v>
      </c>
      <c r="O56" s="158">
        <f ca="1">IF(NOT(Format2Print),2,MIN(3,IF(OR(LEN(L56)=0,LEN(M56)=0),2,OFFSET(Validation!$A$21,VLOOKUP(LEFT(UPPER(Worksheet!L56),1),Validation!$A$22:$L$30,12,FALSE),(VALUE(LEFT(Worksheet!M56,1))-1)*2+1+IF(IF(RIGHT(Worksheet!L56,1)="+",1,IF(RIGHT(Worksheet!L56,1)="-",-1,0))+IF(RIGHT(Worksheet!M56,1)="+",1,IF(RIGHT(Worksheet!M56,1)="-",-1,0))&gt;0,1,0)))))</f>
        <v>2</v>
      </c>
      <c r="P56" s="159">
        <f ca="1">IF(NOT(Format2Print),2,OFFSET(Validation!$C$53,VLOOKUP(N56,Validation!$A$54:$B$69,2),HLOOKUP(K56,Validation!$D$51:$AD$52,2)))</f>
        <v>2</v>
      </c>
      <c r="U56" s="161" t="b">
        <f>ISERROR(VLOOKUP(LEFT(T56,LEN(T56)-IF(OR(RIGHT(T56)="-",RIGHT(T56)="+"),1,0)),IF(LEFT(Worksheet!S56,1)="N",'macro d''éval'!$N$36:$O$39,'macro d''éval'!$N$42:$O$45),2,FALSE))</f>
        <v>1</v>
      </c>
      <c r="Y56" s="165"/>
    </row>
    <row r="57" spans="7:25">
      <c r="G57" s="234"/>
      <c r="J57" s="154">
        <f ca="1">IF(NOT(Format2Print),2,IF(OR(LEN(G57)=0,LEN(H57)=0,LEN(I57)=0),2,OFFSET(Validation!$A$8,VLOOKUP(LEFT(Worksheet!G57,1),Validation!$A$9:$U$16,21),HLOOKUP(SUBSTITUTE(SUBSTITUTE(SUBSTITUTE(UPPER(Worksheet!H57),"+",""),"-",""),"N","T"),Validation!$B$7:$S$18,12,FALSE)*3+VALUE(LEFT(Worksheet!I57,1)))))</f>
        <v>2</v>
      </c>
      <c r="O57" s="158">
        <f ca="1">IF(NOT(Format2Print),2,MIN(3,IF(OR(LEN(L57)=0,LEN(M57)=0),2,OFFSET(Validation!$A$21,VLOOKUP(LEFT(UPPER(Worksheet!L57),1),Validation!$A$22:$L$30,12,FALSE),(VALUE(LEFT(Worksheet!M57,1))-1)*2+1+IF(IF(RIGHT(Worksheet!L57,1)="+",1,IF(RIGHT(Worksheet!L57,1)="-",-1,0))+IF(RIGHT(Worksheet!M57,1)="+",1,IF(RIGHT(Worksheet!M57,1)="-",-1,0))&gt;0,1,0)))))</f>
        <v>2</v>
      </c>
      <c r="P57" s="159">
        <f ca="1">IF(NOT(Format2Print),2,OFFSET(Validation!$C$53,VLOOKUP(N57,Validation!$A$54:$B$69,2),HLOOKUP(K57,Validation!$D$51:$AD$52,2)))</f>
        <v>2</v>
      </c>
      <c r="U57" s="161" t="b">
        <f>ISERROR(VLOOKUP(LEFT(T57,LEN(T57)-IF(OR(RIGHT(T57)="-",RIGHT(T57)="+"),1,0)),IF(LEFT(Worksheet!S57,1)="N",'macro d''éval'!$N$36:$O$39,'macro d''éval'!$N$42:$O$45),2,FALSE))</f>
        <v>1</v>
      </c>
      <c r="Y57" s="165"/>
    </row>
    <row r="58" spans="7:25">
      <c r="G58" s="234"/>
      <c r="J58" s="154">
        <f ca="1">IF(NOT(Format2Print),2,IF(OR(LEN(G58)=0,LEN(H58)=0,LEN(I58)=0),2,OFFSET(Validation!$A$8,VLOOKUP(LEFT(Worksheet!G58,1),Validation!$A$9:$U$16,21),HLOOKUP(SUBSTITUTE(SUBSTITUTE(SUBSTITUTE(UPPER(Worksheet!H58),"+",""),"-",""),"N","T"),Validation!$B$7:$S$18,12,FALSE)*3+VALUE(LEFT(Worksheet!I58,1)))))</f>
        <v>2</v>
      </c>
      <c r="O58" s="158">
        <f ca="1">IF(NOT(Format2Print),2,MIN(3,IF(OR(LEN(L58)=0,LEN(M58)=0),2,OFFSET(Validation!$A$21,VLOOKUP(LEFT(UPPER(Worksheet!L58),1),Validation!$A$22:$L$30,12,FALSE),(VALUE(LEFT(Worksheet!M58,1))-1)*2+1+IF(IF(RIGHT(Worksheet!L58,1)="+",1,IF(RIGHT(Worksheet!L58,1)="-",-1,0))+IF(RIGHT(Worksheet!M58,1)="+",1,IF(RIGHT(Worksheet!M58,1)="-",-1,0))&gt;0,1,0)))))</f>
        <v>2</v>
      </c>
      <c r="P58" s="159">
        <f ca="1">IF(NOT(Format2Print),2,OFFSET(Validation!$C$53,VLOOKUP(N58,Validation!$A$54:$B$69,2),HLOOKUP(K58,Validation!$D$51:$AD$52,2)))</f>
        <v>2</v>
      </c>
      <c r="U58" s="161" t="b">
        <f>ISERROR(VLOOKUP(LEFT(T58,LEN(T58)-IF(OR(RIGHT(T58)="-",RIGHT(T58)="+"),1,0)),IF(LEFT(Worksheet!S58,1)="N",'macro d''éval'!$N$36:$O$39,'macro d''éval'!$N$42:$O$45),2,FALSE))</f>
        <v>1</v>
      </c>
      <c r="Y58" s="165"/>
    </row>
    <row r="59" spans="7:25">
      <c r="G59" s="234"/>
      <c r="J59" s="154">
        <f ca="1">IF(NOT(Format2Print),2,IF(OR(LEN(G59)=0,LEN(H59)=0,LEN(I59)=0),2,OFFSET(Validation!$A$8,VLOOKUP(LEFT(Worksheet!G59,1),Validation!$A$9:$U$16,21),HLOOKUP(SUBSTITUTE(SUBSTITUTE(SUBSTITUTE(UPPER(Worksheet!H59),"+",""),"-",""),"N","T"),Validation!$B$7:$S$18,12,FALSE)*3+VALUE(LEFT(Worksheet!I59,1)))))</f>
        <v>2</v>
      </c>
      <c r="O59" s="158">
        <f ca="1">IF(NOT(Format2Print),2,MIN(3,IF(OR(LEN(L59)=0,LEN(M59)=0),2,OFFSET(Validation!$A$21,VLOOKUP(LEFT(UPPER(Worksheet!L59),1),Validation!$A$22:$L$30,12,FALSE),(VALUE(LEFT(Worksheet!M59,1))-1)*2+1+IF(IF(RIGHT(Worksheet!L59,1)="+",1,IF(RIGHT(Worksheet!L59,1)="-",-1,0))+IF(RIGHT(Worksheet!M59,1)="+",1,IF(RIGHT(Worksheet!M59,1)="-",-1,0))&gt;0,1,0)))))</f>
        <v>2</v>
      </c>
      <c r="P59" s="159">
        <f ca="1">IF(NOT(Format2Print),2,OFFSET(Validation!$C$53,VLOOKUP(N59,Validation!$A$54:$B$69,2),HLOOKUP(K59,Validation!$D$51:$AD$52,2)))</f>
        <v>2</v>
      </c>
      <c r="U59" s="161" t="b">
        <f>ISERROR(VLOOKUP(LEFT(T59,LEN(T59)-IF(OR(RIGHT(T59)="-",RIGHT(T59)="+"),1,0)),IF(LEFT(Worksheet!S59,1)="N",'macro d''éval'!$N$36:$O$39,'macro d''éval'!$N$42:$O$45),2,FALSE))</f>
        <v>1</v>
      </c>
      <c r="Y59" s="165"/>
    </row>
    <row r="60" spans="7:25">
      <c r="G60" s="234"/>
      <c r="J60" s="154">
        <f ca="1">IF(NOT(Format2Print),2,IF(OR(LEN(G60)=0,LEN(H60)=0,LEN(I60)=0),2,OFFSET(Validation!$A$8,VLOOKUP(LEFT(Worksheet!G60,1),Validation!$A$9:$U$16,21),HLOOKUP(SUBSTITUTE(SUBSTITUTE(SUBSTITUTE(UPPER(Worksheet!H60),"+",""),"-",""),"N","T"),Validation!$B$7:$S$18,12,FALSE)*3+VALUE(LEFT(Worksheet!I60,1)))))</f>
        <v>2</v>
      </c>
      <c r="O60" s="158">
        <f ca="1">IF(NOT(Format2Print),2,MIN(3,IF(OR(LEN(L60)=0,LEN(M60)=0),2,OFFSET(Validation!$A$21,VLOOKUP(LEFT(UPPER(Worksheet!L60),1),Validation!$A$22:$L$30,12,FALSE),(VALUE(LEFT(Worksheet!M60,1))-1)*2+1+IF(IF(RIGHT(Worksheet!L60,1)="+",1,IF(RIGHT(Worksheet!L60,1)="-",-1,0))+IF(RIGHT(Worksheet!M60,1)="+",1,IF(RIGHT(Worksheet!M60,1)="-",-1,0))&gt;0,1,0)))))</f>
        <v>2</v>
      </c>
      <c r="P60" s="159">
        <f ca="1">IF(NOT(Format2Print),2,OFFSET(Validation!$C$53,VLOOKUP(N60,Validation!$A$54:$B$69,2),HLOOKUP(K60,Validation!$D$51:$AD$52,2)))</f>
        <v>2</v>
      </c>
      <c r="U60" s="161" t="b">
        <f>ISERROR(VLOOKUP(LEFT(T60,LEN(T60)-IF(OR(RIGHT(T60)="-",RIGHT(T60)="+"),1,0)),IF(LEFT(Worksheet!S60,1)="N",'macro d''éval'!$N$36:$O$39,'macro d''éval'!$N$42:$O$45),2,FALSE))</f>
        <v>1</v>
      </c>
      <c r="Y60" s="165"/>
    </row>
    <row r="61" spans="7:25">
      <c r="G61" s="234"/>
      <c r="J61" s="154">
        <f ca="1">IF(NOT(Format2Print),2,IF(OR(LEN(G61)=0,LEN(H61)=0,LEN(I61)=0),2,OFFSET(Validation!$A$8,VLOOKUP(LEFT(Worksheet!G61,1),Validation!$A$9:$U$16,21),HLOOKUP(SUBSTITUTE(SUBSTITUTE(SUBSTITUTE(UPPER(Worksheet!H61),"+",""),"-",""),"N","T"),Validation!$B$7:$S$18,12,FALSE)*3+VALUE(LEFT(Worksheet!I61,1)))))</f>
        <v>2</v>
      </c>
      <c r="O61" s="158">
        <f ca="1">IF(NOT(Format2Print),2,MIN(3,IF(OR(LEN(L61)=0,LEN(M61)=0),2,OFFSET(Validation!$A$21,VLOOKUP(LEFT(UPPER(Worksheet!L61),1),Validation!$A$22:$L$30,12,FALSE),(VALUE(LEFT(Worksheet!M61,1))-1)*2+1+IF(IF(RIGHT(Worksheet!L61,1)="+",1,IF(RIGHT(Worksheet!L61,1)="-",-1,0))+IF(RIGHT(Worksheet!M61,1)="+",1,IF(RIGHT(Worksheet!M61,1)="-",-1,0))&gt;0,1,0)))))</f>
        <v>2</v>
      </c>
      <c r="P61" s="159">
        <f ca="1">IF(NOT(Format2Print),2,OFFSET(Validation!$C$53,VLOOKUP(N61,Validation!$A$54:$B$69,2),HLOOKUP(K61,Validation!$D$51:$AD$52,2)))</f>
        <v>2</v>
      </c>
      <c r="U61" s="161" t="b">
        <f>ISERROR(VLOOKUP(LEFT(T61,LEN(T61)-IF(OR(RIGHT(T61)="-",RIGHT(T61)="+"),1,0)),IF(LEFT(Worksheet!S61,1)="N",'macro d''éval'!$N$36:$O$39,'macro d''éval'!$N$42:$O$45),2,FALSE))</f>
        <v>1</v>
      </c>
      <c r="Y61" s="165"/>
    </row>
    <row r="62" spans="7:25">
      <c r="G62" s="234"/>
      <c r="J62" s="154">
        <f ca="1">IF(NOT(Format2Print),2,IF(OR(LEN(G62)=0,LEN(H62)=0,LEN(I62)=0),2,OFFSET(Validation!$A$8,VLOOKUP(LEFT(Worksheet!G62,1),Validation!$A$9:$U$16,21),HLOOKUP(SUBSTITUTE(SUBSTITUTE(SUBSTITUTE(UPPER(Worksheet!H62),"+",""),"-",""),"N","T"),Validation!$B$7:$S$18,12,FALSE)*3+VALUE(LEFT(Worksheet!I62,1)))))</f>
        <v>2</v>
      </c>
      <c r="O62" s="158">
        <f ca="1">IF(NOT(Format2Print),2,MIN(3,IF(OR(LEN(L62)=0,LEN(M62)=0),2,OFFSET(Validation!$A$21,VLOOKUP(LEFT(UPPER(Worksheet!L62),1),Validation!$A$22:$L$30,12,FALSE),(VALUE(LEFT(Worksheet!M62,1))-1)*2+1+IF(IF(RIGHT(Worksheet!L62,1)="+",1,IF(RIGHT(Worksheet!L62,1)="-",-1,0))+IF(RIGHT(Worksheet!M62,1)="+",1,IF(RIGHT(Worksheet!M62,1)="-",-1,0))&gt;0,1,0)))))</f>
        <v>2</v>
      </c>
      <c r="P62" s="159">
        <f ca="1">IF(NOT(Format2Print),2,OFFSET(Validation!$C$53,VLOOKUP(N62,Validation!$A$54:$B$69,2),HLOOKUP(K62,Validation!$D$51:$AD$52,2)))</f>
        <v>2</v>
      </c>
      <c r="U62" s="161" t="b">
        <f>ISERROR(VLOOKUP(LEFT(T62,LEN(T62)-IF(OR(RIGHT(T62)="-",RIGHT(T62)="+"),1,0)),IF(LEFT(Worksheet!S62,1)="N",'macro d''éval'!$N$36:$O$39,'macro d''éval'!$N$42:$O$45),2,FALSE))</f>
        <v>1</v>
      </c>
      <c r="Y62" s="165"/>
    </row>
    <row r="63" spans="7:25">
      <c r="G63" s="234"/>
      <c r="J63" s="154">
        <f ca="1">IF(NOT(Format2Print),2,IF(OR(LEN(G63)=0,LEN(H63)=0,LEN(I63)=0),2,OFFSET(Validation!$A$8,VLOOKUP(LEFT(Worksheet!G63,1),Validation!$A$9:$U$16,21),HLOOKUP(SUBSTITUTE(SUBSTITUTE(SUBSTITUTE(UPPER(Worksheet!H63),"+",""),"-",""),"N","T"),Validation!$B$7:$S$18,12,FALSE)*3+VALUE(LEFT(Worksheet!I63,1)))))</f>
        <v>2</v>
      </c>
      <c r="O63" s="158">
        <f ca="1">IF(NOT(Format2Print),2,MIN(3,IF(OR(LEN(L63)=0,LEN(M63)=0),2,OFFSET(Validation!$A$21,VLOOKUP(LEFT(UPPER(Worksheet!L63),1),Validation!$A$22:$L$30,12,FALSE),(VALUE(LEFT(Worksheet!M63,1))-1)*2+1+IF(IF(RIGHT(Worksheet!L63,1)="+",1,IF(RIGHT(Worksheet!L63,1)="-",-1,0))+IF(RIGHT(Worksheet!M63,1)="+",1,IF(RIGHT(Worksheet!M63,1)="-",-1,0))&gt;0,1,0)))))</f>
        <v>2</v>
      </c>
      <c r="P63" s="159">
        <f ca="1">IF(NOT(Format2Print),2,OFFSET(Validation!$C$53,VLOOKUP(N63,Validation!$A$54:$B$69,2),HLOOKUP(K63,Validation!$D$51:$AD$52,2)))</f>
        <v>2</v>
      </c>
      <c r="U63" s="161" t="b">
        <f>ISERROR(VLOOKUP(LEFT(T63,LEN(T63)-IF(OR(RIGHT(T63)="-",RIGHT(T63)="+"),1,0)),IF(LEFT(Worksheet!S63,1)="N",'macro d''éval'!$N$36:$O$39,'macro d''éval'!$N$42:$O$45),2,FALSE))</f>
        <v>1</v>
      </c>
      <c r="Y63" s="165"/>
    </row>
    <row r="64" spans="7:25">
      <c r="G64" s="234"/>
      <c r="J64" s="154">
        <f ca="1">IF(NOT(Format2Print),2,IF(OR(LEN(G64)=0,LEN(H64)=0,LEN(I64)=0),2,OFFSET(Validation!$A$8,VLOOKUP(LEFT(Worksheet!G64,1),Validation!$A$9:$U$16,21),HLOOKUP(SUBSTITUTE(SUBSTITUTE(SUBSTITUTE(UPPER(Worksheet!H64),"+",""),"-",""),"N","T"),Validation!$B$7:$S$18,12,FALSE)*3+VALUE(LEFT(Worksheet!I64,1)))))</f>
        <v>2</v>
      </c>
      <c r="O64" s="158">
        <f ca="1">IF(NOT(Format2Print),2,MIN(3,IF(OR(LEN(L64)=0,LEN(M64)=0),2,OFFSET(Validation!$A$21,VLOOKUP(LEFT(UPPER(Worksheet!L64),1),Validation!$A$22:$L$30,12,FALSE),(VALUE(LEFT(Worksheet!M64,1))-1)*2+1+IF(IF(RIGHT(Worksheet!L64,1)="+",1,IF(RIGHT(Worksheet!L64,1)="-",-1,0))+IF(RIGHT(Worksheet!M64,1)="+",1,IF(RIGHT(Worksheet!M64,1)="-",-1,0))&gt;0,1,0)))))</f>
        <v>2</v>
      </c>
      <c r="P64" s="159">
        <f ca="1">IF(NOT(Format2Print),2,OFFSET(Validation!$C$53,VLOOKUP(N64,Validation!$A$54:$B$69,2),HLOOKUP(K64,Validation!$D$51:$AD$52,2)))</f>
        <v>2</v>
      </c>
      <c r="U64" s="161" t="b">
        <f>ISERROR(VLOOKUP(LEFT(T64,LEN(T64)-IF(OR(RIGHT(T64)="-",RIGHT(T64)="+"),1,0)),IF(LEFT(Worksheet!S64,1)="N",'macro d''éval'!$N$36:$O$39,'macro d''éval'!$N$42:$O$45),2,FALSE))</f>
        <v>1</v>
      </c>
      <c r="Y64" s="165"/>
    </row>
    <row r="65" spans="7:25">
      <c r="G65" s="234"/>
      <c r="J65" s="154">
        <f ca="1">IF(NOT(Format2Print),2,IF(OR(LEN(G65)=0,LEN(H65)=0,LEN(I65)=0),2,OFFSET(Validation!$A$8,VLOOKUP(LEFT(Worksheet!G65,1),Validation!$A$9:$U$16,21),HLOOKUP(SUBSTITUTE(SUBSTITUTE(SUBSTITUTE(UPPER(Worksheet!H65),"+",""),"-",""),"N","T"),Validation!$B$7:$S$18,12,FALSE)*3+VALUE(LEFT(Worksheet!I65,1)))))</f>
        <v>2</v>
      </c>
      <c r="O65" s="158">
        <f ca="1">IF(NOT(Format2Print),2,MIN(3,IF(OR(LEN(L65)=0,LEN(M65)=0),2,OFFSET(Validation!$A$21,VLOOKUP(LEFT(UPPER(Worksheet!L65),1),Validation!$A$22:$L$30,12,FALSE),(VALUE(LEFT(Worksheet!M65,1))-1)*2+1+IF(IF(RIGHT(Worksheet!L65,1)="+",1,IF(RIGHT(Worksheet!L65,1)="-",-1,0))+IF(RIGHT(Worksheet!M65,1)="+",1,IF(RIGHT(Worksheet!M65,1)="-",-1,0))&gt;0,1,0)))))</f>
        <v>2</v>
      </c>
      <c r="P65" s="159">
        <f ca="1">IF(NOT(Format2Print),2,OFFSET(Validation!$C$53,VLOOKUP(N65,Validation!$A$54:$B$69,2),HLOOKUP(K65,Validation!$D$51:$AD$52,2)))</f>
        <v>2</v>
      </c>
      <c r="U65" s="161" t="b">
        <f>ISERROR(VLOOKUP(LEFT(T65,LEN(T65)-IF(OR(RIGHT(T65)="-",RIGHT(T65)="+"),1,0)),IF(LEFT(Worksheet!S65,1)="N",'macro d''éval'!$N$36:$O$39,'macro d''éval'!$N$42:$O$45),2,FALSE))</f>
        <v>1</v>
      </c>
      <c r="Y65" s="165"/>
    </row>
    <row r="66" spans="7:25">
      <c r="G66" s="234"/>
      <c r="J66" s="154">
        <f ca="1">IF(NOT(Format2Print),2,IF(OR(LEN(G66)=0,LEN(H66)=0,LEN(I66)=0),2,OFFSET(Validation!$A$8,VLOOKUP(LEFT(Worksheet!G66,1),Validation!$A$9:$U$16,21),HLOOKUP(SUBSTITUTE(SUBSTITUTE(SUBSTITUTE(UPPER(Worksheet!H66),"+",""),"-",""),"N","T"),Validation!$B$7:$S$18,12,FALSE)*3+VALUE(LEFT(Worksheet!I66,1)))))</f>
        <v>2</v>
      </c>
      <c r="O66" s="158">
        <f ca="1">IF(NOT(Format2Print),2,MIN(3,IF(OR(LEN(L66)=0,LEN(M66)=0),2,OFFSET(Validation!$A$21,VLOOKUP(LEFT(UPPER(Worksheet!L66),1),Validation!$A$22:$L$30,12,FALSE),(VALUE(LEFT(Worksheet!M66,1))-1)*2+1+IF(IF(RIGHT(Worksheet!L66,1)="+",1,IF(RIGHT(Worksheet!L66,1)="-",-1,0))+IF(RIGHT(Worksheet!M66,1)="+",1,IF(RIGHT(Worksheet!M66,1)="-",-1,0))&gt;0,1,0)))))</f>
        <v>2</v>
      </c>
      <c r="P66" s="159">
        <f ca="1">IF(NOT(Format2Print),2,OFFSET(Validation!$C$53,VLOOKUP(N66,Validation!$A$54:$B$69,2),HLOOKUP(K66,Validation!$D$51:$AD$52,2)))</f>
        <v>2</v>
      </c>
      <c r="U66" s="161" t="b">
        <f>ISERROR(VLOOKUP(LEFT(T66,LEN(T66)-IF(OR(RIGHT(T66)="-",RIGHT(T66)="+"),1,0)),IF(LEFT(Worksheet!S66,1)="N",'macro d''éval'!$N$36:$O$39,'macro d''éval'!$N$42:$O$45),2,FALSE))</f>
        <v>1</v>
      </c>
      <c r="Y66" s="165"/>
    </row>
    <row r="67" spans="7:25">
      <c r="G67" s="234"/>
      <c r="J67" s="154">
        <f ca="1">IF(NOT(Format2Print),2,IF(OR(LEN(G67)=0,LEN(H67)=0,LEN(I67)=0),2,OFFSET(Validation!$A$8,VLOOKUP(LEFT(Worksheet!G67,1),Validation!$A$9:$U$16,21),HLOOKUP(SUBSTITUTE(SUBSTITUTE(SUBSTITUTE(UPPER(Worksheet!H67),"+",""),"-",""),"N","T"),Validation!$B$7:$S$18,12,FALSE)*3+VALUE(LEFT(Worksheet!I67,1)))))</f>
        <v>2</v>
      </c>
      <c r="O67" s="158">
        <f ca="1">IF(NOT(Format2Print),2,MIN(3,IF(OR(LEN(L67)=0,LEN(M67)=0),2,OFFSET(Validation!$A$21,VLOOKUP(LEFT(UPPER(Worksheet!L67),1),Validation!$A$22:$L$30,12,FALSE),(VALUE(LEFT(Worksheet!M67,1))-1)*2+1+IF(IF(RIGHT(Worksheet!L67,1)="+",1,IF(RIGHT(Worksheet!L67,1)="-",-1,0))+IF(RIGHT(Worksheet!M67,1)="+",1,IF(RIGHT(Worksheet!M67,1)="-",-1,0))&gt;0,1,0)))))</f>
        <v>2</v>
      </c>
      <c r="P67" s="159">
        <f ca="1">IF(NOT(Format2Print),2,OFFSET(Validation!$C$53,VLOOKUP(N67,Validation!$A$54:$B$69,2),HLOOKUP(K67,Validation!$D$51:$AD$52,2)))</f>
        <v>2</v>
      </c>
      <c r="U67" s="161" t="b">
        <f>ISERROR(VLOOKUP(LEFT(T67,LEN(T67)-IF(OR(RIGHT(T67)="-",RIGHT(T67)="+"),1,0)),IF(LEFT(Worksheet!S67,1)="N",'macro d''éval'!$N$36:$O$39,'macro d''éval'!$N$42:$O$45),2,FALSE))</f>
        <v>1</v>
      </c>
      <c r="Y67" s="165"/>
    </row>
    <row r="68" spans="7:25">
      <c r="G68" s="234"/>
      <c r="J68" s="154">
        <f ca="1">IF(NOT(Format2Print),2,IF(OR(LEN(G68)=0,LEN(H68)=0,LEN(I68)=0),2,OFFSET(Validation!$A$8,VLOOKUP(LEFT(Worksheet!G68,1),Validation!$A$9:$U$16,21),HLOOKUP(SUBSTITUTE(SUBSTITUTE(SUBSTITUTE(UPPER(Worksheet!H68),"+",""),"-",""),"N","T"),Validation!$B$7:$S$18,12,FALSE)*3+VALUE(LEFT(Worksheet!I68,1)))))</f>
        <v>2</v>
      </c>
      <c r="O68" s="158">
        <f ca="1">IF(NOT(Format2Print),2,MIN(3,IF(OR(LEN(L68)=0,LEN(M68)=0),2,OFFSET(Validation!$A$21,VLOOKUP(LEFT(UPPER(Worksheet!L68),1),Validation!$A$22:$L$30,12,FALSE),(VALUE(LEFT(Worksheet!M68,1))-1)*2+1+IF(IF(RIGHT(Worksheet!L68,1)="+",1,IF(RIGHT(Worksheet!L68,1)="-",-1,0))+IF(RIGHT(Worksheet!M68,1)="+",1,IF(RIGHT(Worksheet!M68,1)="-",-1,0))&gt;0,1,0)))))</f>
        <v>2</v>
      </c>
      <c r="P68" s="159">
        <f ca="1">IF(NOT(Format2Print),2,OFFSET(Validation!$C$53,VLOOKUP(N68,Validation!$A$54:$B$69,2),HLOOKUP(K68,Validation!$D$51:$AD$52,2)))</f>
        <v>2</v>
      </c>
      <c r="U68" s="161" t="b">
        <f>ISERROR(VLOOKUP(LEFT(T68,LEN(T68)-IF(OR(RIGHT(T68)="-",RIGHT(T68)="+"),1,0)),IF(LEFT(Worksheet!S68,1)="N",'macro d''éval'!$N$36:$O$39,'macro d''éval'!$N$42:$O$45),2,FALSE))</f>
        <v>1</v>
      </c>
      <c r="Y68" s="165"/>
    </row>
    <row r="69" spans="7:25">
      <c r="J69" s="154">
        <f ca="1">IF(NOT(Format2Print),2,IF(OR(LEN(G69)=0,LEN(H69)=0,LEN(I69)=0),2,OFFSET(Validation!$A$8,VLOOKUP(LEFT(Worksheet!G69,1),Validation!$A$9:$U$16,21),HLOOKUP(SUBSTITUTE(SUBSTITUTE(SUBSTITUTE(UPPER(Worksheet!H69),"+",""),"-",""),"N","T"),Validation!$B$7:$S$18,12,FALSE)*3+VALUE(LEFT(Worksheet!I69,1)))))</f>
        <v>2</v>
      </c>
      <c r="O69" s="158">
        <f ca="1">IF(NOT(Format2Print),2,MIN(3,IF(OR(LEN(L69)=0,LEN(M69)=0),2,OFFSET(Validation!$A$21,VLOOKUP(LEFT(UPPER(Worksheet!L69),1),Validation!$A$22:$L$30,12,FALSE),(VALUE(LEFT(Worksheet!M69,1))-1)*2+1+IF(IF(RIGHT(Worksheet!L69,1)="+",1,IF(RIGHT(Worksheet!L69,1)="-",-1,0))+IF(RIGHT(Worksheet!M69,1)="+",1,IF(RIGHT(Worksheet!M69,1)="-",-1,0))&gt;0,1,0)))))</f>
        <v>2</v>
      </c>
      <c r="P69" s="159">
        <f ca="1">IF(NOT(Format2Print),2,OFFSET(Validation!$C$53,VLOOKUP(N69,Validation!$A$54:$B$69,2),HLOOKUP(K69,Validation!$D$51:$AD$52,2)))</f>
        <v>2</v>
      </c>
      <c r="U69" s="161" t="b">
        <f>ISERROR(VLOOKUP(LEFT(T69,LEN(T69)-IF(OR(RIGHT(T69)="-",RIGHT(T69)="+"),1,0)),IF(LEFT(Worksheet!S69,1)="N",'macro d''éval'!$N$36:$O$39,'macro d''éval'!$N$42:$O$45),2,FALSE))</f>
        <v>1</v>
      </c>
      <c r="Y69" s="165"/>
    </row>
    <row r="70" spans="7:25">
      <c r="J70" s="154">
        <f ca="1">IF(NOT(Format2Print),2,IF(OR(LEN(G70)=0,LEN(H70)=0,LEN(I70)=0),2,OFFSET(Validation!$A$8,VLOOKUP(LEFT(Worksheet!G70,1),Validation!$A$9:$U$16,21),HLOOKUP(SUBSTITUTE(SUBSTITUTE(SUBSTITUTE(UPPER(Worksheet!H70),"+",""),"-",""),"N","T"),Validation!$B$7:$S$18,12,FALSE)*3+VALUE(LEFT(Worksheet!I70,1)))))</f>
        <v>2</v>
      </c>
      <c r="O70" s="158">
        <f ca="1">IF(NOT(Format2Print),2,MIN(3,IF(OR(LEN(L70)=0,LEN(M70)=0),2,OFFSET(Validation!$A$21,VLOOKUP(LEFT(UPPER(Worksheet!L70),1),Validation!$A$22:$L$30,12,FALSE),(VALUE(LEFT(Worksheet!M70,1))-1)*2+1+IF(IF(RIGHT(Worksheet!L70,1)="+",1,IF(RIGHT(Worksheet!L70,1)="-",-1,0))+IF(RIGHT(Worksheet!M70,1)="+",1,IF(RIGHT(Worksheet!M70,1)="-",-1,0))&gt;0,1,0)))))</f>
        <v>2</v>
      </c>
      <c r="P70" s="159">
        <f ca="1">IF(NOT(Format2Print),2,OFFSET(Validation!$C$53,VLOOKUP(N70,Validation!$A$54:$B$69,2),HLOOKUP(K70,Validation!$D$51:$AD$52,2)))</f>
        <v>2</v>
      </c>
      <c r="U70" s="161" t="b">
        <f>ISERROR(VLOOKUP(LEFT(T70,LEN(T70)-IF(OR(RIGHT(T70)="-",RIGHT(T70)="+"),1,0)),IF(LEFT(Worksheet!S70,1)="N",'macro d''éval'!$N$36:$O$39,'macro d''éval'!$N$42:$O$45),2,FALSE))</f>
        <v>1</v>
      </c>
      <c r="Y70" s="165"/>
    </row>
    <row r="71" spans="7:25">
      <c r="J71" s="154">
        <f ca="1">IF(NOT(Format2Print),2,IF(OR(LEN(G71)=0,LEN(H71)=0,LEN(I71)=0),2,OFFSET(Validation!$A$8,VLOOKUP(LEFT(Worksheet!G71,1),Validation!$A$9:$U$16,21),HLOOKUP(SUBSTITUTE(SUBSTITUTE(SUBSTITUTE(UPPER(Worksheet!H71),"+",""),"-",""),"N","T"),Validation!$B$7:$S$18,12,FALSE)*3+VALUE(LEFT(Worksheet!I71,1)))))</f>
        <v>2</v>
      </c>
      <c r="O71" s="158">
        <f ca="1">IF(NOT(Format2Print),2,MIN(3,IF(OR(LEN(L71)=0,LEN(M71)=0),2,OFFSET(Validation!$A$21,VLOOKUP(LEFT(UPPER(Worksheet!L71),1),Validation!$A$22:$L$30,12,FALSE),(VALUE(LEFT(Worksheet!M71,1))-1)*2+1+IF(IF(RIGHT(Worksheet!L71,1)="+",1,IF(RIGHT(Worksheet!L71,1)="-",-1,0))+IF(RIGHT(Worksheet!M71,1)="+",1,IF(RIGHT(Worksheet!M71,1)="-",-1,0))&gt;0,1,0)))))</f>
        <v>2</v>
      </c>
      <c r="P71" s="159">
        <f ca="1">IF(NOT(Format2Print),2,OFFSET(Validation!$C$53,VLOOKUP(N71,Validation!$A$54:$B$69,2),HLOOKUP(K71,Validation!$D$51:$AD$52,2)))</f>
        <v>2</v>
      </c>
      <c r="U71" s="161" t="b">
        <f>ISERROR(VLOOKUP(LEFT(T71,LEN(T71)-IF(OR(RIGHT(T71)="-",RIGHT(T71)="+"),1,0)),IF(LEFT(Worksheet!S71,1)="N",'macro d''éval'!$N$36:$O$39,'macro d''éval'!$N$42:$O$45),2,FALSE))</f>
        <v>1</v>
      </c>
      <c r="Y71" s="165"/>
    </row>
    <row r="72" spans="7:25">
      <c r="J72" s="154">
        <f ca="1">IF(NOT(Format2Print),2,IF(OR(LEN(G72)=0,LEN(H72)=0,LEN(I72)=0),2,OFFSET(Validation!$A$8,VLOOKUP(LEFT(Worksheet!G72,1),Validation!$A$9:$U$16,21),HLOOKUP(SUBSTITUTE(SUBSTITUTE(SUBSTITUTE(UPPER(Worksheet!H72),"+",""),"-",""),"N","T"),Validation!$B$7:$S$18,12,FALSE)*3+VALUE(LEFT(Worksheet!I72,1)))))</f>
        <v>2</v>
      </c>
      <c r="O72" s="158">
        <f ca="1">IF(NOT(Format2Print),2,MIN(3,IF(OR(LEN(L72)=0,LEN(M72)=0),2,OFFSET(Validation!$A$21,VLOOKUP(LEFT(UPPER(Worksheet!L72),1),Validation!$A$22:$L$30,12,FALSE),(VALUE(LEFT(Worksheet!M72,1))-1)*2+1+IF(IF(RIGHT(Worksheet!L72,1)="+",1,IF(RIGHT(Worksheet!L72,1)="-",-1,0))+IF(RIGHT(Worksheet!M72,1)="+",1,IF(RIGHT(Worksheet!M72,1)="-",-1,0))&gt;0,1,0)))))</f>
        <v>2</v>
      </c>
      <c r="P72" s="159">
        <f ca="1">IF(NOT(Format2Print),2,OFFSET(Validation!$C$53,VLOOKUP(N72,Validation!$A$54:$B$69,2),HLOOKUP(K72,Validation!$D$51:$AD$52,2)))</f>
        <v>2</v>
      </c>
      <c r="U72" s="161" t="b">
        <f>ISERROR(VLOOKUP(LEFT(T72,LEN(T72)-IF(OR(RIGHT(T72)="-",RIGHT(T72)="+"),1,0)),IF(LEFT(Worksheet!S72,1)="N",'macro d''éval'!$N$36:$O$39,'macro d''éval'!$N$42:$O$45),2,FALSE))</f>
        <v>1</v>
      </c>
      <c r="Y72" s="165"/>
    </row>
    <row r="73" spans="7:25">
      <c r="J73" s="154">
        <f ca="1">IF(NOT(Format2Print),2,IF(OR(LEN(G73)=0,LEN(H73)=0,LEN(I73)=0),2,OFFSET(Validation!$A$8,VLOOKUP(LEFT(Worksheet!G73,1),Validation!$A$9:$U$16,21),HLOOKUP(SUBSTITUTE(SUBSTITUTE(SUBSTITUTE(UPPER(Worksheet!H73),"+",""),"-",""),"N","T"),Validation!$B$7:$S$18,12,FALSE)*3+VALUE(LEFT(Worksheet!I73,1)))))</f>
        <v>2</v>
      </c>
      <c r="O73" s="158">
        <f ca="1">IF(NOT(Format2Print),2,MIN(3,IF(OR(LEN(L73)=0,LEN(M73)=0),2,OFFSET(Validation!$A$21,VLOOKUP(LEFT(UPPER(Worksheet!L73),1),Validation!$A$22:$L$30,12,FALSE),(VALUE(LEFT(Worksheet!M73,1))-1)*2+1+IF(IF(RIGHT(Worksheet!L73,1)="+",1,IF(RIGHT(Worksheet!L73,1)="-",-1,0))+IF(RIGHT(Worksheet!M73,1)="+",1,IF(RIGHT(Worksheet!M73,1)="-",-1,0))&gt;0,1,0)))))</f>
        <v>2</v>
      </c>
      <c r="P73" s="159">
        <f ca="1">IF(NOT(Format2Print),2,OFFSET(Validation!$C$53,VLOOKUP(N73,Validation!$A$54:$B$69,2),HLOOKUP(K73,Validation!$D$51:$AD$52,2)))</f>
        <v>2</v>
      </c>
      <c r="U73" s="161" t="b">
        <f>ISERROR(VLOOKUP(LEFT(T73,LEN(T73)-IF(OR(RIGHT(T73)="-",RIGHT(T73)="+"),1,0)),IF(LEFT(Worksheet!S73,1)="N",'macro d''éval'!$N$36:$O$39,'macro d''éval'!$N$42:$O$45),2,FALSE))</f>
        <v>1</v>
      </c>
      <c r="Y73" s="165"/>
    </row>
    <row r="74" spans="7:25">
      <c r="J74" s="154">
        <f ca="1">IF(NOT(Format2Print),2,IF(OR(LEN(G74)=0,LEN(H74)=0,LEN(I74)=0),2,OFFSET(Validation!$A$8,VLOOKUP(LEFT(Worksheet!G74,1),Validation!$A$9:$U$16,21),HLOOKUP(SUBSTITUTE(SUBSTITUTE(SUBSTITUTE(UPPER(Worksheet!H74),"+",""),"-",""),"N","T"),Validation!$B$7:$S$18,12,FALSE)*3+VALUE(LEFT(Worksheet!I74,1)))))</f>
        <v>2</v>
      </c>
      <c r="O74" s="158">
        <f ca="1">IF(NOT(Format2Print),2,MIN(3,IF(OR(LEN(L74)=0,LEN(M74)=0),2,OFFSET(Validation!$A$21,VLOOKUP(LEFT(UPPER(Worksheet!L74),1),Validation!$A$22:$L$30,12,FALSE),(VALUE(LEFT(Worksheet!M74,1))-1)*2+1+IF(IF(RIGHT(Worksheet!L74,1)="+",1,IF(RIGHT(Worksheet!L74,1)="-",-1,0))+IF(RIGHT(Worksheet!M74,1)="+",1,IF(RIGHT(Worksheet!M74,1)="-",-1,0))&gt;0,1,0)))))</f>
        <v>2</v>
      </c>
      <c r="P74" s="159">
        <f ca="1">IF(NOT(Format2Print),2,OFFSET(Validation!$C$53,VLOOKUP(N74,Validation!$A$54:$B$69,2),HLOOKUP(K74,Validation!$D$51:$AD$52,2)))</f>
        <v>2</v>
      </c>
      <c r="U74" s="161" t="b">
        <f>ISERROR(VLOOKUP(LEFT(T74,LEN(T74)-IF(OR(RIGHT(T74)="-",RIGHT(T74)="+"),1,0)),IF(LEFT(Worksheet!S74,1)="N",'macro d''éval'!$N$36:$O$39,'macro d''éval'!$N$42:$O$45),2,FALSE))</f>
        <v>1</v>
      </c>
      <c r="Y74" s="165"/>
    </row>
    <row r="75" spans="7:25">
      <c r="J75" s="154">
        <f ca="1">IF(NOT(Format2Print),2,IF(OR(LEN(G75)=0,LEN(H75)=0,LEN(I75)=0),2,OFFSET(Validation!$A$8,VLOOKUP(LEFT(Worksheet!G75,1),Validation!$A$9:$U$16,21),HLOOKUP(SUBSTITUTE(SUBSTITUTE(SUBSTITUTE(UPPER(Worksheet!H75),"+",""),"-",""),"N","T"),Validation!$B$7:$S$18,12,FALSE)*3+VALUE(LEFT(Worksheet!I75,1)))))</f>
        <v>2</v>
      </c>
      <c r="O75" s="158">
        <f ca="1">IF(NOT(Format2Print),2,MIN(3,IF(OR(LEN(L75)=0,LEN(M75)=0),2,OFFSET(Validation!$A$21,VLOOKUP(LEFT(UPPER(Worksheet!L75),1),Validation!$A$22:$L$30,12,FALSE),(VALUE(LEFT(Worksheet!M75,1))-1)*2+1+IF(IF(RIGHT(Worksheet!L75,1)="+",1,IF(RIGHT(Worksheet!L75,1)="-",-1,0))+IF(RIGHT(Worksheet!M75,1)="+",1,IF(RIGHT(Worksheet!M75,1)="-",-1,0))&gt;0,1,0)))))</f>
        <v>2</v>
      </c>
      <c r="P75" s="159">
        <f ca="1">IF(NOT(Format2Print),2,OFFSET(Validation!$C$53,VLOOKUP(N75,Validation!$A$54:$B$69,2),HLOOKUP(K75,Validation!$D$51:$AD$52,2)))</f>
        <v>2</v>
      </c>
      <c r="U75" s="161" t="b">
        <f>ISERROR(VLOOKUP(LEFT(T75,LEN(T75)-IF(OR(RIGHT(T75)="-",RIGHT(T75)="+"),1,0)),IF(LEFT(Worksheet!S75,1)="N",'macro d''éval'!$N$36:$O$39,'macro d''éval'!$N$42:$O$45),2,FALSE))</f>
        <v>1</v>
      </c>
      <c r="Y75" s="165"/>
    </row>
    <row r="76" spans="7:25">
      <c r="J76" s="154">
        <f ca="1">IF(NOT(Format2Print),2,IF(OR(LEN(G76)=0,LEN(H76)=0,LEN(I76)=0),2,OFFSET(Validation!$A$8,VLOOKUP(LEFT(Worksheet!G76,1),Validation!$A$9:$U$16,21),HLOOKUP(SUBSTITUTE(SUBSTITUTE(SUBSTITUTE(UPPER(Worksheet!H76),"+",""),"-",""),"N","T"),Validation!$B$7:$S$18,12,FALSE)*3+VALUE(LEFT(Worksheet!I76,1)))))</f>
        <v>2</v>
      </c>
      <c r="O76" s="158">
        <f ca="1">IF(NOT(Format2Print),2,MIN(3,IF(OR(LEN(L76)=0,LEN(M76)=0),2,OFFSET(Validation!$A$21,VLOOKUP(LEFT(UPPER(Worksheet!L76),1),Validation!$A$22:$L$30,12,FALSE),(VALUE(LEFT(Worksheet!M76,1))-1)*2+1+IF(IF(RIGHT(Worksheet!L76,1)="+",1,IF(RIGHT(Worksheet!L76,1)="-",-1,0))+IF(RIGHT(Worksheet!M76,1)="+",1,IF(RIGHT(Worksheet!M76,1)="-",-1,0))&gt;0,1,0)))))</f>
        <v>2</v>
      </c>
      <c r="P76" s="159">
        <f ca="1">IF(NOT(Format2Print),2,OFFSET(Validation!$C$53,VLOOKUP(N76,Validation!$A$54:$B$69,2),HLOOKUP(K76,Validation!$D$51:$AD$52,2)))</f>
        <v>2</v>
      </c>
      <c r="U76" s="161" t="b">
        <f>ISERROR(VLOOKUP(LEFT(T76,LEN(T76)-IF(OR(RIGHT(T76)="-",RIGHT(T76)="+"),1,0)),IF(LEFT(Worksheet!S76,1)="N",'macro d''éval'!$N$36:$O$39,'macro d''éval'!$N$42:$O$45),2,FALSE))</f>
        <v>1</v>
      </c>
      <c r="Y76" s="165"/>
    </row>
    <row r="77" spans="7:25">
      <c r="J77" s="154">
        <f ca="1">IF(NOT(Format2Print),2,IF(OR(LEN(G77)=0,LEN(H77)=0,LEN(I77)=0),2,OFFSET(Validation!$A$8,VLOOKUP(LEFT(Worksheet!G77,1),Validation!$A$9:$U$16,21),HLOOKUP(SUBSTITUTE(SUBSTITUTE(SUBSTITUTE(UPPER(Worksheet!H77),"+",""),"-",""),"N","T"),Validation!$B$7:$S$18,12,FALSE)*3+VALUE(LEFT(Worksheet!I77,1)))))</f>
        <v>2</v>
      </c>
      <c r="O77" s="158">
        <f ca="1">IF(NOT(Format2Print),2,MIN(3,IF(OR(LEN(L77)=0,LEN(M77)=0),2,OFFSET(Validation!$A$21,VLOOKUP(LEFT(UPPER(Worksheet!L77),1),Validation!$A$22:$L$30,12,FALSE),(VALUE(LEFT(Worksheet!M77,1))-1)*2+1+IF(IF(RIGHT(Worksheet!L77,1)="+",1,IF(RIGHT(Worksheet!L77,1)="-",-1,0))+IF(RIGHT(Worksheet!M77,1)="+",1,IF(RIGHT(Worksheet!M77,1)="-",-1,0))&gt;0,1,0)))))</f>
        <v>2</v>
      </c>
      <c r="P77" s="159">
        <f ca="1">IF(NOT(Format2Print),2,OFFSET(Validation!$C$53,VLOOKUP(N77,Validation!$A$54:$B$69,2),HLOOKUP(K77,Validation!$D$51:$AD$52,2)))</f>
        <v>2</v>
      </c>
      <c r="U77" s="161" t="b">
        <f>ISERROR(VLOOKUP(LEFT(T77,LEN(T77)-IF(OR(RIGHT(T77)="-",RIGHT(T77)="+"),1,0)),IF(LEFT(Worksheet!S77,1)="N",'macro d''éval'!$N$36:$O$39,'macro d''éval'!$N$42:$O$45),2,FALSE))</f>
        <v>1</v>
      </c>
      <c r="Y77" s="165"/>
    </row>
    <row r="78" spans="7:25">
      <c r="J78" s="154">
        <f ca="1">IF(NOT(Format2Print),2,IF(OR(LEN(G78)=0,LEN(H78)=0,LEN(I78)=0),2,OFFSET(Validation!$A$8,VLOOKUP(LEFT(Worksheet!G78,1),Validation!$A$9:$U$16,21),HLOOKUP(SUBSTITUTE(SUBSTITUTE(SUBSTITUTE(UPPER(Worksheet!H78),"+",""),"-",""),"N","T"),Validation!$B$7:$S$18,12,FALSE)*3+VALUE(LEFT(Worksheet!I78,1)))))</f>
        <v>2</v>
      </c>
      <c r="O78" s="158">
        <f ca="1">IF(NOT(Format2Print),2,MIN(3,IF(OR(LEN(L78)=0,LEN(M78)=0),2,OFFSET(Validation!$A$21,VLOOKUP(LEFT(UPPER(Worksheet!L78),1),Validation!$A$22:$L$30,12,FALSE),(VALUE(LEFT(Worksheet!M78,1))-1)*2+1+IF(IF(RIGHT(Worksheet!L78,1)="+",1,IF(RIGHT(Worksheet!L78,1)="-",-1,0))+IF(RIGHT(Worksheet!M78,1)="+",1,IF(RIGHT(Worksheet!M78,1)="-",-1,0))&gt;0,1,0)))))</f>
        <v>2</v>
      </c>
      <c r="P78" s="159">
        <f ca="1">IF(NOT(Format2Print),2,OFFSET(Validation!$C$53,VLOOKUP(N78,Validation!$A$54:$B$69,2),HLOOKUP(K78,Validation!$D$51:$AD$52,2)))</f>
        <v>2</v>
      </c>
      <c r="U78" s="161" t="b">
        <f>ISERROR(VLOOKUP(LEFT(T78,LEN(T78)-IF(OR(RIGHT(T78)="-",RIGHT(T78)="+"),1,0)),IF(LEFT(Worksheet!S78,1)="N",'macro d''éval'!$N$36:$O$39,'macro d''éval'!$N$42:$O$45),2,FALSE))</f>
        <v>1</v>
      </c>
      <c r="Y78" s="165"/>
    </row>
    <row r="79" spans="7:25">
      <c r="J79" s="154">
        <f ca="1">IF(NOT(Format2Print),2,IF(OR(LEN(G79)=0,LEN(H79)=0,LEN(I79)=0),2,OFFSET(Validation!$A$8,VLOOKUP(LEFT(Worksheet!G79,1),Validation!$A$9:$U$16,21),HLOOKUP(SUBSTITUTE(SUBSTITUTE(SUBSTITUTE(UPPER(Worksheet!H79),"+",""),"-",""),"N","T"),Validation!$B$7:$S$18,12,FALSE)*3+VALUE(LEFT(Worksheet!I79,1)))))</f>
        <v>2</v>
      </c>
      <c r="O79" s="158">
        <f ca="1">IF(NOT(Format2Print),2,MIN(3,IF(OR(LEN(L79)=0,LEN(M79)=0),2,OFFSET(Validation!$A$21,VLOOKUP(LEFT(UPPER(Worksheet!L79),1),Validation!$A$22:$L$30,12,FALSE),(VALUE(LEFT(Worksheet!M79,1))-1)*2+1+IF(IF(RIGHT(Worksheet!L79,1)="+",1,IF(RIGHT(Worksheet!L79,1)="-",-1,0))+IF(RIGHT(Worksheet!M79,1)="+",1,IF(RIGHT(Worksheet!M79,1)="-",-1,0))&gt;0,1,0)))))</f>
        <v>2</v>
      </c>
      <c r="P79" s="159">
        <f ca="1">IF(NOT(Format2Print),2,OFFSET(Validation!$C$53,VLOOKUP(N79,Validation!$A$54:$B$69,2),HLOOKUP(K79,Validation!$D$51:$AD$52,2)))</f>
        <v>2</v>
      </c>
      <c r="U79" s="161" t="b">
        <f>ISERROR(VLOOKUP(LEFT(T79,LEN(T79)-IF(OR(RIGHT(T79)="-",RIGHT(T79)="+"),1,0)),IF(LEFT(Worksheet!S79,1)="N",'macro d''éval'!$N$36:$O$39,'macro d''éval'!$N$42:$O$45),2,FALSE))</f>
        <v>1</v>
      </c>
      <c r="Y79" s="165"/>
    </row>
    <row r="80" spans="7:25">
      <c r="J80" s="154">
        <f ca="1">IF(NOT(Format2Print),2,IF(OR(LEN(G80)=0,LEN(H80)=0,LEN(I80)=0),2,OFFSET(Validation!$A$8,VLOOKUP(LEFT(Worksheet!G80,1),Validation!$A$9:$U$16,21),HLOOKUP(SUBSTITUTE(SUBSTITUTE(SUBSTITUTE(UPPER(Worksheet!H80),"+",""),"-",""),"N","T"),Validation!$B$7:$S$18,12,FALSE)*3+VALUE(LEFT(Worksheet!I80,1)))))</f>
        <v>2</v>
      </c>
      <c r="O80" s="158">
        <f ca="1">IF(NOT(Format2Print),2,MIN(3,IF(OR(LEN(L80)=0,LEN(M80)=0),2,OFFSET(Validation!$A$21,VLOOKUP(LEFT(UPPER(Worksheet!L80),1),Validation!$A$22:$L$30,12,FALSE),(VALUE(LEFT(Worksheet!M80,1))-1)*2+1+IF(IF(RIGHT(Worksheet!L80,1)="+",1,IF(RIGHT(Worksheet!L80,1)="-",-1,0))+IF(RIGHT(Worksheet!M80,1)="+",1,IF(RIGHT(Worksheet!M80,1)="-",-1,0))&gt;0,1,0)))))</f>
        <v>2</v>
      </c>
      <c r="P80" s="159">
        <f ca="1">IF(NOT(Format2Print),2,OFFSET(Validation!$C$53,VLOOKUP(N80,Validation!$A$54:$B$69,2),HLOOKUP(K80,Validation!$D$51:$AD$52,2)))</f>
        <v>2</v>
      </c>
      <c r="U80" s="161" t="b">
        <f>ISERROR(VLOOKUP(LEFT(T80,LEN(T80)-IF(OR(RIGHT(T80)="-",RIGHT(T80)="+"),1,0)),IF(LEFT(Worksheet!S80,1)="N",'macro d''éval'!$N$36:$O$39,'macro d''éval'!$N$42:$O$45),2,FALSE))</f>
        <v>1</v>
      </c>
      <c r="Y80" s="165"/>
    </row>
    <row r="81" spans="10:25">
      <c r="J81" s="154">
        <f ca="1">IF(NOT(Format2Print),2,IF(OR(LEN(G81)=0,LEN(H81)=0,LEN(I81)=0),2,OFFSET(Validation!$A$8,VLOOKUP(LEFT(Worksheet!G81,1),Validation!$A$9:$U$16,21),HLOOKUP(SUBSTITUTE(SUBSTITUTE(SUBSTITUTE(UPPER(Worksheet!H81),"+",""),"-",""),"N","T"),Validation!$B$7:$S$18,12,FALSE)*3+VALUE(LEFT(Worksheet!I81,1)))))</f>
        <v>2</v>
      </c>
      <c r="O81" s="158">
        <f ca="1">IF(NOT(Format2Print),2,MIN(3,IF(OR(LEN(L81)=0,LEN(M81)=0),2,OFFSET(Validation!$A$21,VLOOKUP(LEFT(UPPER(Worksheet!L81),1),Validation!$A$22:$L$30,12,FALSE),(VALUE(LEFT(Worksheet!M81,1))-1)*2+1+IF(IF(RIGHT(Worksheet!L81,1)="+",1,IF(RIGHT(Worksheet!L81,1)="-",-1,0))+IF(RIGHT(Worksheet!M81,1)="+",1,IF(RIGHT(Worksheet!M81,1)="-",-1,0))&gt;0,1,0)))))</f>
        <v>2</v>
      </c>
      <c r="P81" s="159">
        <f ca="1">IF(NOT(Format2Print),2,OFFSET(Validation!$C$53,VLOOKUP(N81,Validation!$A$54:$B$69,2),HLOOKUP(K81,Validation!$D$51:$AD$52,2)))</f>
        <v>2</v>
      </c>
      <c r="U81" s="161" t="b">
        <f>ISERROR(VLOOKUP(LEFT(T81,LEN(T81)-IF(OR(RIGHT(T81)="-",RIGHT(T81)="+"),1,0)),IF(LEFT(Worksheet!S81,1)="N",'macro d''éval'!$N$36:$O$39,'macro d''éval'!$N$42:$O$45),2,FALSE))</f>
        <v>1</v>
      </c>
      <c r="Y81" s="165"/>
    </row>
    <row r="82" spans="10:25">
      <c r="J82" s="154">
        <f ca="1">IF(NOT(Format2Print),2,IF(OR(LEN(G82)=0,LEN(H82)=0,LEN(I82)=0),2,OFFSET(Validation!$A$8,VLOOKUP(LEFT(Worksheet!G82,1),Validation!$A$9:$U$16,21),HLOOKUP(SUBSTITUTE(SUBSTITUTE(SUBSTITUTE(UPPER(Worksheet!H82),"+",""),"-",""),"N","T"),Validation!$B$7:$S$18,12,FALSE)*3+VALUE(LEFT(Worksheet!I82,1)))))</f>
        <v>2</v>
      </c>
      <c r="O82" s="158">
        <f ca="1">IF(NOT(Format2Print),2,MIN(3,IF(OR(LEN(L82)=0,LEN(M82)=0),2,OFFSET(Validation!$A$21,VLOOKUP(LEFT(UPPER(Worksheet!L82),1),Validation!$A$22:$L$30,12,FALSE),(VALUE(LEFT(Worksheet!M82,1))-1)*2+1+IF(IF(RIGHT(Worksheet!L82,1)="+",1,IF(RIGHT(Worksheet!L82,1)="-",-1,0))+IF(RIGHT(Worksheet!M82,1)="+",1,IF(RIGHT(Worksheet!M82,1)="-",-1,0))&gt;0,1,0)))))</f>
        <v>2</v>
      </c>
      <c r="P82" s="159">
        <f ca="1">IF(NOT(Format2Print),2,OFFSET(Validation!$C$53,VLOOKUP(N82,Validation!$A$54:$B$69,2),HLOOKUP(K82,Validation!$D$51:$AD$52,2)))</f>
        <v>2</v>
      </c>
      <c r="U82" s="161" t="b">
        <f>ISERROR(VLOOKUP(LEFT(T82,LEN(T82)-IF(OR(RIGHT(T82)="-",RIGHT(T82)="+"),1,0)),IF(LEFT(Worksheet!S82,1)="N",'macro d''éval'!$N$36:$O$39,'macro d''éval'!$N$42:$O$45),2,FALSE))</f>
        <v>1</v>
      </c>
      <c r="Y82" s="165"/>
    </row>
    <row r="83" spans="10:25">
      <c r="J83" s="154">
        <f ca="1">IF(NOT(Format2Print),2,IF(OR(LEN(G83)=0,LEN(H83)=0,LEN(I83)=0),2,OFFSET(Validation!$A$8,VLOOKUP(LEFT(Worksheet!G83,1),Validation!$A$9:$U$16,21),HLOOKUP(SUBSTITUTE(SUBSTITUTE(SUBSTITUTE(UPPER(Worksheet!H83),"+",""),"-",""),"N","T"),Validation!$B$7:$S$18,12,FALSE)*3+VALUE(LEFT(Worksheet!I83,1)))))</f>
        <v>2</v>
      </c>
      <c r="O83" s="158">
        <f ca="1">IF(NOT(Format2Print),2,MIN(3,IF(OR(LEN(L83)=0,LEN(M83)=0),2,OFFSET(Validation!$A$21,VLOOKUP(LEFT(UPPER(Worksheet!L83),1),Validation!$A$22:$L$30,12,FALSE),(VALUE(LEFT(Worksheet!M83,1))-1)*2+1+IF(IF(RIGHT(Worksheet!L83,1)="+",1,IF(RIGHT(Worksheet!L83,1)="-",-1,0))+IF(RIGHT(Worksheet!M83,1)="+",1,IF(RIGHT(Worksheet!M83,1)="-",-1,0))&gt;0,1,0)))))</f>
        <v>2</v>
      </c>
      <c r="P83" s="159">
        <f ca="1">IF(NOT(Format2Print),2,OFFSET(Validation!$C$53,VLOOKUP(N83,Validation!$A$54:$B$69,2),HLOOKUP(K83,Validation!$D$51:$AD$52,2)))</f>
        <v>2</v>
      </c>
      <c r="U83" s="161" t="b">
        <f>ISERROR(VLOOKUP(LEFT(T83,LEN(T83)-IF(OR(RIGHT(T83)="-",RIGHT(T83)="+"),1,0)),IF(LEFT(Worksheet!S83,1)="N",'macro d''éval'!$N$36:$O$39,'macro d''éval'!$N$42:$O$45),2,FALSE))</f>
        <v>1</v>
      </c>
      <c r="Y83" s="165"/>
    </row>
    <row r="84" spans="10:25">
      <c r="J84" s="154">
        <f ca="1">IF(NOT(Format2Print),2,IF(OR(LEN(G84)=0,LEN(H84)=0,LEN(I84)=0),2,OFFSET(Validation!$A$8,VLOOKUP(LEFT(Worksheet!G84,1),Validation!$A$9:$U$16,21),HLOOKUP(SUBSTITUTE(SUBSTITUTE(SUBSTITUTE(UPPER(Worksheet!H84),"+",""),"-",""),"N","T"),Validation!$B$7:$S$18,12,FALSE)*3+VALUE(LEFT(Worksheet!I84,1)))))</f>
        <v>2</v>
      </c>
      <c r="O84" s="158">
        <f ca="1">IF(NOT(Format2Print),2,MIN(3,IF(OR(LEN(L84)=0,LEN(M84)=0),2,OFFSET(Validation!$A$21,VLOOKUP(LEFT(UPPER(Worksheet!L84),1),Validation!$A$22:$L$30,12,FALSE),(VALUE(LEFT(Worksheet!M84,1))-1)*2+1+IF(IF(RIGHT(Worksheet!L84,1)="+",1,IF(RIGHT(Worksheet!L84,1)="-",-1,0))+IF(RIGHT(Worksheet!M84,1)="+",1,IF(RIGHT(Worksheet!M84,1)="-",-1,0))&gt;0,1,0)))))</f>
        <v>2</v>
      </c>
      <c r="P84" s="159">
        <f ca="1">IF(NOT(Format2Print),2,OFFSET(Validation!$C$53,VLOOKUP(N84,Validation!$A$54:$B$69,2),HLOOKUP(K84,Validation!$D$51:$AD$52,2)))</f>
        <v>2</v>
      </c>
      <c r="U84" s="161" t="b">
        <f>ISERROR(VLOOKUP(LEFT(T84,LEN(T84)-IF(OR(RIGHT(T84)="-",RIGHT(T84)="+"),1,0)),IF(LEFT(Worksheet!S84,1)="N",'macro d''éval'!$N$36:$O$39,'macro d''éval'!$N$42:$O$45),2,FALSE))</f>
        <v>1</v>
      </c>
      <c r="Y84" s="165"/>
    </row>
    <row r="85" spans="10:25">
      <c r="J85" s="154">
        <f ca="1">IF(NOT(Format2Print),2,IF(OR(LEN(G85)=0,LEN(H85)=0,LEN(I85)=0),2,OFFSET(Validation!$A$8,VLOOKUP(LEFT(Worksheet!G85,1),Validation!$A$9:$U$16,21),HLOOKUP(SUBSTITUTE(SUBSTITUTE(SUBSTITUTE(UPPER(Worksheet!H85),"+",""),"-",""),"N","T"),Validation!$B$7:$S$18,12,FALSE)*3+VALUE(LEFT(Worksheet!I85,1)))))</f>
        <v>2</v>
      </c>
      <c r="O85" s="158">
        <f ca="1">IF(NOT(Format2Print),2,MIN(3,IF(OR(LEN(L85)=0,LEN(M85)=0),2,OFFSET(Validation!$A$21,VLOOKUP(LEFT(UPPER(Worksheet!L85),1),Validation!$A$22:$L$30,12,FALSE),(VALUE(LEFT(Worksheet!M85,1))-1)*2+1+IF(IF(RIGHT(Worksheet!L85,1)="+",1,IF(RIGHT(Worksheet!L85,1)="-",-1,0))+IF(RIGHT(Worksheet!M85,1)="+",1,IF(RIGHT(Worksheet!M85,1)="-",-1,0))&gt;0,1,0)))))</f>
        <v>2</v>
      </c>
      <c r="P85" s="159">
        <f ca="1">IF(NOT(Format2Print),2,OFFSET(Validation!$C$53,VLOOKUP(N85,Validation!$A$54:$B$69,2),HLOOKUP(K85,Validation!$D$51:$AD$52,2)))</f>
        <v>2</v>
      </c>
      <c r="U85" s="161" t="b">
        <f>ISERROR(VLOOKUP(LEFT(T85,LEN(T85)-IF(OR(RIGHT(T85)="-",RIGHT(T85)="+"),1,0)),IF(LEFT(Worksheet!S85,1)="N",'macro d''éval'!$N$36:$O$39,'macro d''éval'!$N$42:$O$45),2,FALSE))</f>
        <v>1</v>
      </c>
      <c r="Y85" s="165"/>
    </row>
    <row r="86" spans="10:25">
      <c r="J86" s="154">
        <f ca="1">IF(NOT(Format2Print),2,IF(OR(LEN(G86)=0,LEN(H86)=0,LEN(I86)=0),2,OFFSET(Validation!$A$8,VLOOKUP(LEFT(Worksheet!G86,1),Validation!$A$9:$U$16,21),HLOOKUP(SUBSTITUTE(SUBSTITUTE(SUBSTITUTE(UPPER(Worksheet!H86),"+",""),"-",""),"N","T"),Validation!$B$7:$S$18,12,FALSE)*3+VALUE(LEFT(Worksheet!I86,1)))))</f>
        <v>2</v>
      </c>
      <c r="O86" s="158">
        <f ca="1">IF(NOT(Format2Print),2,MIN(3,IF(OR(LEN(L86)=0,LEN(M86)=0),2,OFFSET(Validation!$A$21,VLOOKUP(LEFT(UPPER(Worksheet!L86),1),Validation!$A$22:$L$30,12,FALSE),(VALUE(LEFT(Worksheet!M86,1))-1)*2+1+IF(IF(RIGHT(Worksheet!L86,1)="+",1,IF(RIGHT(Worksheet!L86,1)="-",-1,0))+IF(RIGHT(Worksheet!M86,1)="+",1,IF(RIGHT(Worksheet!M86,1)="-",-1,0))&gt;0,1,0)))))</f>
        <v>2</v>
      </c>
      <c r="P86" s="159">
        <f ca="1">IF(NOT(Format2Print),2,OFFSET(Validation!$C$53,VLOOKUP(N86,Validation!$A$54:$B$69,2),HLOOKUP(K86,Validation!$D$51:$AD$52,2)))</f>
        <v>2</v>
      </c>
      <c r="U86" s="161" t="b">
        <f>ISERROR(VLOOKUP(LEFT(T86,LEN(T86)-IF(OR(RIGHT(T86)="-",RIGHT(T86)="+"),1,0)),IF(LEFT(Worksheet!S86,1)="N",'macro d''éval'!$N$36:$O$39,'macro d''éval'!$N$42:$O$45),2,FALSE))</f>
        <v>1</v>
      </c>
      <c r="Y86" s="165"/>
    </row>
    <row r="87" spans="10:25">
      <c r="J87" s="154">
        <f ca="1">IF(NOT(Format2Print),2,IF(OR(LEN(G87)=0,LEN(H87)=0,LEN(I87)=0),2,OFFSET(Validation!$A$8,VLOOKUP(LEFT(Worksheet!G87,1),Validation!$A$9:$U$16,21),HLOOKUP(SUBSTITUTE(SUBSTITUTE(SUBSTITUTE(UPPER(Worksheet!H87),"+",""),"-",""),"N","T"),Validation!$B$7:$S$18,12,FALSE)*3+VALUE(LEFT(Worksheet!I87,1)))))</f>
        <v>2</v>
      </c>
      <c r="O87" s="158">
        <f ca="1">IF(NOT(Format2Print),2,MIN(3,IF(OR(LEN(L87)=0,LEN(M87)=0),2,OFFSET(Validation!$A$21,VLOOKUP(LEFT(UPPER(Worksheet!L87),1),Validation!$A$22:$L$30,12,FALSE),(VALUE(LEFT(Worksheet!M87,1))-1)*2+1+IF(IF(RIGHT(Worksheet!L87,1)="+",1,IF(RIGHT(Worksheet!L87,1)="-",-1,0))+IF(RIGHT(Worksheet!M87,1)="+",1,IF(RIGHT(Worksheet!M87,1)="-",-1,0))&gt;0,1,0)))))</f>
        <v>2</v>
      </c>
      <c r="P87" s="159">
        <f ca="1">IF(NOT(Format2Print),2,OFFSET(Validation!$C$53,VLOOKUP(N87,Validation!$A$54:$B$69,2),HLOOKUP(K87,Validation!$D$51:$AD$52,2)))</f>
        <v>2</v>
      </c>
      <c r="U87" s="161" t="b">
        <f>ISERROR(VLOOKUP(LEFT(T87,LEN(T87)-IF(OR(RIGHT(T87)="-",RIGHT(T87)="+"),1,0)),IF(LEFT(Worksheet!S87,1)="N",'macro d''éval'!$N$36:$O$39,'macro d''éval'!$N$42:$O$45),2,FALSE))</f>
        <v>1</v>
      </c>
      <c r="Y87" s="165"/>
    </row>
    <row r="88" spans="10:25">
      <c r="J88" s="154">
        <f ca="1">IF(NOT(Format2Print),2,IF(OR(LEN(G88)=0,LEN(H88)=0,LEN(I88)=0),2,OFFSET(Validation!$A$8,VLOOKUP(LEFT(Worksheet!G88,1),Validation!$A$9:$U$16,21),HLOOKUP(SUBSTITUTE(SUBSTITUTE(SUBSTITUTE(UPPER(Worksheet!H88),"+",""),"-",""),"N","T"),Validation!$B$7:$S$18,12,FALSE)*3+VALUE(LEFT(Worksheet!I88,1)))))</f>
        <v>2</v>
      </c>
      <c r="O88" s="158">
        <f ca="1">IF(NOT(Format2Print),2,MIN(3,IF(OR(LEN(L88)=0,LEN(M88)=0),2,OFFSET(Validation!$A$21,VLOOKUP(LEFT(UPPER(Worksheet!L88),1),Validation!$A$22:$L$30,12,FALSE),(VALUE(LEFT(Worksheet!M88,1))-1)*2+1+IF(IF(RIGHT(Worksheet!L88,1)="+",1,IF(RIGHT(Worksheet!L88,1)="-",-1,0))+IF(RIGHT(Worksheet!M88,1)="+",1,IF(RIGHT(Worksheet!M88,1)="-",-1,0))&gt;0,1,0)))))</f>
        <v>2</v>
      </c>
      <c r="P88" s="159">
        <f ca="1">IF(NOT(Format2Print),2,OFFSET(Validation!$C$53,VLOOKUP(N88,Validation!$A$54:$B$69,2),HLOOKUP(K88,Validation!$D$51:$AD$52,2)))</f>
        <v>2</v>
      </c>
      <c r="U88" s="161" t="b">
        <f>ISERROR(VLOOKUP(LEFT(T88,LEN(T88)-IF(OR(RIGHT(T88)="-",RIGHT(T88)="+"),1,0)),IF(LEFT(Worksheet!S88,1)="N",'macro d''éval'!$N$36:$O$39,'macro d''éval'!$N$42:$O$45),2,FALSE))</f>
        <v>1</v>
      </c>
      <c r="Y88" s="165"/>
    </row>
    <row r="89" spans="10:25">
      <c r="J89" s="154">
        <f ca="1">IF(NOT(Format2Print),2,IF(OR(LEN(G89)=0,LEN(H89)=0,LEN(I89)=0),2,OFFSET(Validation!$A$8,VLOOKUP(LEFT(Worksheet!G89,1),Validation!$A$9:$U$16,21),HLOOKUP(SUBSTITUTE(SUBSTITUTE(SUBSTITUTE(UPPER(Worksheet!H89),"+",""),"-",""),"N","T"),Validation!$B$7:$S$18,12,FALSE)*3+VALUE(LEFT(Worksheet!I89,1)))))</f>
        <v>2</v>
      </c>
      <c r="O89" s="158">
        <f ca="1">IF(NOT(Format2Print),2,MIN(3,IF(OR(LEN(L89)=0,LEN(M89)=0),2,OFFSET(Validation!$A$21,VLOOKUP(LEFT(UPPER(Worksheet!L89),1),Validation!$A$22:$L$30,12,FALSE),(VALUE(LEFT(Worksheet!M89,1))-1)*2+1+IF(IF(RIGHT(Worksheet!L89,1)="+",1,IF(RIGHT(Worksheet!L89,1)="-",-1,0))+IF(RIGHT(Worksheet!M89,1)="+",1,IF(RIGHT(Worksheet!M89,1)="-",-1,0))&gt;0,1,0)))))</f>
        <v>2</v>
      </c>
      <c r="P89" s="159">
        <f ca="1">IF(NOT(Format2Print),2,OFFSET(Validation!$C$53,VLOOKUP(N89,Validation!$A$54:$B$69,2),HLOOKUP(K89,Validation!$D$51:$AD$52,2)))</f>
        <v>2</v>
      </c>
      <c r="U89" s="161" t="b">
        <f>ISERROR(VLOOKUP(LEFT(T89,LEN(T89)-IF(OR(RIGHT(T89)="-",RIGHT(T89)="+"),1,0)),IF(LEFT(Worksheet!S89,1)="N",'macro d''éval'!$N$36:$O$39,'macro d''éval'!$N$42:$O$45),2,FALSE))</f>
        <v>1</v>
      </c>
      <c r="Y89" s="165"/>
    </row>
    <row r="90" spans="10:25">
      <c r="J90" s="154">
        <f ca="1">IF(NOT(Format2Print),2,IF(OR(LEN(G90)=0,LEN(H90)=0,LEN(I90)=0),2,OFFSET(Validation!$A$8,VLOOKUP(LEFT(Worksheet!G90,1),Validation!$A$9:$U$16,21),HLOOKUP(SUBSTITUTE(SUBSTITUTE(SUBSTITUTE(UPPER(Worksheet!H90),"+",""),"-",""),"N","T"),Validation!$B$7:$S$18,12,FALSE)*3+VALUE(LEFT(Worksheet!I90,1)))))</f>
        <v>2</v>
      </c>
      <c r="O90" s="158">
        <f ca="1">IF(NOT(Format2Print),2,MIN(3,IF(OR(LEN(L90)=0,LEN(M90)=0),2,OFFSET(Validation!$A$21,VLOOKUP(LEFT(UPPER(Worksheet!L90),1),Validation!$A$22:$L$30,12,FALSE),(VALUE(LEFT(Worksheet!M90,1))-1)*2+1+IF(IF(RIGHT(Worksheet!L90,1)="+",1,IF(RIGHT(Worksheet!L90,1)="-",-1,0))+IF(RIGHT(Worksheet!M90,1)="+",1,IF(RIGHT(Worksheet!M90,1)="-",-1,0))&gt;0,1,0)))))</f>
        <v>2</v>
      </c>
      <c r="P90" s="159">
        <f ca="1">IF(NOT(Format2Print),2,OFFSET(Validation!$C$53,VLOOKUP(N90,Validation!$A$54:$B$69,2),HLOOKUP(K90,Validation!$D$51:$AD$52,2)))</f>
        <v>2</v>
      </c>
      <c r="U90" s="161" t="b">
        <f>ISERROR(VLOOKUP(LEFT(T90,LEN(T90)-IF(OR(RIGHT(T90)="-",RIGHT(T90)="+"),1,0)),IF(LEFT(Worksheet!S90,1)="N",'macro d''éval'!$N$36:$O$39,'macro d''éval'!$N$42:$O$45),2,FALSE))</f>
        <v>1</v>
      </c>
      <c r="Y90" s="165"/>
    </row>
    <row r="91" spans="10:25">
      <c r="J91" s="154">
        <f ca="1">IF(NOT(Format2Print),2,IF(OR(LEN(G91)=0,LEN(H91)=0,LEN(I91)=0),2,OFFSET(Validation!$A$8,VLOOKUP(LEFT(Worksheet!G91,1),Validation!$A$9:$U$16,21),HLOOKUP(SUBSTITUTE(SUBSTITUTE(SUBSTITUTE(UPPER(Worksheet!H91),"+",""),"-",""),"N","T"),Validation!$B$7:$S$18,12,FALSE)*3+VALUE(LEFT(Worksheet!I91,1)))))</f>
        <v>2</v>
      </c>
      <c r="O91" s="158">
        <f ca="1">IF(NOT(Format2Print),2,MIN(3,IF(OR(LEN(L91)=0,LEN(M91)=0),2,OFFSET(Validation!$A$21,VLOOKUP(LEFT(UPPER(Worksheet!L91),1),Validation!$A$22:$L$30,12,FALSE),(VALUE(LEFT(Worksheet!M91,1))-1)*2+1+IF(IF(RIGHT(Worksheet!L91,1)="+",1,IF(RIGHT(Worksheet!L91,1)="-",-1,0))+IF(RIGHT(Worksheet!M91,1)="+",1,IF(RIGHT(Worksheet!M91,1)="-",-1,0))&gt;0,1,0)))))</f>
        <v>2</v>
      </c>
      <c r="P91" s="159">
        <f ca="1">IF(NOT(Format2Print),2,OFFSET(Validation!$C$53,VLOOKUP(N91,Validation!$A$54:$B$69,2),HLOOKUP(K91,Validation!$D$51:$AD$52,2)))</f>
        <v>2</v>
      </c>
      <c r="U91" s="161" t="b">
        <f>ISERROR(VLOOKUP(LEFT(T91,LEN(T91)-IF(OR(RIGHT(T91)="-",RIGHT(T91)="+"),1,0)),IF(LEFT(Worksheet!S91,1)="N",'macro d''éval'!$N$36:$O$39,'macro d''éval'!$N$42:$O$45),2,FALSE))</f>
        <v>1</v>
      </c>
      <c r="Y91" s="165"/>
    </row>
    <row r="92" spans="10:25">
      <c r="J92" s="154">
        <f ca="1">IF(NOT(Format2Print),2,IF(OR(LEN(G92)=0,LEN(H92)=0,LEN(I92)=0),2,OFFSET(Validation!$A$8,VLOOKUP(LEFT(Worksheet!G92,1),Validation!$A$9:$U$16,21),HLOOKUP(SUBSTITUTE(SUBSTITUTE(SUBSTITUTE(UPPER(Worksheet!H92),"+",""),"-",""),"N","T"),Validation!$B$7:$S$18,12,FALSE)*3+VALUE(LEFT(Worksheet!I92,1)))))</f>
        <v>2</v>
      </c>
      <c r="O92" s="158">
        <f ca="1">IF(NOT(Format2Print),2,MIN(3,IF(OR(LEN(L92)=0,LEN(M92)=0),2,OFFSET(Validation!$A$21,VLOOKUP(LEFT(UPPER(Worksheet!L92),1),Validation!$A$22:$L$30,12,FALSE),(VALUE(LEFT(Worksheet!M92,1))-1)*2+1+IF(IF(RIGHT(Worksheet!L92,1)="+",1,IF(RIGHT(Worksheet!L92,1)="-",-1,0))+IF(RIGHT(Worksheet!M92,1)="+",1,IF(RIGHT(Worksheet!M92,1)="-",-1,0))&gt;0,1,0)))))</f>
        <v>2</v>
      </c>
      <c r="P92" s="159">
        <f ca="1">IF(NOT(Format2Print),2,OFFSET(Validation!$C$53,VLOOKUP(N92,Validation!$A$54:$B$69,2),HLOOKUP(K92,Validation!$D$51:$AD$52,2)))</f>
        <v>2</v>
      </c>
      <c r="U92" s="161" t="b">
        <f>ISERROR(VLOOKUP(LEFT(T92,LEN(T92)-IF(OR(RIGHT(T92)="-",RIGHT(T92)="+"),1,0)),IF(LEFT(Worksheet!S92,1)="N",'macro d''éval'!$N$36:$O$39,'macro d''éval'!$N$42:$O$45),2,FALSE))</f>
        <v>1</v>
      </c>
      <c r="Y92" s="165"/>
    </row>
    <row r="93" spans="10:25">
      <c r="J93" s="154">
        <f ca="1">IF(NOT(Format2Print),2,IF(OR(LEN(G93)=0,LEN(H93)=0,LEN(I93)=0),2,OFFSET(Validation!$A$8,VLOOKUP(LEFT(Worksheet!G93,1),Validation!$A$9:$U$16,21),HLOOKUP(SUBSTITUTE(SUBSTITUTE(SUBSTITUTE(UPPER(Worksheet!H93),"+",""),"-",""),"N","T"),Validation!$B$7:$S$18,12,FALSE)*3+VALUE(LEFT(Worksheet!I93,1)))))</f>
        <v>2</v>
      </c>
      <c r="O93" s="158">
        <f ca="1">IF(NOT(Format2Print),2,MIN(3,IF(OR(LEN(L93)=0,LEN(M93)=0),2,OFFSET(Validation!$A$21,VLOOKUP(LEFT(UPPER(Worksheet!L93),1),Validation!$A$22:$L$30,12,FALSE),(VALUE(LEFT(Worksheet!M93,1))-1)*2+1+IF(IF(RIGHT(Worksheet!L93,1)="+",1,IF(RIGHT(Worksheet!L93,1)="-",-1,0))+IF(RIGHT(Worksheet!M93,1)="+",1,IF(RIGHT(Worksheet!M93,1)="-",-1,0))&gt;0,1,0)))))</f>
        <v>2</v>
      </c>
      <c r="P93" s="159">
        <f ca="1">IF(NOT(Format2Print),2,OFFSET(Validation!$C$53,VLOOKUP(N93,Validation!$A$54:$B$69,2),HLOOKUP(K93,Validation!$D$51:$AD$52,2)))</f>
        <v>2</v>
      </c>
      <c r="U93" s="161" t="b">
        <f>ISERROR(VLOOKUP(LEFT(T93,LEN(T93)-IF(OR(RIGHT(T93)="-",RIGHT(T93)="+"),1,0)),IF(LEFT(Worksheet!S93,1)="N",'macro d''éval'!$N$36:$O$39,'macro d''éval'!$N$42:$O$45),2,FALSE))</f>
        <v>1</v>
      </c>
      <c r="Y93" s="165"/>
    </row>
    <row r="94" spans="10:25">
      <c r="J94" s="154">
        <f ca="1">IF(NOT(Format2Print),2,IF(OR(LEN(G94)=0,LEN(H94)=0,LEN(I94)=0),2,OFFSET(Validation!$A$8,VLOOKUP(LEFT(Worksheet!G94,1),Validation!$A$9:$U$16,21),HLOOKUP(SUBSTITUTE(SUBSTITUTE(SUBSTITUTE(UPPER(Worksheet!H94),"+",""),"-",""),"N","T"),Validation!$B$7:$S$18,12,FALSE)*3+VALUE(LEFT(Worksheet!I94,1)))))</f>
        <v>2</v>
      </c>
      <c r="O94" s="158">
        <f ca="1">IF(NOT(Format2Print),2,MIN(3,IF(OR(LEN(L94)=0,LEN(M94)=0),2,OFFSET(Validation!$A$21,VLOOKUP(LEFT(UPPER(Worksheet!L94),1),Validation!$A$22:$L$30,12,FALSE),(VALUE(LEFT(Worksheet!M94,1))-1)*2+1+IF(IF(RIGHT(Worksheet!L94,1)="+",1,IF(RIGHT(Worksheet!L94,1)="-",-1,0))+IF(RIGHT(Worksheet!M94,1)="+",1,IF(RIGHT(Worksheet!M94,1)="-",-1,0))&gt;0,1,0)))))</f>
        <v>2</v>
      </c>
      <c r="P94" s="159">
        <f ca="1">IF(NOT(Format2Print),2,OFFSET(Validation!$C$53,VLOOKUP(N94,Validation!$A$54:$B$69,2),HLOOKUP(K94,Validation!$D$51:$AD$52,2)))</f>
        <v>2</v>
      </c>
      <c r="U94" s="161" t="b">
        <f>ISERROR(VLOOKUP(LEFT(T94,LEN(T94)-IF(OR(RIGHT(T94)="-",RIGHT(T94)="+"),1,0)),IF(LEFT(Worksheet!S94,1)="N",'macro d''éval'!$N$36:$O$39,'macro d''éval'!$N$42:$O$45),2,FALSE))</f>
        <v>1</v>
      </c>
      <c r="Y94" s="165"/>
    </row>
    <row r="95" spans="10:25">
      <c r="J95" s="154">
        <f ca="1">IF(NOT(Format2Print),2,IF(OR(LEN(G95)=0,LEN(H95)=0,LEN(I95)=0),2,OFFSET(Validation!$A$8,VLOOKUP(LEFT(Worksheet!G95,1),Validation!$A$9:$U$16,21),HLOOKUP(SUBSTITUTE(SUBSTITUTE(SUBSTITUTE(UPPER(Worksheet!H95),"+",""),"-",""),"N","T"),Validation!$B$7:$S$18,12,FALSE)*3+VALUE(LEFT(Worksheet!I95,1)))))</f>
        <v>2</v>
      </c>
      <c r="O95" s="158">
        <f ca="1">IF(NOT(Format2Print),2,MIN(3,IF(OR(LEN(L95)=0,LEN(M95)=0),2,OFFSET(Validation!$A$21,VLOOKUP(LEFT(UPPER(Worksheet!L95),1),Validation!$A$22:$L$30,12,FALSE),(VALUE(LEFT(Worksheet!M95,1))-1)*2+1+IF(IF(RIGHT(Worksheet!L95,1)="+",1,IF(RIGHT(Worksheet!L95,1)="-",-1,0))+IF(RIGHT(Worksheet!M95,1)="+",1,IF(RIGHT(Worksheet!M95,1)="-",-1,0))&gt;0,1,0)))))</f>
        <v>2</v>
      </c>
      <c r="P95" s="159">
        <f ca="1">IF(NOT(Format2Print),2,OFFSET(Validation!$C$53,VLOOKUP(N95,Validation!$A$54:$B$69,2),HLOOKUP(K95,Validation!$D$51:$AD$52,2)))</f>
        <v>2</v>
      </c>
      <c r="U95" s="161" t="b">
        <f>ISERROR(VLOOKUP(LEFT(T95,LEN(T95)-IF(OR(RIGHT(T95)="-",RIGHT(T95)="+"),1,0)),IF(LEFT(Worksheet!S95,1)="N",'macro d''éval'!$N$36:$O$39,'macro d''éval'!$N$42:$O$45),2,FALSE))</f>
        <v>1</v>
      </c>
      <c r="Y95" s="165"/>
    </row>
    <row r="96" spans="10:25">
      <c r="J96" s="154">
        <f ca="1">IF(NOT(Format2Print),2,IF(OR(LEN(G96)=0,LEN(H96)=0,LEN(I96)=0),2,OFFSET(Validation!$A$8,VLOOKUP(LEFT(Worksheet!G96,1),Validation!$A$9:$U$16,21),HLOOKUP(SUBSTITUTE(SUBSTITUTE(SUBSTITUTE(UPPER(Worksheet!H96),"+",""),"-",""),"N","T"),Validation!$B$7:$S$18,12,FALSE)*3+VALUE(LEFT(Worksheet!I96,1)))))</f>
        <v>2</v>
      </c>
      <c r="O96" s="158">
        <f ca="1">IF(NOT(Format2Print),2,MIN(3,IF(OR(LEN(L96)=0,LEN(M96)=0),2,OFFSET(Validation!$A$21,VLOOKUP(LEFT(UPPER(Worksheet!L96),1),Validation!$A$22:$L$30,12,FALSE),(VALUE(LEFT(Worksheet!M96,1))-1)*2+1+IF(IF(RIGHT(Worksheet!L96,1)="+",1,IF(RIGHT(Worksheet!L96,1)="-",-1,0))+IF(RIGHT(Worksheet!M96,1)="+",1,IF(RIGHT(Worksheet!M96,1)="-",-1,0))&gt;0,1,0)))))</f>
        <v>2</v>
      </c>
      <c r="P96" s="159">
        <f ca="1">IF(NOT(Format2Print),2,OFFSET(Validation!$C$53,VLOOKUP(N96,Validation!$A$54:$B$69,2),HLOOKUP(K96,Validation!$D$51:$AD$52,2)))</f>
        <v>2</v>
      </c>
      <c r="U96" s="161" t="b">
        <f>ISERROR(VLOOKUP(LEFT(T96,LEN(T96)-IF(OR(RIGHT(T96)="-",RIGHT(T96)="+"),1,0)),IF(LEFT(Worksheet!S96,1)="N",'macro d''éval'!$N$36:$O$39,'macro d''éval'!$N$42:$O$45),2,FALSE))</f>
        <v>1</v>
      </c>
      <c r="Y96" s="165"/>
    </row>
    <row r="97" spans="10:25">
      <c r="J97" s="154">
        <f ca="1">IF(NOT(Format2Print),2,IF(OR(LEN(G97)=0,LEN(H97)=0,LEN(I97)=0),2,OFFSET(Validation!$A$8,VLOOKUP(LEFT(Worksheet!G97,1),Validation!$A$9:$U$16,21),HLOOKUP(SUBSTITUTE(SUBSTITUTE(SUBSTITUTE(UPPER(Worksheet!H97),"+",""),"-",""),"N","T"),Validation!$B$7:$S$18,12,FALSE)*3+VALUE(LEFT(Worksheet!I97,1)))))</f>
        <v>2</v>
      </c>
      <c r="O97" s="158">
        <f ca="1">IF(NOT(Format2Print),2,MIN(3,IF(OR(LEN(L97)=0,LEN(M97)=0),2,OFFSET(Validation!$A$21,VLOOKUP(LEFT(UPPER(Worksheet!L97),1),Validation!$A$22:$L$30,12,FALSE),(VALUE(LEFT(Worksheet!M97,1))-1)*2+1+IF(IF(RIGHT(Worksheet!L97,1)="+",1,IF(RIGHT(Worksheet!L97,1)="-",-1,0))+IF(RIGHT(Worksheet!M97,1)="+",1,IF(RIGHT(Worksheet!M97,1)="-",-1,0))&gt;0,1,0)))))</f>
        <v>2</v>
      </c>
      <c r="P97" s="159">
        <f ca="1">IF(NOT(Format2Print),2,OFFSET(Validation!$C$53,VLOOKUP(N97,Validation!$A$54:$B$69,2),HLOOKUP(K97,Validation!$D$51:$AD$52,2)))</f>
        <v>2</v>
      </c>
      <c r="U97" s="161" t="b">
        <f>ISERROR(VLOOKUP(LEFT(T97,LEN(T97)-IF(OR(RIGHT(T97)="-",RIGHT(T97)="+"),1,0)),IF(LEFT(Worksheet!S97,1)="N",'macro d''éval'!$N$36:$O$39,'macro d''éval'!$N$42:$O$45),2,FALSE))</f>
        <v>1</v>
      </c>
      <c r="Y97" s="165"/>
    </row>
    <row r="98" spans="10:25">
      <c r="J98" s="154">
        <f ca="1">IF(NOT(Format2Print),2,IF(OR(LEN(G98)=0,LEN(H98)=0,LEN(I98)=0),2,OFFSET(Validation!$A$8,VLOOKUP(LEFT(Worksheet!G98,1),Validation!$A$9:$U$16,21),HLOOKUP(SUBSTITUTE(SUBSTITUTE(SUBSTITUTE(UPPER(Worksheet!H98),"+",""),"-",""),"N","T"),Validation!$B$7:$S$18,12,FALSE)*3+VALUE(LEFT(Worksheet!I98,1)))))</f>
        <v>2</v>
      </c>
      <c r="O98" s="158">
        <f ca="1">IF(NOT(Format2Print),2,MIN(3,IF(OR(LEN(L98)=0,LEN(M98)=0),2,OFFSET(Validation!$A$21,VLOOKUP(LEFT(UPPER(Worksheet!L98),1),Validation!$A$22:$L$30,12,FALSE),(VALUE(LEFT(Worksheet!M98,1))-1)*2+1+IF(IF(RIGHT(Worksheet!L98,1)="+",1,IF(RIGHT(Worksheet!L98,1)="-",-1,0))+IF(RIGHT(Worksheet!M98,1)="+",1,IF(RIGHT(Worksheet!M98,1)="-",-1,0))&gt;0,1,0)))))</f>
        <v>2</v>
      </c>
      <c r="P98" s="159">
        <f ca="1">IF(NOT(Format2Print),2,OFFSET(Validation!$C$53,VLOOKUP(N98,Validation!$A$54:$B$69,2),HLOOKUP(K98,Validation!$D$51:$AD$52,2)))</f>
        <v>2</v>
      </c>
      <c r="U98" s="161" t="b">
        <f>ISERROR(VLOOKUP(LEFT(T98,LEN(T98)-IF(OR(RIGHT(T98)="-",RIGHT(T98)="+"),1,0)),IF(LEFT(Worksheet!S98,1)="N",'macro d''éval'!$N$36:$O$39,'macro d''éval'!$N$42:$O$45),2,FALSE))</f>
        <v>1</v>
      </c>
      <c r="Y98" s="165"/>
    </row>
    <row r="99" spans="10:25">
      <c r="J99" s="154">
        <f ca="1">IF(NOT(Format2Print),2,IF(OR(LEN(G99)=0,LEN(H99)=0,LEN(I99)=0),2,OFFSET(Validation!$A$8,VLOOKUP(LEFT(Worksheet!G99,1),Validation!$A$9:$U$16,21),HLOOKUP(SUBSTITUTE(SUBSTITUTE(SUBSTITUTE(UPPER(Worksheet!H99),"+",""),"-",""),"N","T"),Validation!$B$7:$S$18,12,FALSE)*3+VALUE(LEFT(Worksheet!I99,1)))))</f>
        <v>2</v>
      </c>
      <c r="O99" s="158">
        <f ca="1">IF(NOT(Format2Print),2,MIN(3,IF(OR(LEN(L99)=0,LEN(M99)=0),2,OFFSET(Validation!$A$21,VLOOKUP(LEFT(UPPER(Worksheet!L99),1),Validation!$A$22:$L$30,12,FALSE),(VALUE(LEFT(Worksheet!M99,1))-1)*2+1+IF(IF(RIGHT(Worksheet!L99,1)="+",1,IF(RIGHT(Worksheet!L99,1)="-",-1,0))+IF(RIGHT(Worksheet!M99,1)="+",1,IF(RIGHT(Worksheet!M99,1)="-",-1,0))&gt;0,1,0)))))</f>
        <v>2</v>
      </c>
      <c r="P99" s="159">
        <f ca="1">IF(NOT(Format2Print),2,OFFSET(Validation!$C$53,VLOOKUP(N99,Validation!$A$54:$B$69,2),HLOOKUP(K99,Validation!$D$51:$AD$52,2)))</f>
        <v>2</v>
      </c>
      <c r="U99" s="161" t="b">
        <f>ISERROR(VLOOKUP(LEFT(T99,LEN(T99)-IF(OR(RIGHT(T99)="-",RIGHT(T99)="+"),1,0)),IF(LEFT(Worksheet!S99,1)="N",'macro d''éval'!$N$36:$O$39,'macro d''éval'!$N$42:$O$45),2,FALSE))</f>
        <v>1</v>
      </c>
      <c r="Y99" s="165"/>
    </row>
    <row r="100" spans="10:25">
      <c r="J100" s="154">
        <f ca="1">IF(NOT(Format2Print),2,IF(OR(LEN(G100)=0,LEN(H100)=0,LEN(I100)=0),2,OFFSET(Validation!$A$8,VLOOKUP(LEFT(Worksheet!G100,1),Validation!$A$9:$U$16,21),HLOOKUP(SUBSTITUTE(SUBSTITUTE(SUBSTITUTE(UPPER(Worksheet!H100),"+",""),"-",""),"N","T"),Validation!$B$7:$S$18,12,FALSE)*3+VALUE(LEFT(Worksheet!I100,1)))))</f>
        <v>2</v>
      </c>
      <c r="O100" s="158">
        <f ca="1">IF(NOT(Format2Print),2,MIN(3,IF(OR(LEN(L100)=0,LEN(M100)=0),2,OFFSET(Validation!$A$21,VLOOKUP(LEFT(UPPER(Worksheet!L100),1),Validation!$A$22:$L$30,12,FALSE),(VALUE(LEFT(Worksheet!M100,1))-1)*2+1+IF(IF(RIGHT(Worksheet!L100,1)="+",1,IF(RIGHT(Worksheet!L100,1)="-",-1,0))+IF(RIGHT(Worksheet!M100,1)="+",1,IF(RIGHT(Worksheet!M100,1)="-",-1,0))&gt;0,1,0)))))</f>
        <v>2</v>
      </c>
      <c r="P100" s="159">
        <f ca="1">IF(NOT(Format2Print),2,OFFSET(Validation!$C$53,VLOOKUP(N100,Validation!$A$54:$B$69,2),HLOOKUP(K100,Validation!$D$51:$AD$52,2)))</f>
        <v>2</v>
      </c>
      <c r="U100" s="161" t="b">
        <f>ISERROR(VLOOKUP(LEFT(T100,LEN(T100)-IF(OR(RIGHT(T100)="-",RIGHT(T100)="+"),1,0)),IF(LEFT(Worksheet!S100,1)="N",'macro d''éval'!$N$36:$O$39,'macro d''éval'!$N$42:$O$45),2,FALSE))</f>
        <v>1</v>
      </c>
      <c r="Y100" s="165"/>
    </row>
    <row r="101" spans="10:25">
      <c r="J101" s="154">
        <f ca="1">IF(NOT(Format2Print),2,IF(OR(LEN(G101)=0,LEN(H101)=0,LEN(I101)=0),2,OFFSET(Validation!$A$8,VLOOKUP(LEFT(Worksheet!G101,1),Validation!$A$9:$U$16,21),HLOOKUP(SUBSTITUTE(SUBSTITUTE(SUBSTITUTE(UPPER(Worksheet!H101),"+",""),"-",""),"N","T"),Validation!$B$7:$S$18,12,FALSE)*3+VALUE(LEFT(Worksheet!I101,1)))))</f>
        <v>2</v>
      </c>
      <c r="O101" s="158">
        <f ca="1">IF(NOT(Format2Print),2,MIN(3,IF(OR(LEN(L101)=0,LEN(M101)=0),2,OFFSET(Validation!$A$21,VLOOKUP(LEFT(UPPER(Worksheet!L101),1),Validation!$A$22:$L$30,12,FALSE),(VALUE(LEFT(Worksheet!M101,1))-1)*2+1+IF(IF(RIGHT(Worksheet!L101,1)="+",1,IF(RIGHT(Worksheet!L101,1)="-",-1,0))+IF(RIGHT(Worksheet!M101,1)="+",1,IF(RIGHT(Worksheet!M101,1)="-",-1,0))&gt;0,1,0)))))</f>
        <v>2</v>
      </c>
      <c r="P101" s="159">
        <f ca="1">IF(NOT(Format2Print),2,OFFSET(Validation!$C$53,VLOOKUP(N101,Validation!$A$54:$B$69,2),HLOOKUP(K101,Validation!$D$51:$AD$52,2)))</f>
        <v>2</v>
      </c>
      <c r="U101" s="161" t="b">
        <f>ISERROR(VLOOKUP(LEFT(T101,LEN(T101)-IF(OR(RIGHT(T101)="-",RIGHT(T101)="+"),1,0)),IF(LEFT(Worksheet!S101,1)="N",'macro d''éval'!$N$36:$O$39,'macro d''éval'!$N$42:$O$45),2,FALSE))</f>
        <v>1</v>
      </c>
      <c r="Y101" s="165"/>
    </row>
    <row r="102" spans="10:25">
      <c r="J102" s="154">
        <f ca="1">IF(NOT(Format2Print),2,IF(OR(LEN(G102)=0,LEN(H102)=0,LEN(I102)=0),2,OFFSET(Validation!$A$8,VLOOKUP(LEFT(Worksheet!G102,1),Validation!$A$9:$U$16,21),HLOOKUP(SUBSTITUTE(SUBSTITUTE(SUBSTITUTE(UPPER(Worksheet!H102),"+",""),"-",""),"N","T"),Validation!$B$7:$S$18,12,FALSE)*3+VALUE(LEFT(Worksheet!I102,1)))))</f>
        <v>2</v>
      </c>
      <c r="O102" s="158">
        <f ca="1">IF(NOT(Format2Print),2,MIN(3,IF(OR(LEN(L102)=0,LEN(M102)=0),2,OFFSET(Validation!$A$21,VLOOKUP(LEFT(UPPER(Worksheet!L102),1),Validation!$A$22:$L$30,12,FALSE),(VALUE(LEFT(Worksheet!M102,1))-1)*2+1+IF(IF(RIGHT(Worksheet!L102,1)="+",1,IF(RIGHT(Worksheet!L102,1)="-",-1,0))+IF(RIGHT(Worksheet!M102,1)="+",1,IF(RIGHT(Worksheet!M102,1)="-",-1,0))&gt;0,1,0)))))</f>
        <v>2</v>
      </c>
      <c r="P102" s="159">
        <f ca="1">IF(NOT(Format2Print),2,OFFSET(Validation!$C$53,VLOOKUP(N102,Validation!$A$54:$B$69,2),HLOOKUP(K102,Validation!$D$51:$AD$52,2)))</f>
        <v>2</v>
      </c>
      <c r="U102" s="161" t="b">
        <f>ISERROR(VLOOKUP(LEFT(T102,LEN(T102)-IF(OR(RIGHT(T102)="-",RIGHT(T102)="+"),1,0)),IF(LEFT(Worksheet!S102,1)="N",'macro d''éval'!$N$36:$O$39,'macro d''éval'!$N$42:$O$45),2,FALSE))</f>
        <v>1</v>
      </c>
      <c r="Y102" s="165"/>
    </row>
    <row r="103" spans="10:25">
      <c r="J103" s="154">
        <f ca="1">IF(NOT(Format2Print),2,IF(OR(LEN(G103)=0,LEN(H103)=0,LEN(I103)=0),2,OFFSET(Validation!$A$8,VLOOKUP(LEFT(Worksheet!G103,1),Validation!$A$9:$U$16,21),HLOOKUP(SUBSTITUTE(SUBSTITUTE(SUBSTITUTE(UPPER(Worksheet!H103),"+",""),"-",""),"N","T"),Validation!$B$7:$S$18,12,FALSE)*3+VALUE(LEFT(Worksheet!I103,1)))))</f>
        <v>2</v>
      </c>
      <c r="O103" s="158">
        <f ca="1">IF(NOT(Format2Print),2,MIN(3,IF(OR(LEN(L103)=0,LEN(M103)=0),2,OFFSET(Validation!$A$21,VLOOKUP(LEFT(UPPER(Worksheet!L103),1),Validation!$A$22:$L$30,12,FALSE),(VALUE(LEFT(Worksheet!M103,1))-1)*2+1+IF(IF(RIGHT(Worksheet!L103,1)="+",1,IF(RIGHT(Worksheet!L103,1)="-",-1,0))+IF(RIGHT(Worksheet!M103,1)="+",1,IF(RIGHT(Worksheet!M103,1)="-",-1,0))&gt;0,1,0)))))</f>
        <v>2</v>
      </c>
      <c r="P103" s="159">
        <f ca="1">IF(NOT(Format2Print),2,OFFSET(Validation!$C$53,VLOOKUP(N103,Validation!$A$54:$B$69,2),HLOOKUP(K103,Validation!$D$51:$AD$52,2)))</f>
        <v>2</v>
      </c>
      <c r="U103" s="161" t="b">
        <f>ISERROR(VLOOKUP(LEFT(T103,LEN(T103)-IF(OR(RIGHT(T103)="-",RIGHT(T103)="+"),1,0)),IF(LEFT(Worksheet!S103,1)="N",'macro d''éval'!$N$36:$O$39,'macro d''éval'!$N$42:$O$45),2,FALSE))</f>
        <v>1</v>
      </c>
      <c r="Y103" s="165"/>
    </row>
    <row r="104" spans="10:25">
      <c r="J104" s="154">
        <f ca="1">IF(NOT(Format2Print),2,IF(OR(LEN(G104)=0,LEN(H104)=0,LEN(I104)=0),2,OFFSET(Validation!$A$8,VLOOKUP(LEFT(Worksheet!G104,1),Validation!$A$9:$U$16,21),HLOOKUP(SUBSTITUTE(SUBSTITUTE(SUBSTITUTE(UPPER(Worksheet!H104),"+",""),"-",""),"N","T"),Validation!$B$7:$S$18,12,FALSE)*3+VALUE(LEFT(Worksheet!I104,1)))))</f>
        <v>2</v>
      </c>
      <c r="O104" s="158">
        <f ca="1">IF(NOT(Format2Print),2,MIN(3,IF(OR(LEN(L104)=0,LEN(M104)=0),2,OFFSET(Validation!$A$21,VLOOKUP(LEFT(UPPER(Worksheet!L104),1),Validation!$A$22:$L$30,12,FALSE),(VALUE(LEFT(Worksheet!M104,1))-1)*2+1+IF(IF(RIGHT(Worksheet!L104,1)="+",1,IF(RIGHT(Worksheet!L104,1)="-",-1,0))+IF(RIGHT(Worksheet!M104,1)="+",1,IF(RIGHT(Worksheet!M104,1)="-",-1,0))&gt;0,1,0)))))</f>
        <v>2</v>
      </c>
      <c r="P104" s="159">
        <f ca="1">IF(NOT(Format2Print),2,OFFSET(Validation!$C$53,VLOOKUP(N104,Validation!$A$54:$B$69,2),HLOOKUP(K104,Validation!$D$51:$AD$52,2)))</f>
        <v>2</v>
      </c>
      <c r="U104" s="161" t="b">
        <f>ISERROR(VLOOKUP(LEFT(T104,LEN(T104)-IF(OR(RIGHT(T104)="-",RIGHT(T104)="+"),1,0)),IF(LEFT(Worksheet!S104,1)="N",'macro d''éval'!$N$36:$O$39,'macro d''éval'!$N$42:$O$45),2,FALSE))</f>
        <v>1</v>
      </c>
      <c r="Y104" s="165"/>
    </row>
    <row r="105" spans="10:25">
      <c r="J105" s="154">
        <f ca="1">IF(NOT(Format2Print),2,IF(OR(LEN(G105)=0,LEN(H105)=0,LEN(I105)=0),2,OFFSET(Validation!$A$8,VLOOKUP(LEFT(Worksheet!G105,1),Validation!$A$9:$U$16,21),HLOOKUP(SUBSTITUTE(SUBSTITUTE(SUBSTITUTE(UPPER(Worksheet!H105),"+",""),"-",""),"N","T"),Validation!$B$7:$S$18,12,FALSE)*3+VALUE(LEFT(Worksheet!I105,1)))))</f>
        <v>2</v>
      </c>
      <c r="O105" s="158">
        <f ca="1">IF(NOT(Format2Print),2,MIN(3,IF(OR(LEN(L105)=0,LEN(M105)=0),2,OFFSET(Validation!$A$21,VLOOKUP(LEFT(UPPER(Worksheet!L105),1),Validation!$A$22:$L$30,12,FALSE),(VALUE(LEFT(Worksheet!M105,1))-1)*2+1+IF(IF(RIGHT(Worksheet!L105,1)="+",1,IF(RIGHT(Worksheet!L105,1)="-",-1,0))+IF(RIGHT(Worksheet!M105,1)="+",1,IF(RIGHT(Worksheet!M105,1)="-",-1,0))&gt;0,1,0)))))</f>
        <v>2</v>
      </c>
      <c r="P105" s="159">
        <f ca="1">IF(NOT(Format2Print),2,OFFSET(Validation!$C$53,VLOOKUP(N105,Validation!$A$54:$B$69,2),HLOOKUP(K105,Validation!$D$51:$AD$52,2)))</f>
        <v>2</v>
      </c>
      <c r="U105" s="161" t="b">
        <f>ISERROR(VLOOKUP(LEFT(T105,LEN(T105)-IF(OR(RIGHT(T105)="-",RIGHT(T105)="+"),1,0)),IF(LEFT(Worksheet!S105,1)="N",'macro d''éval'!$N$36:$O$39,'macro d''éval'!$N$42:$O$45),2,FALSE))</f>
        <v>1</v>
      </c>
      <c r="Y105" s="165"/>
    </row>
    <row r="106" spans="10:25">
      <c r="J106" s="154">
        <f ca="1">IF(NOT(Format2Print),2,IF(OR(LEN(G106)=0,LEN(H106)=0,LEN(I106)=0),2,OFFSET(Validation!$A$8,VLOOKUP(LEFT(Worksheet!G106,1),Validation!$A$9:$U$16,21),HLOOKUP(SUBSTITUTE(SUBSTITUTE(SUBSTITUTE(UPPER(Worksheet!H106),"+",""),"-",""),"N","T"),Validation!$B$7:$S$18,12,FALSE)*3+VALUE(LEFT(Worksheet!I106,1)))))</f>
        <v>2</v>
      </c>
      <c r="O106" s="158">
        <f ca="1">IF(NOT(Format2Print),2,MIN(3,IF(OR(LEN(L106)=0,LEN(M106)=0),2,OFFSET(Validation!$A$21,VLOOKUP(LEFT(UPPER(Worksheet!L106),1),Validation!$A$22:$L$30,12,FALSE),(VALUE(LEFT(Worksheet!M106,1))-1)*2+1+IF(IF(RIGHT(Worksheet!L106,1)="+",1,IF(RIGHT(Worksheet!L106,1)="-",-1,0))+IF(RIGHT(Worksheet!M106,1)="+",1,IF(RIGHT(Worksheet!M106,1)="-",-1,0))&gt;0,1,0)))))</f>
        <v>2</v>
      </c>
      <c r="P106" s="159">
        <f ca="1">IF(NOT(Format2Print),2,OFFSET(Validation!$C$53,VLOOKUP(N106,Validation!$A$54:$B$69,2),HLOOKUP(K106,Validation!$D$51:$AD$52,2)))</f>
        <v>2</v>
      </c>
      <c r="U106" s="161" t="b">
        <f>ISERROR(VLOOKUP(LEFT(T106,LEN(T106)-IF(OR(RIGHT(T106)="-",RIGHT(T106)="+"),1,0)),IF(LEFT(Worksheet!S106,1)="N",'macro d''éval'!$N$36:$O$39,'macro d''éval'!$N$42:$O$45),2,FALSE))</f>
        <v>1</v>
      </c>
      <c r="Y106" s="165"/>
    </row>
    <row r="107" spans="10:25">
      <c r="J107" s="154">
        <f ca="1">IF(NOT(Format2Print),2,IF(OR(LEN(G107)=0,LEN(H107)=0,LEN(I107)=0),2,OFFSET(Validation!$A$8,VLOOKUP(LEFT(Worksheet!G107,1),Validation!$A$9:$U$16,21),HLOOKUP(SUBSTITUTE(SUBSTITUTE(SUBSTITUTE(UPPER(Worksheet!H107),"+",""),"-",""),"N","T"),Validation!$B$7:$S$18,12,FALSE)*3+VALUE(LEFT(Worksheet!I107,1)))))</f>
        <v>2</v>
      </c>
      <c r="O107" s="158">
        <f ca="1">IF(NOT(Format2Print),2,MIN(3,IF(OR(LEN(L107)=0,LEN(M107)=0),2,OFFSET(Validation!$A$21,VLOOKUP(LEFT(UPPER(Worksheet!L107),1),Validation!$A$22:$L$30,12,FALSE),(VALUE(LEFT(Worksheet!M107,1))-1)*2+1+IF(IF(RIGHT(Worksheet!L107,1)="+",1,IF(RIGHT(Worksheet!L107,1)="-",-1,0))+IF(RIGHT(Worksheet!M107,1)="+",1,IF(RIGHT(Worksheet!M107,1)="-",-1,0))&gt;0,1,0)))))</f>
        <v>2</v>
      </c>
      <c r="P107" s="159">
        <f ca="1">IF(NOT(Format2Print),2,OFFSET(Validation!$C$53,VLOOKUP(N107,Validation!$A$54:$B$69,2),HLOOKUP(K107,Validation!$D$51:$AD$52,2)))</f>
        <v>2</v>
      </c>
      <c r="U107" s="161" t="b">
        <f>ISERROR(VLOOKUP(LEFT(T107,LEN(T107)-IF(OR(RIGHT(T107)="-",RIGHT(T107)="+"),1,0)),IF(LEFT(Worksheet!S107,1)="N",'macro d''éval'!$N$36:$O$39,'macro d''éval'!$N$42:$O$45),2,FALSE))</f>
        <v>1</v>
      </c>
      <c r="Y107" s="165"/>
    </row>
    <row r="108" spans="10:25">
      <c r="J108" s="154">
        <f ca="1">IF(NOT(Format2Print),2,IF(OR(LEN(G108)=0,LEN(H108)=0,LEN(I108)=0),2,OFFSET(Validation!$A$8,VLOOKUP(LEFT(Worksheet!G108,1),Validation!$A$9:$U$16,21),HLOOKUP(SUBSTITUTE(SUBSTITUTE(SUBSTITUTE(UPPER(Worksheet!H108),"+",""),"-",""),"N","T"),Validation!$B$7:$S$18,12,FALSE)*3+VALUE(LEFT(Worksheet!I108,1)))))</f>
        <v>2</v>
      </c>
      <c r="O108" s="158">
        <f ca="1">IF(NOT(Format2Print),2,MIN(3,IF(OR(LEN(L108)=0,LEN(M108)=0),2,OFFSET(Validation!$A$21,VLOOKUP(LEFT(UPPER(Worksheet!L108),1),Validation!$A$22:$L$30,12,FALSE),(VALUE(LEFT(Worksheet!M108,1))-1)*2+1+IF(IF(RIGHT(Worksheet!L108,1)="+",1,IF(RIGHT(Worksheet!L108,1)="-",-1,0))+IF(RIGHT(Worksheet!M108,1)="+",1,IF(RIGHT(Worksheet!M108,1)="-",-1,0))&gt;0,1,0)))))</f>
        <v>2</v>
      </c>
      <c r="P108" s="159">
        <f ca="1">IF(NOT(Format2Print),2,OFFSET(Validation!$C$53,VLOOKUP(N108,Validation!$A$54:$B$69,2),HLOOKUP(K108,Validation!$D$51:$AD$52,2)))</f>
        <v>2</v>
      </c>
      <c r="U108" s="161" t="b">
        <f>ISERROR(VLOOKUP(LEFT(T108,LEN(T108)-IF(OR(RIGHT(T108)="-",RIGHT(T108)="+"),1,0)),IF(LEFT(Worksheet!S108,1)="N",'macro d''éval'!$N$36:$O$39,'macro d''éval'!$N$42:$O$45),2,FALSE))</f>
        <v>1</v>
      </c>
      <c r="Y108" s="165"/>
    </row>
    <row r="109" spans="10:25">
      <c r="J109" s="154">
        <f ca="1">IF(NOT(Format2Print),2,IF(OR(LEN(G109)=0,LEN(H109)=0,LEN(I109)=0),2,OFFSET(Validation!$A$8,VLOOKUP(LEFT(Worksheet!G109,1),Validation!$A$9:$U$16,21),HLOOKUP(SUBSTITUTE(SUBSTITUTE(SUBSTITUTE(UPPER(Worksheet!H109),"+",""),"-",""),"N","T"),Validation!$B$7:$S$18,12,FALSE)*3+VALUE(LEFT(Worksheet!I109,1)))))</f>
        <v>2</v>
      </c>
      <c r="O109" s="158">
        <f ca="1">IF(NOT(Format2Print),2,MIN(3,IF(OR(LEN(L109)=0,LEN(M109)=0),2,OFFSET(Validation!$A$21,VLOOKUP(LEFT(UPPER(Worksheet!L109),1),Validation!$A$22:$L$30,12,FALSE),(VALUE(LEFT(Worksheet!M109,1))-1)*2+1+IF(IF(RIGHT(Worksheet!L109,1)="+",1,IF(RIGHT(Worksheet!L109,1)="-",-1,0))+IF(RIGHT(Worksheet!M109,1)="+",1,IF(RIGHT(Worksheet!M109,1)="-",-1,0))&gt;0,1,0)))))</f>
        <v>2</v>
      </c>
      <c r="P109" s="159">
        <f ca="1">IF(NOT(Format2Print),2,OFFSET(Validation!$C$53,VLOOKUP(N109,Validation!$A$54:$B$69,2),HLOOKUP(K109,Validation!$D$51:$AD$52,2)))</f>
        <v>2</v>
      </c>
      <c r="U109" s="161" t="b">
        <f>ISERROR(VLOOKUP(LEFT(T109,LEN(T109)-IF(OR(RIGHT(T109)="-",RIGHT(T109)="+"),1,0)),IF(LEFT(Worksheet!S109,1)="N",'macro d''éval'!$N$36:$O$39,'macro d''éval'!$N$42:$O$45),2,FALSE))</f>
        <v>1</v>
      </c>
      <c r="Y109" s="165"/>
    </row>
    <row r="110" spans="10:25">
      <c r="J110" s="154">
        <f ca="1">IF(NOT(Format2Print),2,IF(OR(LEN(G110)=0,LEN(H110)=0,LEN(I110)=0),2,OFFSET(Validation!$A$8,VLOOKUP(LEFT(Worksheet!G110,1),Validation!$A$9:$U$16,21),HLOOKUP(SUBSTITUTE(SUBSTITUTE(SUBSTITUTE(UPPER(Worksheet!H110),"+",""),"-",""),"N","T"),Validation!$B$7:$S$18,12,FALSE)*3+VALUE(LEFT(Worksheet!I110,1)))))</f>
        <v>2</v>
      </c>
      <c r="O110" s="158">
        <f ca="1">IF(NOT(Format2Print),2,MIN(3,IF(OR(LEN(L110)=0,LEN(M110)=0),2,OFFSET(Validation!$A$21,VLOOKUP(LEFT(UPPER(Worksheet!L110),1),Validation!$A$22:$L$30,12,FALSE),(VALUE(LEFT(Worksheet!M110,1))-1)*2+1+IF(IF(RIGHT(Worksheet!L110,1)="+",1,IF(RIGHT(Worksheet!L110,1)="-",-1,0))+IF(RIGHT(Worksheet!M110,1)="+",1,IF(RIGHT(Worksheet!M110,1)="-",-1,0))&gt;0,1,0)))))</f>
        <v>2</v>
      </c>
      <c r="P110" s="159">
        <f ca="1">IF(NOT(Format2Print),2,OFFSET(Validation!$C$53,VLOOKUP(N110,Validation!$A$54:$B$69,2),HLOOKUP(K110,Validation!$D$51:$AD$52,2)))</f>
        <v>2</v>
      </c>
      <c r="U110" s="161" t="b">
        <f>ISERROR(VLOOKUP(LEFT(T110,LEN(T110)-IF(OR(RIGHT(T110)="-",RIGHT(T110)="+"),1,0)),IF(LEFT(Worksheet!S110,1)="N",'macro d''éval'!$N$36:$O$39,'macro d''éval'!$N$42:$O$45),2,FALSE))</f>
        <v>1</v>
      </c>
      <c r="Y110" s="165"/>
    </row>
    <row r="111" spans="10:25">
      <c r="J111" s="154">
        <f ca="1">IF(NOT(Format2Print),2,IF(OR(LEN(G111)=0,LEN(H111)=0,LEN(I111)=0),2,OFFSET(Validation!$A$8,VLOOKUP(LEFT(Worksheet!G111,1),Validation!$A$9:$U$16,21),HLOOKUP(SUBSTITUTE(SUBSTITUTE(SUBSTITUTE(UPPER(Worksheet!H111),"+",""),"-",""),"N","T"),Validation!$B$7:$S$18,12,FALSE)*3+VALUE(LEFT(Worksheet!I111,1)))))</f>
        <v>2</v>
      </c>
      <c r="O111" s="158">
        <f ca="1">IF(NOT(Format2Print),2,MIN(3,IF(OR(LEN(L111)=0,LEN(M111)=0),2,OFFSET(Validation!$A$21,VLOOKUP(LEFT(UPPER(Worksheet!L111),1),Validation!$A$22:$L$30,12,FALSE),(VALUE(LEFT(Worksheet!M111,1))-1)*2+1+IF(IF(RIGHT(Worksheet!L111,1)="+",1,IF(RIGHT(Worksheet!L111,1)="-",-1,0))+IF(RIGHT(Worksheet!M111,1)="+",1,IF(RIGHT(Worksheet!M111,1)="-",-1,0))&gt;0,1,0)))))</f>
        <v>2</v>
      </c>
      <c r="P111" s="159">
        <f ca="1">IF(NOT(Format2Print),2,OFFSET(Validation!$C$53,VLOOKUP(N111,Validation!$A$54:$B$69,2),HLOOKUP(K111,Validation!$D$51:$AD$52,2)))</f>
        <v>2</v>
      </c>
      <c r="U111" s="161" t="b">
        <f>ISERROR(VLOOKUP(LEFT(T111,LEN(T111)-IF(OR(RIGHT(T111)="-",RIGHT(T111)="+"),1,0)),IF(LEFT(Worksheet!S111,1)="N",'macro d''éval'!$N$36:$O$39,'macro d''éval'!$N$42:$O$45),2,FALSE))</f>
        <v>1</v>
      </c>
      <c r="Y111" s="165"/>
    </row>
    <row r="112" spans="10:25">
      <c r="J112" s="154">
        <f ca="1">IF(NOT(Format2Print),2,IF(OR(LEN(G112)=0,LEN(H112)=0,LEN(I112)=0),2,OFFSET(Validation!$A$8,VLOOKUP(LEFT(Worksheet!G112,1),Validation!$A$9:$U$16,21),HLOOKUP(SUBSTITUTE(SUBSTITUTE(SUBSTITUTE(UPPER(Worksheet!H112),"+",""),"-",""),"N","T"),Validation!$B$7:$S$18,12,FALSE)*3+VALUE(LEFT(Worksheet!I112,1)))))</f>
        <v>2</v>
      </c>
      <c r="O112" s="158">
        <f ca="1">IF(NOT(Format2Print),2,MIN(3,IF(OR(LEN(L112)=0,LEN(M112)=0),2,OFFSET(Validation!$A$21,VLOOKUP(LEFT(UPPER(Worksheet!L112),1),Validation!$A$22:$L$30,12,FALSE),(VALUE(LEFT(Worksheet!M112,1))-1)*2+1+IF(IF(RIGHT(Worksheet!L112,1)="+",1,IF(RIGHT(Worksheet!L112,1)="-",-1,0))+IF(RIGHT(Worksheet!M112,1)="+",1,IF(RIGHT(Worksheet!M112,1)="-",-1,0))&gt;0,1,0)))))</f>
        <v>2</v>
      </c>
      <c r="P112" s="159">
        <f ca="1">IF(NOT(Format2Print),2,OFFSET(Validation!$C$53,VLOOKUP(N112,Validation!$A$54:$B$69,2),HLOOKUP(K112,Validation!$D$51:$AD$52,2)))</f>
        <v>2</v>
      </c>
      <c r="U112" s="161" t="b">
        <f>ISERROR(VLOOKUP(LEFT(T112,LEN(T112)-IF(OR(RIGHT(T112)="-",RIGHT(T112)="+"),1,0)),IF(LEFT(Worksheet!S112,1)="N",'macro d''éval'!$N$36:$O$39,'macro d''éval'!$N$42:$O$45),2,FALSE))</f>
        <v>1</v>
      </c>
      <c r="Y112" s="165"/>
    </row>
    <row r="113" spans="10:25">
      <c r="J113" s="154">
        <f ca="1">IF(NOT(Format2Print),2,IF(OR(LEN(G113)=0,LEN(H113)=0,LEN(I113)=0),2,OFFSET(Validation!$A$8,VLOOKUP(LEFT(Worksheet!G113,1),Validation!$A$9:$U$16,21),HLOOKUP(SUBSTITUTE(SUBSTITUTE(SUBSTITUTE(UPPER(Worksheet!H113),"+",""),"-",""),"N","T"),Validation!$B$7:$S$18,12,FALSE)*3+VALUE(LEFT(Worksheet!I113,1)))))</f>
        <v>2</v>
      </c>
      <c r="O113" s="158">
        <f ca="1">IF(NOT(Format2Print),2,MIN(3,IF(OR(LEN(L113)=0,LEN(M113)=0),2,OFFSET(Validation!$A$21,VLOOKUP(LEFT(UPPER(Worksheet!L113),1),Validation!$A$22:$L$30,12,FALSE),(VALUE(LEFT(Worksheet!M113,1))-1)*2+1+IF(IF(RIGHT(Worksheet!L113,1)="+",1,IF(RIGHT(Worksheet!L113,1)="-",-1,0))+IF(RIGHT(Worksheet!M113,1)="+",1,IF(RIGHT(Worksheet!M113,1)="-",-1,0))&gt;0,1,0)))))</f>
        <v>2</v>
      </c>
      <c r="P113" s="159">
        <f ca="1">IF(NOT(Format2Print),2,OFFSET(Validation!$C$53,VLOOKUP(N113,Validation!$A$54:$B$69,2),HLOOKUP(K113,Validation!$D$51:$AD$52,2)))</f>
        <v>2</v>
      </c>
      <c r="U113" s="161" t="b">
        <f>ISERROR(VLOOKUP(LEFT(T113,LEN(T113)-IF(OR(RIGHT(T113)="-",RIGHT(T113)="+"),1,0)),IF(LEFT(Worksheet!S113,1)="N",'macro d''éval'!$N$36:$O$39,'macro d''éval'!$N$42:$O$45),2,FALSE))</f>
        <v>1</v>
      </c>
      <c r="Y113" s="165"/>
    </row>
    <row r="114" spans="10:25">
      <c r="J114" s="154">
        <f ca="1">IF(NOT(Format2Print),2,IF(OR(LEN(G114)=0,LEN(H114)=0,LEN(I114)=0),2,OFFSET(Validation!$A$8,VLOOKUP(LEFT(Worksheet!G114,1),Validation!$A$9:$U$16,21),HLOOKUP(SUBSTITUTE(SUBSTITUTE(SUBSTITUTE(UPPER(Worksheet!H114),"+",""),"-",""),"N","T"),Validation!$B$7:$S$18,12,FALSE)*3+VALUE(LEFT(Worksheet!I114,1)))))</f>
        <v>2</v>
      </c>
      <c r="O114" s="158">
        <f ca="1">IF(NOT(Format2Print),2,MIN(3,IF(OR(LEN(L114)=0,LEN(M114)=0),2,OFFSET(Validation!$A$21,VLOOKUP(LEFT(UPPER(Worksheet!L114),1),Validation!$A$22:$L$30,12,FALSE),(VALUE(LEFT(Worksheet!M114,1))-1)*2+1+IF(IF(RIGHT(Worksheet!L114,1)="+",1,IF(RIGHT(Worksheet!L114,1)="-",-1,0))+IF(RIGHT(Worksheet!M114,1)="+",1,IF(RIGHT(Worksheet!M114,1)="-",-1,0))&gt;0,1,0)))))</f>
        <v>2</v>
      </c>
      <c r="P114" s="159">
        <f ca="1">IF(NOT(Format2Print),2,OFFSET(Validation!$C$53,VLOOKUP(N114,Validation!$A$54:$B$69,2),HLOOKUP(K114,Validation!$D$51:$AD$52,2)))</f>
        <v>2</v>
      </c>
      <c r="U114" s="161" t="b">
        <f>ISERROR(VLOOKUP(LEFT(T114,LEN(T114)-IF(OR(RIGHT(T114)="-",RIGHT(T114)="+"),1,0)),IF(LEFT(Worksheet!S114,1)="N",'macro d''éval'!$N$36:$O$39,'macro d''éval'!$N$42:$O$45),2,FALSE))</f>
        <v>1</v>
      </c>
      <c r="Y114" s="165"/>
    </row>
    <row r="115" spans="10:25">
      <c r="J115" s="154">
        <f ca="1">IF(NOT(Format2Print),2,IF(OR(LEN(G115)=0,LEN(H115)=0,LEN(I115)=0),2,OFFSET(Validation!$A$8,VLOOKUP(LEFT(Worksheet!G115,1),Validation!$A$9:$U$16,21),HLOOKUP(SUBSTITUTE(SUBSTITUTE(SUBSTITUTE(UPPER(Worksheet!H115),"+",""),"-",""),"N","T"),Validation!$B$7:$S$18,12,FALSE)*3+VALUE(LEFT(Worksheet!I115,1)))))</f>
        <v>2</v>
      </c>
      <c r="O115" s="158">
        <f ca="1">IF(NOT(Format2Print),2,MIN(3,IF(OR(LEN(L115)=0,LEN(M115)=0),2,OFFSET(Validation!$A$21,VLOOKUP(LEFT(UPPER(Worksheet!L115),1),Validation!$A$22:$L$30,12,FALSE),(VALUE(LEFT(Worksheet!M115,1))-1)*2+1+IF(IF(RIGHT(Worksheet!L115,1)="+",1,IF(RIGHT(Worksheet!L115,1)="-",-1,0))+IF(RIGHT(Worksheet!M115,1)="+",1,IF(RIGHT(Worksheet!M115,1)="-",-1,0))&gt;0,1,0)))))</f>
        <v>2</v>
      </c>
      <c r="P115" s="159">
        <f ca="1">IF(NOT(Format2Print),2,OFFSET(Validation!$C$53,VLOOKUP(N115,Validation!$A$54:$B$69,2),HLOOKUP(K115,Validation!$D$51:$AD$52,2)))</f>
        <v>2</v>
      </c>
      <c r="U115" s="161" t="b">
        <f>ISERROR(VLOOKUP(LEFT(T115,LEN(T115)-IF(OR(RIGHT(T115)="-",RIGHT(T115)="+"),1,0)),IF(LEFT(Worksheet!S115,1)="N",'macro d''éval'!$N$36:$O$39,'macro d''éval'!$N$42:$O$45),2,FALSE))</f>
        <v>1</v>
      </c>
      <c r="Y115" s="165"/>
    </row>
    <row r="116" spans="10:25">
      <c r="J116" s="154">
        <f ca="1">IF(NOT(Format2Print),2,IF(OR(LEN(G116)=0,LEN(H116)=0,LEN(I116)=0),2,OFFSET(Validation!$A$8,VLOOKUP(LEFT(Worksheet!G116,1),Validation!$A$9:$U$16,21),HLOOKUP(SUBSTITUTE(SUBSTITUTE(SUBSTITUTE(UPPER(Worksheet!H116),"+",""),"-",""),"N","T"),Validation!$B$7:$S$18,12,FALSE)*3+VALUE(LEFT(Worksheet!I116,1)))))</f>
        <v>2</v>
      </c>
      <c r="O116" s="158">
        <f ca="1">IF(NOT(Format2Print),2,MIN(3,IF(OR(LEN(L116)=0,LEN(M116)=0),2,OFFSET(Validation!$A$21,VLOOKUP(LEFT(UPPER(Worksheet!L116),1),Validation!$A$22:$L$30,12,FALSE),(VALUE(LEFT(Worksheet!M116,1))-1)*2+1+IF(IF(RIGHT(Worksheet!L116,1)="+",1,IF(RIGHT(Worksheet!L116,1)="-",-1,0))+IF(RIGHT(Worksheet!M116,1)="+",1,IF(RIGHT(Worksheet!M116,1)="-",-1,0))&gt;0,1,0)))))</f>
        <v>2</v>
      </c>
      <c r="P116" s="159">
        <f ca="1">IF(NOT(Format2Print),2,OFFSET(Validation!$C$53,VLOOKUP(N116,Validation!$A$54:$B$69,2),HLOOKUP(K116,Validation!$D$51:$AD$52,2)))</f>
        <v>2</v>
      </c>
      <c r="U116" s="161" t="b">
        <f>ISERROR(VLOOKUP(LEFT(T116,LEN(T116)-IF(OR(RIGHT(T116)="-",RIGHT(T116)="+"),1,0)),IF(LEFT(Worksheet!S116,1)="N",'macro d''éval'!$N$36:$O$39,'macro d''éval'!$N$42:$O$45),2,FALSE))</f>
        <v>1</v>
      </c>
      <c r="Y116" s="165"/>
    </row>
    <row r="117" spans="10:25">
      <c r="J117" s="154">
        <f ca="1">IF(NOT(Format2Print),2,IF(OR(LEN(G117)=0,LEN(H117)=0,LEN(I117)=0),2,OFFSET(Validation!$A$8,VLOOKUP(LEFT(Worksheet!G117,1),Validation!$A$9:$U$16,21),HLOOKUP(SUBSTITUTE(SUBSTITUTE(SUBSTITUTE(UPPER(Worksheet!H117),"+",""),"-",""),"N","T"),Validation!$B$7:$S$18,12,FALSE)*3+VALUE(LEFT(Worksheet!I117,1)))))</f>
        <v>2</v>
      </c>
      <c r="O117" s="158">
        <f ca="1">IF(NOT(Format2Print),2,MIN(3,IF(OR(LEN(L117)=0,LEN(M117)=0),2,OFFSET(Validation!$A$21,VLOOKUP(LEFT(UPPER(Worksheet!L117),1),Validation!$A$22:$L$30,12,FALSE),(VALUE(LEFT(Worksheet!M117,1))-1)*2+1+IF(IF(RIGHT(Worksheet!L117,1)="+",1,IF(RIGHT(Worksheet!L117,1)="-",-1,0))+IF(RIGHT(Worksheet!M117,1)="+",1,IF(RIGHT(Worksheet!M117,1)="-",-1,0))&gt;0,1,0)))))</f>
        <v>2</v>
      </c>
      <c r="P117" s="159">
        <f ca="1">IF(NOT(Format2Print),2,OFFSET(Validation!$C$53,VLOOKUP(N117,Validation!$A$54:$B$69,2),HLOOKUP(K117,Validation!$D$51:$AD$52,2)))</f>
        <v>2</v>
      </c>
      <c r="U117" s="161" t="b">
        <f>ISERROR(VLOOKUP(LEFT(T117,LEN(T117)-IF(OR(RIGHT(T117)="-",RIGHT(T117)="+"),1,0)),IF(LEFT(Worksheet!S117,1)="N",'macro d''éval'!$N$36:$O$39,'macro d''éval'!$N$42:$O$45),2,FALSE))</f>
        <v>1</v>
      </c>
      <c r="Y117" s="165"/>
    </row>
    <row r="118" spans="10:25">
      <c r="J118" s="154">
        <f ca="1">IF(NOT(Format2Print),2,IF(OR(LEN(G118)=0,LEN(H118)=0,LEN(I118)=0),2,OFFSET(Validation!$A$8,VLOOKUP(LEFT(Worksheet!G118,1),Validation!$A$9:$U$16,21),HLOOKUP(SUBSTITUTE(SUBSTITUTE(SUBSTITUTE(UPPER(Worksheet!H118),"+",""),"-",""),"N","T"),Validation!$B$7:$S$18,12,FALSE)*3+VALUE(LEFT(Worksheet!I118,1)))))</f>
        <v>2</v>
      </c>
      <c r="O118" s="158">
        <f ca="1">IF(NOT(Format2Print),2,MIN(3,IF(OR(LEN(L118)=0,LEN(M118)=0),2,OFFSET(Validation!$A$21,VLOOKUP(LEFT(UPPER(Worksheet!L118),1),Validation!$A$22:$L$30,12,FALSE),(VALUE(LEFT(Worksheet!M118,1))-1)*2+1+IF(IF(RIGHT(Worksheet!L118,1)="+",1,IF(RIGHT(Worksheet!L118,1)="-",-1,0))+IF(RIGHT(Worksheet!M118,1)="+",1,IF(RIGHT(Worksheet!M118,1)="-",-1,0))&gt;0,1,0)))))</f>
        <v>2</v>
      </c>
      <c r="P118" s="159">
        <f ca="1">IF(NOT(Format2Print),2,OFFSET(Validation!$C$53,VLOOKUP(N118,Validation!$A$54:$B$69,2),HLOOKUP(K118,Validation!$D$51:$AD$52,2)))</f>
        <v>2</v>
      </c>
      <c r="U118" s="161" t="b">
        <f>ISERROR(VLOOKUP(LEFT(T118,LEN(T118)-IF(OR(RIGHT(T118)="-",RIGHT(T118)="+"),1,0)),IF(LEFT(Worksheet!S118,1)="N",'macro d''éval'!$N$36:$O$39,'macro d''éval'!$N$42:$O$45),2,FALSE))</f>
        <v>1</v>
      </c>
      <c r="Y118" s="165"/>
    </row>
    <row r="119" spans="10:25">
      <c r="J119" s="154">
        <f ca="1">IF(NOT(Format2Print),2,IF(OR(LEN(G119)=0,LEN(H119)=0,LEN(I119)=0),2,OFFSET(Validation!$A$8,VLOOKUP(LEFT(Worksheet!G119,1),Validation!$A$9:$U$16,21),HLOOKUP(SUBSTITUTE(SUBSTITUTE(SUBSTITUTE(UPPER(Worksheet!H119),"+",""),"-",""),"N","T"),Validation!$B$7:$S$18,12,FALSE)*3+VALUE(LEFT(Worksheet!I119,1)))))</f>
        <v>2</v>
      </c>
      <c r="O119" s="158">
        <f ca="1">IF(NOT(Format2Print),2,MIN(3,IF(OR(LEN(L119)=0,LEN(M119)=0),2,OFFSET(Validation!$A$21,VLOOKUP(LEFT(UPPER(Worksheet!L119),1),Validation!$A$22:$L$30,12,FALSE),(VALUE(LEFT(Worksheet!M119,1))-1)*2+1+IF(IF(RIGHT(Worksheet!L119,1)="+",1,IF(RIGHT(Worksheet!L119,1)="-",-1,0))+IF(RIGHT(Worksheet!M119,1)="+",1,IF(RIGHT(Worksheet!M119,1)="-",-1,0))&gt;0,1,0)))))</f>
        <v>2</v>
      </c>
      <c r="P119" s="159">
        <f ca="1">IF(NOT(Format2Print),2,OFFSET(Validation!$C$53,VLOOKUP(N119,Validation!$A$54:$B$69,2),HLOOKUP(K119,Validation!$D$51:$AD$52,2)))</f>
        <v>2</v>
      </c>
      <c r="U119" s="161" t="b">
        <f>ISERROR(VLOOKUP(LEFT(T119,LEN(T119)-IF(OR(RIGHT(T119)="-",RIGHT(T119)="+"),1,0)),IF(LEFT(Worksheet!S119,1)="N",'macro d''éval'!$N$36:$O$39,'macro d''éval'!$N$42:$O$45),2,FALSE))</f>
        <v>1</v>
      </c>
      <c r="Y119" s="165"/>
    </row>
    <row r="120" spans="10:25">
      <c r="J120" s="154">
        <f ca="1">IF(NOT(Format2Print),2,IF(OR(LEN(G120)=0,LEN(H120)=0,LEN(I120)=0),2,OFFSET(Validation!$A$8,VLOOKUP(LEFT(Worksheet!G120,1),Validation!$A$9:$U$16,21),HLOOKUP(SUBSTITUTE(SUBSTITUTE(SUBSTITUTE(UPPER(Worksheet!H120),"+",""),"-",""),"N","T"),Validation!$B$7:$S$18,12,FALSE)*3+VALUE(LEFT(Worksheet!I120,1)))))</f>
        <v>2</v>
      </c>
      <c r="O120" s="158">
        <f ca="1">IF(NOT(Format2Print),2,MIN(3,IF(OR(LEN(L120)=0,LEN(M120)=0),2,OFFSET(Validation!$A$21,VLOOKUP(LEFT(UPPER(Worksheet!L120),1),Validation!$A$22:$L$30,12,FALSE),(VALUE(LEFT(Worksheet!M120,1))-1)*2+1+IF(IF(RIGHT(Worksheet!L120,1)="+",1,IF(RIGHT(Worksheet!L120,1)="-",-1,0))+IF(RIGHT(Worksheet!M120,1)="+",1,IF(RIGHT(Worksheet!M120,1)="-",-1,0))&gt;0,1,0)))))</f>
        <v>2</v>
      </c>
      <c r="P120" s="159">
        <f ca="1">IF(NOT(Format2Print),2,OFFSET(Validation!$C$53,VLOOKUP(N120,Validation!$A$54:$B$69,2),HLOOKUP(K120,Validation!$D$51:$AD$52,2)))</f>
        <v>2</v>
      </c>
      <c r="U120" s="161" t="b">
        <f>ISERROR(VLOOKUP(LEFT(T120,LEN(T120)-IF(OR(RIGHT(T120)="-",RIGHT(T120)="+"),1,0)),IF(LEFT(Worksheet!S120,1)="N",'macro d''éval'!$N$36:$O$39,'macro d''éval'!$N$42:$O$45),2,FALSE))</f>
        <v>1</v>
      </c>
      <c r="Y120" s="165"/>
    </row>
    <row r="121" spans="10:25">
      <c r="J121" s="154">
        <f ca="1">IF(NOT(Format2Print),2,IF(OR(LEN(G121)=0,LEN(H121)=0,LEN(I121)=0),2,OFFSET(Validation!$A$8,VLOOKUP(LEFT(Worksheet!G121,1),Validation!$A$9:$U$16,21),HLOOKUP(SUBSTITUTE(SUBSTITUTE(SUBSTITUTE(UPPER(Worksheet!H121),"+",""),"-",""),"N","T"),Validation!$B$7:$S$18,12,FALSE)*3+VALUE(LEFT(Worksheet!I121,1)))))</f>
        <v>2</v>
      </c>
      <c r="O121" s="158">
        <f ca="1">IF(NOT(Format2Print),2,MIN(3,IF(OR(LEN(L121)=0,LEN(M121)=0),2,OFFSET(Validation!$A$21,VLOOKUP(LEFT(UPPER(Worksheet!L121),1),Validation!$A$22:$L$30,12,FALSE),(VALUE(LEFT(Worksheet!M121,1))-1)*2+1+IF(IF(RIGHT(Worksheet!L121,1)="+",1,IF(RIGHT(Worksheet!L121,1)="-",-1,0))+IF(RIGHT(Worksheet!M121,1)="+",1,IF(RIGHT(Worksheet!M121,1)="-",-1,0))&gt;0,1,0)))))</f>
        <v>2</v>
      </c>
      <c r="P121" s="159">
        <f ca="1">IF(NOT(Format2Print),2,OFFSET(Validation!$C$53,VLOOKUP(N121,Validation!$A$54:$B$69,2),HLOOKUP(K121,Validation!$D$51:$AD$52,2)))</f>
        <v>2</v>
      </c>
      <c r="U121" s="161" t="b">
        <f>ISERROR(VLOOKUP(LEFT(T121,LEN(T121)-IF(OR(RIGHT(T121)="-",RIGHT(T121)="+"),1,0)),IF(LEFT(Worksheet!S121,1)="N",'macro d''éval'!$N$36:$O$39,'macro d''éval'!$N$42:$O$45),2,FALSE))</f>
        <v>1</v>
      </c>
      <c r="Y121" s="165"/>
    </row>
    <row r="122" spans="10:25">
      <c r="J122" s="154">
        <f ca="1">IF(NOT(Format2Print),2,IF(OR(LEN(G122)=0,LEN(H122)=0,LEN(I122)=0),2,OFFSET(Validation!$A$8,VLOOKUP(LEFT(Worksheet!G122,1),Validation!$A$9:$U$16,21),HLOOKUP(SUBSTITUTE(SUBSTITUTE(SUBSTITUTE(UPPER(Worksheet!H122),"+",""),"-",""),"N","T"),Validation!$B$7:$S$18,12,FALSE)*3+VALUE(LEFT(Worksheet!I122,1)))))</f>
        <v>2</v>
      </c>
      <c r="O122" s="158">
        <f ca="1">IF(NOT(Format2Print),2,MIN(3,IF(OR(LEN(L122)=0,LEN(M122)=0),2,OFFSET(Validation!$A$21,VLOOKUP(LEFT(UPPER(Worksheet!L122),1),Validation!$A$22:$L$30,12,FALSE),(VALUE(LEFT(Worksheet!M122,1))-1)*2+1+IF(IF(RIGHT(Worksheet!L122,1)="+",1,IF(RIGHT(Worksheet!L122,1)="-",-1,0))+IF(RIGHT(Worksheet!M122,1)="+",1,IF(RIGHT(Worksheet!M122,1)="-",-1,0))&gt;0,1,0)))))</f>
        <v>2</v>
      </c>
      <c r="P122" s="159">
        <f ca="1">IF(NOT(Format2Print),2,OFFSET(Validation!$C$53,VLOOKUP(N122,Validation!$A$54:$B$69,2),HLOOKUP(K122,Validation!$D$51:$AD$52,2)))</f>
        <v>2</v>
      </c>
      <c r="U122" s="161" t="b">
        <f>ISERROR(VLOOKUP(LEFT(T122,LEN(T122)-IF(OR(RIGHT(T122)="-",RIGHT(T122)="+"),1,0)),IF(LEFT(Worksheet!S122,1)="N",'macro d''éval'!$N$36:$O$39,'macro d''éval'!$N$42:$O$45),2,FALSE))</f>
        <v>1</v>
      </c>
      <c r="Y122" s="165"/>
    </row>
    <row r="123" spans="10:25">
      <c r="J123" s="154">
        <f ca="1">IF(NOT(Format2Print),2,IF(OR(LEN(G123)=0,LEN(H123)=0,LEN(I123)=0),2,OFFSET(Validation!$A$8,VLOOKUP(LEFT(Worksheet!G123,1),Validation!$A$9:$U$16,21),HLOOKUP(SUBSTITUTE(SUBSTITUTE(SUBSTITUTE(UPPER(Worksheet!H123),"+",""),"-",""),"N","T"),Validation!$B$7:$S$18,12,FALSE)*3+VALUE(LEFT(Worksheet!I123,1)))))</f>
        <v>2</v>
      </c>
      <c r="O123" s="158">
        <f ca="1">IF(NOT(Format2Print),2,MIN(3,IF(OR(LEN(L123)=0,LEN(M123)=0),2,OFFSET(Validation!$A$21,VLOOKUP(LEFT(UPPER(Worksheet!L123),1),Validation!$A$22:$L$30,12,FALSE),(VALUE(LEFT(Worksheet!M123,1))-1)*2+1+IF(IF(RIGHT(Worksheet!L123,1)="+",1,IF(RIGHT(Worksheet!L123,1)="-",-1,0))+IF(RIGHT(Worksheet!M123,1)="+",1,IF(RIGHT(Worksheet!M123,1)="-",-1,0))&gt;0,1,0)))))</f>
        <v>2</v>
      </c>
      <c r="P123" s="159">
        <f ca="1">IF(NOT(Format2Print),2,OFFSET(Validation!$C$53,VLOOKUP(N123,Validation!$A$54:$B$69,2),HLOOKUP(K123,Validation!$D$51:$AD$52,2)))</f>
        <v>2</v>
      </c>
      <c r="U123" s="161" t="b">
        <f>ISERROR(VLOOKUP(LEFT(T123,LEN(T123)-IF(OR(RIGHT(T123)="-",RIGHT(T123)="+"),1,0)),IF(LEFT(Worksheet!S123,1)="N",'macro d''éval'!$N$36:$O$39,'macro d''éval'!$N$42:$O$45),2,FALSE))</f>
        <v>1</v>
      </c>
      <c r="Y123" s="165"/>
    </row>
    <row r="124" spans="10:25">
      <c r="J124" s="154">
        <f ca="1">IF(NOT(Format2Print),2,IF(OR(LEN(G124)=0,LEN(H124)=0,LEN(I124)=0),2,OFFSET(Validation!$A$8,VLOOKUP(LEFT(Worksheet!G124,1),Validation!$A$9:$U$16,21),HLOOKUP(SUBSTITUTE(SUBSTITUTE(SUBSTITUTE(UPPER(Worksheet!H124),"+",""),"-",""),"N","T"),Validation!$B$7:$S$18,12,FALSE)*3+VALUE(LEFT(Worksheet!I124,1)))))</f>
        <v>2</v>
      </c>
      <c r="O124" s="158">
        <f ca="1">IF(NOT(Format2Print),2,MIN(3,IF(OR(LEN(L124)=0,LEN(M124)=0),2,OFFSET(Validation!$A$21,VLOOKUP(LEFT(UPPER(Worksheet!L124),1),Validation!$A$22:$L$30,12,FALSE),(VALUE(LEFT(Worksheet!M124,1))-1)*2+1+IF(IF(RIGHT(Worksheet!L124,1)="+",1,IF(RIGHT(Worksheet!L124,1)="-",-1,0))+IF(RIGHT(Worksheet!M124,1)="+",1,IF(RIGHT(Worksheet!M124,1)="-",-1,0))&gt;0,1,0)))))</f>
        <v>2</v>
      </c>
      <c r="P124" s="159">
        <f ca="1">IF(NOT(Format2Print),2,OFFSET(Validation!$C$53,VLOOKUP(N124,Validation!$A$54:$B$69,2),HLOOKUP(K124,Validation!$D$51:$AD$52,2)))</f>
        <v>2</v>
      </c>
      <c r="U124" s="161" t="b">
        <f>ISERROR(VLOOKUP(LEFT(T124,LEN(T124)-IF(OR(RIGHT(T124)="-",RIGHT(T124)="+"),1,0)),IF(LEFT(Worksheet!S124,1)="N",'macro d''éval'!$N$36:$O$39,'macro d''éval'!$N$42:$O$45),2,FALSE))</f>
        <v>1</v>
      </c>
      <c r="Y124" s="165"/>
    </row>
    <row r="125" spans="10:25">
      <c r="J125" s="154">
        <f ca="1">IF(NOT(Format2Print),2,IF(OR(LEN(G125)=0,LEN(H125)=0,LEN(I125)=0),2,OFFSET(Validation!$A$8,VLOOKUP(LEFT(Worksheet!G125,1),Validation!$A$9:$U$16,21),HLOOKUP(SUBSTITUTE(SUBSTITUTE(SUBSTITUTE(UPPER(Worksheet!H125),"+",""),"-",""),"N","T"),Validation!$B$7:$S$18,12,FALSE)*3+VALUE(LEFT(Worksheet!I125,1)))))</f>
        <v>2</v>
      </c>
      <c r="O125" s="158">
        <f ca="1">IF(NOT(Format2Print),2,MIN(3,IF(OR(LEN(L125)=0,LEN(M125)=0),2,OFFSET(Validation!$A$21,VLOOKUP(LEFT(UPPER(Worksheet!L125),1),Validation!$A$22:$L$30,12,FALSE),(VALUE(LEFT(Worksheet!M125,1))-1)*2+1+IF(IF(RIGHT(Worksheet!L125,1)="+",1,IF(RIGHT(Worksheet!L125,1)="-",-1,0))+IF(RIGHT(Worksheet!M125,1)="+",1,IF(RIGHT(Worksheet!M125,1)="-",-1,0))&gt;0,1,0)))))</f>
        <v>2</v>
      </c>
      <c r="P125" s="159">
        <f ca="1">IF(NOT(Format2Print),2,OFFSET(Validation!$C$53,VLOOKUP(N125,Validation!$A$54:$B$69,2),HLOOKUP(K125,Validation!$D$51:$AD$52,2)))</f>
        <v>2</v>
      </c>
      <c r="U125" s="161" t="b">
        <f>ISERROR(VLOOKUP(LEFT(T125,LEN(T125)-IF(OR(RIGHT(T125)="-",RIGHT(T125)="+"),1,0)),IF(LEFT(Worksheet!S125,1)="N",'macro d''éval'!$N$36:$O$39,'macro d''éval'!$N$42:$O$45),2,FALSE))</f>
        <v>1</v>
      </c>
      <c r="Y125" s="165"/>
    </row>
    <row r="126" spans="10:25">
      <c r="J126" s="154">
        <f ca="1">IF(NOT(Format2Print),2,IF(OR(LEN(G126)=0,LEN(H126)=0,LEN(I126)=0),2,OFFSET(Validation!$A$8,VLOOKUP(LEFT(Worksheet!G126,1),Validation!$A$9:$U$16,21),HLOOKUP(SUBSTITUTE(SUBSTITUTE(SUBSTITUTE(UPPER(Worksheet!H126),"+",""),"-",""),"N","T"),Validation!$B$7:$S$18,12,FALSE)*3+VALUE(LEFT(Worksheet!I126,1)))))</f>
        <v>2</v>
      </c>
      <c r="O126" s="158">
        <f ca="1">IF(NOT(Format2Print),2,MIN(3,IF(OR(LEN(L126)=0,LEN(M126)=0),2,OFFSET(Validation!$A$21,VLOOKUP(LEFT(UPPER(Worksheet!L126),1),Validation!$A$22:$L$30,12,FALSE),(VALUE(LEFT(Worksheet!M126,1))-1)*2+1+IF(IF(RIGHT(Worksheet!L126,1)="+",1,IF(RIGHT(Worksheet!L126,1)="-",-1,0))+IF(RIGHT(Worksheet!M126,1)="+",1,IF(RIGHT(Worksheet!M126,1)="-",-1,0))&gt;0,1,0)))))</f>
        <v>2</v>
      </c>
      <c r="P126" s="159">
        <f ca="1">IF(NOT(Format2Print),2,OFFSET(Validation!$C$53,VLOOKUP(N126,Validation!$A$54:$B$69,2),HLOOKUP(K126,Validation!$D$51:$AD$52,2)))</f>
        <v>2</v>
      </c>
      <c r="U126" s="161" t="b">
        <f>ISERROR(VLOOKUP(LEFT(T126,LEN(T126)-IF(OR(RIGHT(T126)="-",RIGHT(T126)="+"),1,0)),IF(LEFT(Worksheet!S126,1)="N",'macro d''éval'!$N$36:$O$39,'macro d''éval'!$N$42:$O$45),2,FALSE))</f>
        <v>1</v>
      </c>
      <c r="Y126" s="165"/>
    </row>
    <row r="127" spans="10:25">
      <c r="J127" s="154">
        <f ca="1">IF(NOT(Format2Print),2,IF(OR(LEN(G127)=0,LEN(H127)=0,LEN(I127)=0),2,OFFSET(Validation!$A$8,VLOOKUP(LEFT(Worksheet!G127,1),Validation!$A$9:$U$16,21),HLOOKUP(SUBSTITUTE(SUBSTITUTE(SUBSTITUTE(UPPER(Worksheet!H127),"+",""),"-",""),"N","T"),Validation!$B$7:$S$18,12,FALSE)*3+VALUE(LEFT(Worksheet!I127,1)))))</f>
        <v>2</v>
      </c>
      <c r="O127" s="158">
        <f ca="1">IF(NOT(Format2Print),2,MIN(3,IF(OR(LEN(L127)=0,LEN(M127)=0),2,OFFSET(Validation!$A$21,VLOOKUP(LEFT(UPPER(Worksheet!L127),1),Validation!$A$22:$L$30,12,FALSE),(VALUE(LEFT(Worksheet!M127,1))-1)*2+1+IF(IF(RIGHT(Worksheet!L127,1)="+",1,IF(RIGHT(Worksheet!L127,1)="-",-1,0))+IF(RIGHT(Worksheet!M127,1)="+",1,IF(RIGHT(Worksheet!M127,1)="-",-1,0))&gt;0,1,0)))))</f>
        <v>2</v>
      </c>
      <c r="P127" s="159">
        <f ca="1">IF(NOT(Format2Print),2,OFFSET(Validation!$C$53,VLOOKUP(N127,Validation!$A$54:$B$69,2),HLOOKUP(K127,Validation!$D$51:$AD$52,2)))</f>
        <v>2</v>
      </c>
      <c r="U127" s="161" t="b">
        <f>ISERROR(VLOOKUP(LEFT(T127,LEN(T127)-IF(OR(RIGHT(T127)="-",RIGHT(T127)="+"),1,0)),IF(LEFT(Worksheet!S127,1)="N",'macro d''éval'!$N$36:$O$39,'macro d''éval'!$N$42:$O$45),2,FALSE))</f>
        <v>1</v>
      </c>
      <c r="Y127" s="165"/>
    </row>
    <row r="128" spans="10:25">
      <c r="J128" s="154">
        <f ca="1">IF(NOT(Format2Print),2,IF(OR(LEN(G128)=0,LEN(H128)=0,LEN(I128)=0),2,OFFSET(Validation!$A$8,VLOOKUP(LEFT(Worksheet!G128,1),Validation!$A$9:$U$16,21),HLOOKUP(SUBSTITUTE(SUBSTITUTE(SUBSTITUTE(UPPER(Worksheet!H128),"+",""),"-",""),"N","T"),Validation!$B$7:$S$18,12,FALSE)*3+VALUE(LEFT(Worksheet!I128,1)))))</f>
        <v>2</v>
      </c>
      <c r="O128" s="158">
        <f ca="1">IF(NOT(Format2Print),2,MIN(3,IF(OR(LEN(L128)=0,LEN(M128)=0),2,OFFSET(Validation!$A$21,VLOOKUP(LEFT(UPPER(Worksheet!L128),1),Validation!$A$22:$L$30,12,FALSE),(VALUE(LEFT(Worksheet!M128,1))-1)*2+1+IF(IF(RIGHT(Worksheet!L128,1)="+",1,IF(RIGHT(Worksheet!L128,1)="-",-1,0))+IF(RIGHT(Worksheet!M128,1)="+",1,IF(RIGHT(Worksheet!M128,1)="-",-1,0))&gt;0,1,0)))))</f>
        <v>2</v>
      </c>
      <c r="P128" s="159">
        <f ca="1">IF(NOT(Format2Print),2,OFFSET(Validation!$C$53,VLOOKUP(N128,Validation!$A$54:$B$69,2),HLOOKUP(K128,Validation!$D$51:$AD$52,2)))</f>
        <v>2</v>
      </c>
      <c r="U128" s="161" t="b">
        <f>ISERROR(VLOOKUP(LEFT(T128,LEN(T128)-IF(OR(RIGHT(T128)="-",RIGHT(T128)="+"),1,0)),IF(LEFT(Worksheet!S128,1)="N",'macro d''éval'!$N$36:$O$39,'macro d''éval'!$N$42:$O$45),2,FALSE))</f>
        <v>1</v>
      </c>
      <c r="Y128" s="165"/>
    </row>
    <row r="129" spans="10:25">
      <c r="J129" s="154">
        <f ca="1">IF(NOT(Format2Print),2,IF(OR(LEN(G129)=0,LEN(H129)=0,LEN(I129)=0),2,OFFSET(Validation!$A$8,VLOOKUP(LEFT(Worksheet!G129,1),Validation!$A$9:$U$16,21),HLOOKUP(SUBSTITUTE(SUBSTITUTE(SUBSTITUTE(UPPER(Worksheet!H129),"+",""),"-",""),"N","T"),Validation!$B$7:$S$18,12,FALSE)*3+VALUE(LEFT(Worksheet!I129,1)))))</f>
        <v>2</v>
      </c>
      <c r="O129" s="158">
        <f ca="1">IF(NOT(Format2Print),2,MIN(3,IF(OR(LEN(L129)=0,LEN(M129)=0),2,OFFSET(Validation!$A$21,VLOOKUP(LEFT(UPPER(Worksheet!L129),1),Validation!$A$22:$L$30,12,FALSE),(VALUE(LEFT(Worksheet!M129,1))-1)*2+1+IF(IF(RIGHT(Worksheet!L129,1)="+",1,IF(RIGHT(Worksheet!L129,1)="-",-1,0))+IF(RIGHT(Worksheet!M129,1)="+",1,IF(RIGHT(Worksheet!M129,1)="-",-1,0))&gt;0,1,0)))))</f>
        <v>2</v>
      </c>
      <c r="P129" s="159">
        <f ca="1">IF(NOT(Format2Print),2,OFFSET(Validation!$C$53,VLOOKUP(N129,Validation!$A$54:$B$69,2),HLOOKUP(K129,Validation!$D$51:$AD$52,2)))</f>
        <v>2</v>
      </c>
      <c r="U129" s="161" t="b">
        <f>ISERROR(VLOOKUP(LEFT(T129,LEN(T129)-IF(OR(RIGHT(T129)="-",RIGHT(T129)="+"),1,0)),IF(LEFT(Worksheet!S129,1)="N",'macro d''éval'!$N$36:$O$39,'macro d''éval'!$N$42:$O$45),2,FALSE))</f>
        <v>1</v>
      </c>
      <c r="Y129" s="165"/>
    </row>
    <row r="130" spans="10:25">
      <c r="J130" s="154">
        <f ca="1">IF(NOT(Format2Print),2,IF(OR(LEN(G130)=0,LEN(H130)=0,LEN(I130)=0),2,OFFSET(Validation!$A$8,VLOOKUP(LEFT(Worksheet!G130,1),Validation!$A$9:$U$16,21),HLOOKUP(SUBSTITUTE(SUBSTITUTE(SUBSTITUTE(UPPER(Worksheet!H130),"+",""),"-",""),"N","T"),Validation!$B$7:$S$18,12,FALSE)*3+VALUE(LEFT(Worksheet!I130,1)))))</f>
        <v>2</v>
      </c>
      <c r="O130" s="158">
        <f ca="1">IF(NOT(Format2Print),2,MIN(3,IF(OR(LEN(L130)=0,LEN(M130)=0),2,OFFSET(Validation!$A$21,VLOOKUP(LEFT(UPPER(Worksheet!L130),1),Validation!$A$22:$L$30,12,FALSE),(VALUE(LEFT(Worksheet!M130,1))-1)*2+1+IF(IF(RIGHT(Worksheet!L130,1)="+",1,IF(RIGHT(Worksheet!L130,1)="-",-1,0))+IF(RIGHT(Worksheet!M130,1)="+",1,IF(RIGHT(Worksheet!M130,1)="-",-1,0))&gt;0,1,0)))))</f>
        <v>2</v>
      </c>
      <c r="P130" s="159">
        <f ca="1">IF(NOT(Format2Print),2,OFFSET(Validation!$C$53,VLOOKUP(N130,Validation!$A$54:$B$69,2),HLOOKUP(K130,Validation!$D$51:$AD$52,2)))</f>
        <v>2</v>
      </c>
      <c r="U130" s="161" t="b">
        <f>ISERROR(VLOOKUP(LEFT(T130,LEN(T130)-IF(OR(RIGHT(T130)="-",RIGHT(T130)="+"),1,0)),IF(LEFT(Worksheet!S130,1)="N",'macro d''éval'!$N$36:$O$39,'macro d''éval'!$N$42:$O$45),2,FALSE))</f>
        <v>1</v>
      </c>
      <c r="Y130" s="165"/>
    </row>
    <row r="131" spans="10:25">
      <c r="J131" s="154">
        <f ca="1">IF(NOT(Format2Print),2,IF(OR(LEN(G131)=0,LEN(H131)=0,LEN(I131)=0),2,OFFSET(Validation!$A$8,VLOOKUP(LEFT(Worksheet!G131,1),Validation!$A$9:$U$16,21),HLOOKUP(SUBSTITUTE(SUBSTITUTE(SUBSTITUTE(UPPER(Worksheet!H131),"+",""),"-",""),"N","T"),Validation!$B$7:$S$18,12,FALSE)*3+VALUE(LEFT(Worksheet!I131,1)))))</f>
        <v>2</v>
      </c>
      <c r="O131" s="158">
        <f ca="1">IF(NOT(Format2Print),2,MIN(3,IF(OR(LEN(L131)=0,LEN(M131)=0),2,OFFSET(Validation!$A$21,VLOOKUP(LEFT(UPPER(Worksheet!L131),1),Validation!$A$22:$L$30,12,FALSE),(VALUE(LEFT(Worksheet!M131,1))-1)*2+1+IF(IF(RIGHT(Worksheet!L131,1)="+",1,IF(RIGHT(Worksheet!L131,1)="-",-1,0))+IF(RIGHT(Worksheet!M131,1)="+",1,IF(RIGHT(Worksheet!M131,1)="-",-1,0))&gt;0,1,0)))))</f>
        <v>2</v>
      </c>
      <c r="P131" s="159">
        <f ca="1">IF(NOT(Format2Print),2,OFFSET(Validation!$C$53,VLOOKUP(N131,Validation!$A$54:$B$69,2),HLOOKUP(K131,Validation!$D$51:$AD$52,2)))</f>
        <v>2</v>
      </c>
      <c r="U131" s="161" t="b">
        <f>ISERROR(VLOOKUP(LEFT(T131,LEN(T131)-IF(OR(RIGHT(T131)="-",RIGHT(T131)="+"),1,0)),IF(LEFT(Worksheet!S131,1)="N",'macro d''éval'!$N$36:$O$39,'macro d''éval'!$N$42:$O$45),2,FALSE))</f>
        <v>1</v>
      </c>
      <c r="Y131" s="165"/>
    </row>
    <row r="132" spans="10:25">
      <c r="J132" s="154">
        <f ca="1">IF(NOT(Format2Print),2,IF(OR(LEN(G132)=0,LEN(H132)=0,LEN(I132)=0),2,OFFSET(Validation!$A$8,VLOOKUP(LEFT(Worksheet!G132,1),Validation!$A$9:$U$16,21),HLOOKUP(SUBSTITUTE(SUBSTITUTE(SUBSTITUTE(UPPER(Worksheet!H132),"+",""),"-",""),"N","T"),Validation!$B$7:$S$18,12,FALSE)*3+VALUE(LEFT(Worksheet!I132,1)))))</f>
        <v>2</v>
      </c>
      <c r="O132" s="158">
        <f ca="1">IF(NOT(Format2Print),2,MIN(3,IF(OR(LEN(L132)=0,LEN(M132)=0),2,OFFSET(Validation!$A$21,VLOOKUP(LEFT(UPPER(Worksheet!L132),1),Validation!$A$22:$L$30,12,FALSE),(VALUE(LEFT(Worksheet!M132,1))-1)*2+1+IF(IF(RIGHT(Worksheet!L132,1)="+",1,IF(RIGHT(Worksheet!L132,1)="-",-1,0))+IF(RIGHT(Worksheet!M132,1)="+",1,IF(RIGHT(Worksheet!M132,1)="-",-1,0))&gt;0,1,0)))))</f>
        <v>2</v>
      </c>
      <c r="P132" s="159">
        <f ca="1">IF(NOT(Format2Print),2,OFFSET(Validation!$C$53,VLOOKUP(N132,Validation!$A$54:$B$69,2),HLOOKUP(K132,Validation!$D$51:$AD$52,2)))</f>
        <v>2</v>
      </c>
      <c r="U132" s="161" t="b">
        <f>ISERROR(VLOOKUP(LEFT(T132,LEN(T132)-IF(OR(RIGHT(T132)="-",RIGHT(T132)="+"),1,0)),IF(LEFT(Worksheet!S132,1)="N",'macro d''éval'!$N$36:$O$39,'macro d''éval'!$N$42:$O$45),2,FALSE))</f>
        <v>1</v>
      </c>
      <c r="Y132" s="165"/>
    </row>
    <row r="133" spans="10:25">
      <c r="J133" s="154">
        <f ca="1">IF(NOT(Format2Print),2,IF(OR(LEN(G133)=0,LEN(H133)=0,LEN(I133)=0),2,OFFSET(Validation!$A$8,VLOOKUP(LEFT(Worksheet!G133,1),Validation!$A$9:$U$16,21),HLOOKUP(SUBSTITUTE(SUBSTITUTE(SUBSTITUTE(UPPER(Worksheet!H133),"+",""),"-",""),"N","T"),Validation!$B$7:$S$18,12,FALSE)*3+VALUE(LEFT(Worksheet!I133,1)))))</f>
        <v>2</v>
      </c>
      <c r="O133" s="158">
        <f ca="1">IF(NOT(Format2Print),2,MIN(3,IF(OR(LEN(L133)=0,LEN(M133)=0),2,OFFSET(Validation!$A$21,VLOOKUP(LEFT(UPPER(Worksheet!L133),1),Validation!$A$22:$L$30,12,FALSE),(VALUE(LEFT(Worksheet!M133,1))-1)*2+1+IF(IF(RIGHT(Worksheet!L133,1)="+",1,IF(RIGHT(Worksheet!L133,1)="-",-1,0))+IF(RIGHT(Worksheet!M133,1)="+",1,IF(RIGHT(Worksheet!M133,1)="-",-1,0))&gt;0,1,0)))))</f>
        <v>2</v>
      </c>
      <c r="P133" s="159">
        <f ca="1">IF(NOT(Format2Print),2,OFFSET(Validation!$C$53,VLOOKUP(N133,Validation!$A$54:$B$69,2),HLOOKUP(K133,Validation!$D$51:$AD$52,2)))</f>
        <v>2</v>
      </c>
      <c r="U133" s="161" t="b">
        <f>ISERROR(VLOOKUP(LEFT(T133,LEN(T133)-IF(OR(RIGHT(T133)="-",RIGHT(T133)="+"),1,0)),IF(LEFT(Worksheet!S133,1)="N",'macro d''éval'!$N$36:$O$39,'macro d''éval'!$N$42:$O$45),2,FALSE))</f>
        <v>1</v>
      </c>
      <c r="Y133" s="165"/>
    </row>
    <row r="134" spans="10:25">
      <c r="J134" s="154">
        <f ca="1">IF(NOT(Format2Print),2,IF(OR(LEN(G134)=0,LEN(H134)=0,LEN(I134)=0),2,OFFSET(Validation!$A$8,VLOOKUP(LEFT(Worksheet!G134,1),Validation!$A$9:$U$16,21),HLOOKUP(SUBSTITUTE(SUBSTITUTE(SUBSTITUTE(UPPER(Worksheet!H134),"+",""),"-",""),"N","T"),Validation!$B$7:$S$18,12,FALSE)*3+VALUE(LEFT(Worksheet!I134,1)))))</f>
        <v>2</v>
      </c>
      <c r="O134" s="158">
        <f ca="1">IF(NOT(Format2Print),2,MIN(3,IF(OR(LEN(L134)=0,LEN(M134)=0),2,OFFSET(Validation!$A$21,VLOOKUP(LEFT(UPPER(Worksheet!L134),1),Validation!$A$22:$L$30,12,FALSE),(VALUE(LEFT(Worksheet!M134,1))-1)*2+1+IF(IF(RIGHT(Worksheet!L134,1)="+",1,IF(RIGHT(Worksheet!L134,1)="-",-1,0))+IF(RIGHT(Worksheet!M134,1)="+",1,IF(RIGHT(Worksheet!M134,1)="-",-1,0))&gt;0,1,0)))))</f>
        <v>2</v>
      </c>
      <c r="P134" s="159">
        <f ca="1">IF(NOT(Format2Print),2,OFFSET(Validation!$C$53,VLOOKUP(N134,Validation!$A$54:$B$69,2),HLOOKUP(K134,Validation!$D$51:$AD$52,2)))</f>
        <v>2</v>
      </c>
      <c r="U134" s="161" t="b">
        <f>ISERROR(VLOOKUP(LEFT(T134,LEN(T134)-IF(OR(RIGHT(T134)="-",RIGHT(T134)="+"),1,0)),IF(LEFT(Worksheet!S134,1)="N",'macro d''éval'!$N$36:$O$39,'macro d''éval'!$N$42:$O$45),2,FALSE))</f>
        <v>1</v>
      </c>
      <c r="Y134" s="165"/>
    </row>
    <row r="135" spans="10:25">
      <c r="J135" s="154">
        <f ca="1">IF(NOT(Format2Print),2,IF(OR(LEN(G135)=0,LEN(H135)=0,LEN(I135)=0),2,OFFSET(Validation!$A$8,VLOOKUP(LEFT(Worksheet!G135,1),Validation!$A$9:$U$16,21),HLOOKUP(SUBSTITUTE(SUBSTITUTE(SUBSTITUTE(UPPER(Worksheet!H135),"+",""),"-",""),"N","T"),Validation!$B$7:$S$18,12,FALSE)*3+VALUE(LEFT(Worksheet!I135,1)))))</f>
        <v>2</v>
      </c>
      <c r="O135" s="158">
        <f ca="1">IF(NOT(Format2Print),2,MIN(3,IF(OR(LEN(L135)=0,LEN(M135)=0),2,OFFSET(Validation!$A$21,VLOOKUP(LEFT(UPPER(Worksheet!L135),1),Validation!$A$22:$L$30,12,FALSE),(VALUE(LEFT(Worksheet!M135,1))-1)*2+1+IF(IF(RIGHT(Worksheet!L135,1)="+",1,IF(RIGHT(Worksheet!L135,1)="-",-1,0))+IF(RIGHT(Worksheet!M135,1)="+",1,IF(RIGHT(Worksheet!M135,1)="-",-1,0))&gt;0,1,0)))))</f>
        <v>2</v>
      </c>
      <c r="P135" s="159">
        <f ca="1">IF(NOT(Format2Print),2,OFFSET(Validation!$C$53,VLOOKUP(N135,Validation!$A$54:$B$69,2),HLOOKUP(K135,Validation!$D$51:$AD$52,2)))</f>
        <v>2</v>
      </c>
      <c r="U135" s="161" t="b">
        <f>ISERROR(VLOOKUP(LEFT(T135,LEN(T135)-IF(OR(RIGHT(T135)="-",RIGHT(T135)="+"),1,0)),IF(LEFT(Worksheet!S135,1)="N",'macro d''éval'!$N$36:$O$39,'macro d''éval'!$N$42:$O$45),2,FALSE))</f>
        <v>1</v>
      </c>
      <c r="Y135" s="165"/>
    </row>
    <row r="136" spans="10:25">
      <c r="J136" s="154">
        <f ca="1">IF(NOT(Format2Print),2,IF(OR(LEN(G136)=0,LEN(H136)=0,LEN(I136)=0),2,OFFSET(Validation!$A$8,VLOOKUP(LEFT(Worksheet!G136,1),Validation!$A$9:$U$16,21),HLOOKUP(SUBSTITUTE(SUBSTITUTE(SUBSTITUTE(UPPER(Worksheet!H136),"+",""),"-",""),"N","T"),Validation!$B$7:$S$18,12,FALSE)*3+VALUE(LEFT(Worksheet!I136,1)))))</f>
        <v>2</v>
      </c>
      <c r="O136" s="158">
        <f ca="1">IF(NOT(Format2Print),2,MIN(3,IF(OR(LEN(L136)=0,LEN(M136)=0),2,OFFSET(Validation!$A$21,VLOOKUP(LEFT(UPPER(Worksheet!L136),1),Validation!$A$22:$L$30,12,FALSE),(VALUE(LEFT(Worksheet!M136,1))-1)*2+1+IF(IF(RIGHT(Worksheet!L136,1)="+",1,IF(RIGHT(Worksheet!L136,1)="-",-1,0))+IF(RIGHT(Worksheet!M136,1)="+",1,IF(RIGHT(Worksheet!M136,1)="-",-1,0))&gt;0,1,0)))))</f>
        <v>2</v>
      </c>
      <c r="P136" s="159">
        <f ca="1">IF(NOT(Format2Print),2,OFFSET(Validation!$C$53,VLOOKUP(N136,Validation!$A$54:$B$69,2),HLOOKUP(K136,Validation!$D$51:$AD$52,2)))</f>
        <v>2</v>
      </c>
      <c r="U136" s="161" t="b">
        <f>ISERROR(VLOOKUP(LEFT(T136,LEN(T136)-IF(OR(RIGHT(T136)="-",RIGHT(T136)="+"),1,0)),IF(LEFT(Worksheet!S136,1)="N",'macro d''éval'!$N$36:$O$39,'macro d''éval'!$N$42:$O$45),2,FALSE))</f>
        <v>1</v>
      </c>
      <c r="Y136" s="165"/>
    </row>
    <row r="137" spans="10:25">
      <c r="J137" s="154">
        <f ca="1">IF(NOT(Format2Print),2,IF(OR(LEN(G137)=0,LEN(H137)=0,LEN(I137)=0),2,OFFSET(Validation!$A$8,VLOOKUP(LEFT(Worksheet!G137,1),Validation!$A$9:$U$16,21),HLOOKUP(SUBSTITUTE(SUBSTITUTE(SUBSTITUTE(UPPER(Worksheet!H137),"+",""),"-",""),"N","T"),Validation!$B$7:$S$18,12,FALSE)*3+VALUE(LEFT(Worksheet!I137,1)))))</f>
        <v>2</v>
      </c>
      <c r="O137" s="158">
        <f ca="1">IF(NOT(Format2Print),2,MIN(3,IF(OR(LEN(L137)=0,LEN(M137)=0),2,OFFSET(Validation!$A$21,VLOOKUP(LEFT(UPPER(Worksheet!L137),1),Validation!$A$22:$L$30,12,FALSE),(VALUE(LEFT(Worksheet!M137,1))-1)*2+1+IF(IF(RIGHT(Worksheet!L137,1)="+",1,IF(RIGHT(Worksheet!L137,1)="-",-1,0))+IF(RIGHT(Worksheet!M137,1)="+",1,IF(RIGHT(Worksheet!M137,1)="-",-1,0))&gt;0,1,0)))))</f>
        <v>2</v>
      </c>
      <c r="P137" s="159">
        <f ca="1">IF(NOT(Format2Print),2,OFFSET(Validation!$C$53,VLOOKUP(N137,Validation!$A$54:$B$69,2),HLOOKUP(K137,Validation!$D$51:$AD$52,2)))</f>
        <v>2</v>
      </c>
      <c r="U137" s="161" t="b">
        <f>ISERROR(VLOOKUP(LEFT(T137,LEN(T137)-IF(OR(RIGHT(T137)="-",RIGHT(T137)="+"),1,0)),IF(LEFT(Worksheet!S137,1)="N",'macro d''éval'!$N$36:$O$39,'macro d''éval'!$N$42:$O$45),2,FALSE))</f>
        <v>1</v>
      </c>
      <c r="Y137" s="165"/>
    </row>
    <row r="138" spans="10:25">
      <c r="J138" s="154">
        <f ca="1">IF(NOT(Format2Print),2,IF(OR(LEN(G138)=0,LEN(H138)=0,LEN(I138)=0),2,OFFSET(Validation!$A$8,VLOOKUP(LEFT(Worksheet!G138,1),Validation!$A$9:$U$16,21),HLOOKUP(SUBSTITUTE(SUBSTITUTE(SUBSTITUTE(UPPER(Worksheet!H138),"+",""),"-",""),"N","T"),Validation!$B$7:$S$18,12,FALSE)*3+VALUE(LEFT(Worksheet!I138,1)))))</f>
        <v>2</v>
      </c>
      <c r="O138" s="158">
        <f ca="1">IF(NOT(Format2Print),2,MIN(3,IF(OR(LEN(L138)=0,LEN(M138)=0),2,OFFSET(Validation!$A$21,VLOOKUP(LEFT(UPPER(Worksheet!L138),1),Validation!$A$22:$L$30,12,FALSE),(VALUE(LEFT(Worksheet!M138,1))-1)*2+1+IF(IF(RIGHT(Worksheet!L138,1)="+",1,IF(RIGHT(Worksheet!L138,1)="-",-1,0))+IF(RIGHT(Worksheet!M138,1)="+",1,IF(RIGHT(Worksheet!M138,1)="-",-1,0))&gt;0,1,0)))))</f>
        <v>2</v>
      </c>
      <c r="P138" s="159">
        <f ca="1">IF(NOT(Format2Print),2,OFFSET(Validation!$C$53,VLOOKUP(N138,Validation!$A$54:$B$69,2),HLOOKUP(K138,Validation!$D$51:$AD$52,2)))</f>
        <v>2</v>
      </c>
      <c r="U138" s="161" t="b">
        <f>ISERROR(VLOOKUP(LEFT(T138,LEN(T138)-IF(OR(RIGHT(T138)="-",RIGHT(T138)="+"),1,0)),IF(LEFT(Worksheet!S138,1)="N",'macro d''éval'!$N$36:$O$39,'macro d''éval'!$N$42:$O$45),2,FALSE))</f>
        <v>1</v>
      </c>
      <c r="Y138" s="165"/>
    </row>
    <row r="139" spans="10:25">
      <c r="J139" s="154">
        <f ca="1">IF(NOT(Format2Print),2,IF(OR(LEN(G139)=0,LEN(H139)=0,LEN(I139)=0),2,OFFSET(Validation!$A$8,VLOOKUP(LEFT(Worksheet!G139,1),Validation!$A$9:$U$16,21),HLOOKUP(SUBSTITUTE(SUBSTITUTE(SUBSTITUTE(UPPER(Worksheet!H139),"+",""),"-",""),"N","T"),Validation!$B$7:$S$18,12,FALSE)*3+VALUE(LEFT(Worksheet!I139,1)))))</f>
        <v>2</v>
      </c>
      <c r="O139" s="158">
        <f ca="1">IF(NOT(Format2Print),2,MIN(3,IF(OR(LEN(L139)=0,LEN(M139)=0),2,OFFSET(Validation!$A$21,VLOOKUP(LEFT(UPPER(Worksheet!L139),1),Validation!$A$22:$L$30,12,FALSE),(VALUE(LEFT(Worksheet!M139,1))-1)*2+1+IF(IF(RIGHT(Worksheet!L139,1)="+",1,IF(RIGHT(Worksheet!L139,1)="-",-1,0))+IF(RIGHT(Worksheet!M139,1)="+",1,IF(RIGHT(Worksheet!M139,1)="-",-1,0))&gt;0,1,0)))))</f>
        <v>2</v>
      </c>
      <c r="P139" s="159">
        <f ca="1">IF(NOT(Format2Print),2,OFFSET(Validation!$C$53,VLOOKUP(N139,Validation!$A$54:$B$69,2),HLOOKUP(K139,Validation!$D$51:$AD$52,2)))</f>
        <v>2</v>
      </c>
      <c r="U139" s="161" t="b">
        <f>ISERROR(VLOOKUP(LEFT(T139,LEN(T139)-IF(OR(RIGHT(T139)="-",RIGHT(T139)="+"),1,0)),IF(LEFT(Worksheet!S139,1)="N",'macro d''éval'!$N$36:$O$39,'macro d''éval'!$N$42:$O$45),2,FALSE))</f>
        <v>1</v>
      </c>
      <c r="Y139" s="165"/>
    </row>
    <row r="140" spans="10:25">
      <c r="J140" s="154">
        <f ca="1">IF(NOT(Format2Print),2,IF(OR(LEN(G140)=0,LEN(H140)=0,LEN(I140)=0),2,OFFSET(Validation!$A$8,VLOOKUP(LEFT(Worksheet!G140,1),Validation!$A$9:$U$16,21),HLOOKUP(SUBSTITUTE(SUBSTITUTE(SUBSTITUTE(UPPER(Worksheet!H140),"+",""),"-",""),"N","T"),Validation!$B$7:$S$18,12,FALSE)*3+VALUE(LEFT(Worksheet!I140,1)))))</f>
        <v>2</v>
      </c>
      <c r="O140" s="158">
        <f ca="1">IF(NOT(Format2Print),2,MIN(3,IF(OR(LEN(L140)=0,LEN(M140)=0),2,OFFSET(Validation!$A$21,VLOOKUP(LEFT(UPPER(Worksheet!L140),1),Validation!$A$22:$L$30,12,FALSE),(VALUE(LEFT(Worksheet!M140,1))-1)*2+1+IF(IF(RIGHT(Worksheet!L140,1)="+",1,IF(RIGHT(Worksheet!L140,1)="-",-1,0))+IF(RIGHT(Worksheet!M140,1)="+",1,IF(RIGHT(Worksheet!M140,1)="-",-1,0))&gt;0,1,0)))))</f>
        <v>2</v>
      </c>
      <c r="P140" s="159">
        <f ca="1">IF(NOT(Format2Print),2,OFFSET(Validation!$C$53,VLOOKUP(N140,Validation!$A$54:$B$69,2),HLOOKUP(K140,Validation!$D$51:$AD$52,2)))</f>
        <v>2</v>
      </c>
      <c r="U140" s="161" t="b">
        <f>ISERROR(VLOOKUP(LEFT(T140,LEN(T140)-IF(OR(RIGHT(T140)="-",RIGHT(T140)="+"),1,0)),IF(LEFT(Worksheet!S140,1)="N",'macro d''éval'!$N$36:$O$39,'macro d''éval'!$N$42:$O$45),2,FALSE))</f>
        <v>1</v>
      </c>
      <c r="Y140" s="165"/>
    </row>
    <row r="141" spans="10:25">
      <c r="J141" s="154">
        <f ca="1">IF(NOT(Format2Print),2,IF(OR(LEN(G141)=0,LEN(H141)=0,LEN(I141)=0),2,OFFSET(Validation!$A$8,VLOOKUP(LEFT(Worksheet!G141,1),Validation!$A$9:$U$16,21),HLOOKUP(SUBSTITUTE(SUBSTITUTE(SUBSTITUTE(UPPER(Worksheet!H141),"+",""),"-",""),"N","T"),Validation!$B$7:$S$18,12,FALSE)*3+VALUE(LEFT(Worksheet!I141,1)))))</f>
        <v>2</v>
      </c>
      <c r="O141" s="158">
        <f ca="1">IF(NOT(Format2Print),2,MIN(3,IF(OR(LEN(L141)=0,LEN(M141)=0),2,OFFSET(Validation!$A$21,VLOOKUP(LEFT(UPPER(Worksheet!L141),1),Validation!$A$22:$L$30,12,FALSE),(VALUE(LEFT(Worksheet!M141,1))-1)*2+1+IF(IF(RIGHT(Worksheet!L141,1)="+",1,IF(RIGHT(Worksheet!L141,1)="-",-1,0))+IF(RIGHT(Worksheet!M141,1)="+",1,IF(RIGHT(Worksheet!M141,1)="-",-1,0))&gt;0,1,0)))))</f>
        <v>2</v>
      </c>
      <c r="P141" s="159">
        <f ca="1">IF(NOT(Format2Print),2,OFFSET(Validation!$C$53,VLOOKUP(N141,Validation!$A$54:$B$69,2),HLOOKUP(K141,Validation!$D$51:$AD$52,2)))</f>
        <v>2</v>
      </c>
      <c r="U141" s="161" t="b">
        <f>ISERROR(VLOOKUP(LEFT(T141,LEN(T141)-IF(OR(RIGHT(T141)="-",RIGHT(T141)="+"),1,0)),IF(LEFT(Worksheet!S141,1)="N",'macro d''éval'!$N$36:$O$39,'macro d''éval'!$N$42:$O$45),2,FALSE))</f>
        <v>1</v>
      </c>
      <c r="Y141" s="165"/>
    </row>
    <row r="142" spans="10:25">
      <c r="J142" s="154">
        <f ca="1">IF(NOT(Format2Print),2,IF(OR(LEN(G142)=0,LEN(H142)=0,LEN(I142)=0),2,OFFSET(Validation!$A$8,VLOOKUP(LEFT(Worksheet!G142,1),Validation!$A$9:$U$16,21),HLOOKUP(SUBSTITUTE(SUBSTITUTE(SUBSTITUTE(UPPER(Worksheet!H142),"+",""),"-",""),"N","T"),Validation!$B$7:$S$18,12,FALSE)*3+VALUE(LEFT(Worksheet!I142,1)))))</f>
        <v>2</v>
      </c>
      <c r="O142" s="158">
        <f ca="1">IF(NOT(Format2Print),2,MIN(3,IF(OR(LEN(L142)=0,LEN(M142)=0),2,OFFSET(Validation!$A$21,VLOOKUP(LEFT(UPPER(Worksheet!L142),1),Validation!$A$22:$L$30,12,FALSE),(VALUE(LEFT(Worksheet!M142,1))-1)*2+1+IF(IF(RIGHT(Worksheet!L142,1)="+",1,IF(RIGHT(Worksheet!L142,1)="-",-1,0))+IF(RIGHT(Worksheet!M142,1)="+",1,IF(RIGHT(Worksheet!M142,1)="-",-1,0))&gt;0,1,0)))))</f>
        <v>2</v>
      </c>
      <c r="P142" s="159">
        <f ca="1">IF(NOT(Format2Print),2,OFFSET(Validation!$C$53,VLOOKUP(N142,Validation!$A$54:$B$69,2),HLOOKUP(K142,Validation!$D$51:$AD$52,2)))</f>
        <v>2</v>
      </c>
      <c r="U142" s="161" t="b">
        <f>ISERROR(VLOOKUP(LEFT(T142,LEN(T142)-IF(OR(RIGHT(T142)="-",RIGHT(T142)="+"),1,0)),IF(LEFT(Worksheet!S142,1)="N",'macro d''éval'!$N$36:$O$39,'macro d''éval'!$N$42:$O$45),2,FALSE))</f>
        <v>1</v>
      </c>
      <c r="Y142" s="165"/>
    </row>
    <row r="143" spans="10:25">
      <c r="J143" s="154">
        <f ca="1">IF(NOT(Format2Print),2,IF(OR(LEN(G143)=0,LEN(H143)=0,LEN(I143)=0),2,OFFSET(Validation!$A$8,VLOOKUP(LEFT(Worksheet!G143,1),Validation!$A$9:$U$16,21),HLOOKUP(SUBSTITUTE(SUBSTITUTE(SUBSTITUTE(UPPER(Worksheet!H143),"+",""),"-",""),"N","T"),Validation!$B$7:$S$18,12,FALSE)*3+VALUE(LEFT(Worksheet!I143,1)))))</f>
        <v>2</v>
      </c>
      <c r="O143" s="158">
        <f ca="1">IF(NOT(Format2Print),2,MIN(3,IF(OR(LEN(L143)=0,LEN(M143)=0),2,OFFSET(Validation!$A$21,VLOOKUP(LEFT(UPPER(Worksheet!L143),1),Validation!$A$22:$L$30,12,FALSE),(VALUE(LEFT(Worksheet!M143,1))-1)*2+1+IF(IF(RIGHT(Worksheet!L143,1)="+",1,IF(RIGHT(Worksheet!L143,1)="-",-1,0))+IF(RIGHT(Worksheet!M143,1)="+",1,IF(RIGHT(Worksheet!M143,1)="-",-1,0))&gt;0,1,0)))))</f>
        <v>2</v>
      </c>
      <c r="P143" s="159">
        <f ca="1">IF(NOT(Format2Print),2,OFFSET(Validation!$C$53,VLOOKUP(N143,Validation!$A$54:$B$69,2),HLOOKUP(K143,Validation!$D$51:$AD$52,2)))</f>
        <v>2</v>
      </c>
      <c r="U143" s="161" t="b">
        <f>ISERROR(VLOOKUP(LEFT(T143,LEN(T143)-IF(OR(RIGHT(T143)="-",RIGHT(T143)="+"),1,0)),IF(LEFT(Worksheet!S143,1)="N",'macro d''éval'!$N$36:$O$39,'macro d''éval'!$N$42:$O$45),2,FALSE))</f>
        <v>1</v>
      </c>
      <c r="Y143" s="165"/>
    </row>
    <row r="144" spans="10:25">
      <c r="J144" s="154">
        <f ca="1">IF(NOT(Format2Print),2,IF(OR(LEN(G144)=0,LEN(H144)=0,LEN(I144)=0),2,OFFSET(Validation!$A$8,VLOOKUP(LEFT(Worksheet!G144,1),Validation!$A$9:$U$16,21),HLOOKUP(SUBSTITUTE(SUBSTITUTE(SUBSTITUTE(UPPER(Worksheet!H144),"+",""),"-",""),"N","T"),Validation!$B$7:$S$18,12,FALSE)*3+VALUE(LEFT(Worksheet!I144,1)))))</f>
        <v>2</v>
      </c>
      <c r="O144" s="158">
        <f ca="1">IF(NOT(Format2Print),2,MIN(3,IF(OR(LEN(L144)=0,LEN(M144)=0),2,OFFSET(Validation!$A$21,VLOOKUP(LEFT(UPPER(Worksheet!L144),1),Validation!$A$22:$L$30,12,FALSE),(VALUE(LEFT(Worksheet!M144,1))-1)*2+1+IF(IF(RIGHT(Worksheet!L144,1)="+",1,IF(RIGHT(Worksheet!L144,1)="-",-1,0))+IF(RIGHT(Worksheet!M144,1)="+",1,IF(RIGHT(Worksheet!M144,1)="-",-1,0))&gt;0,1,0)))))</f>
        <v>2</v>
      </c>
      <c r="P144" s="159">
        <f ca="1">IF(NOT(Format2Print),2,OFFSET(Validation!$C$53,VLOOKUP(N144,Validation!$A$54:$B$69,2),HLOOKUP(K144,Validation!$D$51:$AD$52,2)))</f>
        <v>2</v>
      </c>
      <c r="U144" s="161" t="b">
        <f>ISERROR(VLOOKUP(LEFT(T144,LEN(T144)-IF(OR(RIGHT(T144)="-",RIGHT(T144)="+"),1,0)),IF(LEFT(Worksheet!S144,1)="N",'macro d''éval'!$N$36:$O$39,'macro d''éval'!$N$42:$O$45),2,FALSE))</f>
        <v>1</v>
      </c>
      <c r="Y144" s="165"/>
    </row>
    <row r="145" spans="10:25">
      <c r="J145" s="154">
        <f ca="1">IF(NOT(Format2Print),2,IF(OR(LEN(G145)=0,LEN(H145)=0,LEN(I145)=0),2,OFFSET(Validation!$A$8,VLOOKUP(LEFT(Worksheet!G145,1),Validation!$A$9:$U$16,21),HLOOKUP(SUBSTITUTE(SUBSTITUTE(SUBSTITUTE(UPPER(Worksheet!H145),"+",""),"-",""),"N","T"),Validation!$B$7:$S$18,12,FALSE)*3+VALUE(LEFT(Worksheet!I145,1)))))</f>
        <v>2</v>
      </c>
      <c r="O145" s="158">
        <f ca="1">IF(NOT(Format2Print),2,MIN(3,IF(OR(LEN(L145)=0,LEN(M145)=0),2,OFFSET(Validation!$A$21,VLOOKUP(LEFT(UPPER(Worksheet!L145),1),Validation!$A$22:$L$30,12,FALSE),(VALUE(LEFT(Worksheet!M145,1))-1)*2+1+IF(IF(RIGHT(Worksheet!L145,1)="+",1,IF(RIGHT(Worksheet!L145,1)="-",-1,0))+IF(RIGHT(Worksheet!M145,1)="+",1,IF(RIGHT(Worksheet!M145,1)="-",-1,0))&gt;0,1,0)))))</f>
        <v>2</v>
      </c>
      <c r="P145" s="159">
        <f ca="1">IF(NOT(Format2Print),2,OFFSET(Validation!$C$53,VLOOKUP(N145,Validation!$A$54:$B$69,2),HLOOKUP(K145,Validation!$D$51:$AD$52,2)))</f>
        <v>2</v>
      </c>
      <c r="U145" s="161" t="b">
        <f>ISERROR(VLOOKUP(LEFT(T145,LEN(T145)-IF(OR(RIGHT(T145)="-",RIGHT(T145)="+"),1,0)),IF(LEFT(Worksheet!S145,1)="N",'macro d''éval'!$N$36:$O$39,'macro d''éval'!$N$42:$O$45),2,FALSE))</f>
        <v>1</v>
      </c>
      <c r="Y145" s="165"/>
    </row>
    <row r="146" spans="10:25">
      <c r="J146" s="154">
        <f ca="1">IF(NOT(Format2Print),2,IF(OR(LEN(G146)=0,LEN(H146)=0,LEN(I146)=0),2,OFFSET(Validation!$A$8,VLOOKUP(LEFT(Worksheet!G146,1),Validation!$A$9:$U$16,21),HLOOKUP(SUBSTITUTE(SUBSTITUTE(SUBSTITUTE(UPPER(Worksheet!H146),"+",""),"-",""),"N","T"),Validation!$B$7:$S$18,12,FALSE)*3+VALUE(LEFT(Worksheet!I146,1)))))</f>
        <v>2</v>
      </c>
      <c r="O146" s="158">
        <f ca="1">IF(NOT(Format2Print),2,MIN(3,IF(OR(LEN(L146)=0,LEN(M146)=0),2,OFFSET(Validation!$A$21,VLOOKUP(LEFT(UPPER(Worksheet!L146),1),Validation!$A$22:$L$30,12,FALSE),(VALUE(LEFT(Worksheet!M146,1))-1)*2+1+IF(IF(RIGHT(Worksheet!L146,1)="+",1,IF(RIGHT(Worksheet!L146,1)="-",-1,0))+IF(RIGHT(Worksheet!M146,1)="+",1,IF(RIGHT(Worksheet!M146,1)="-",-1,0))&gt;0,1,0)))))</f>
        <v>2</v>
      </c>
      <c r="P146" s="159">
        <f ca="1">IF(NOT(Format2Print),2,OFFSET(Validation!$C$53,VLOOKUP(N146,Validation!$A$54:$B$69,2),HLOOKUP(K146,Validation!$D$51:$AD$52,2)))</f>
        <v>2</v>
      </c>
      <c r="U146" s="161" t="b">
        <f>ISERROR(VLOOKUP(LEFT(T146,LEN(T146)-IF(OR(RIGHT(T146)="-",RIGHT(T146)="+"),1,0)),IF(LEFT(Worksheet!S146,1)="N",'macro d''éval'!$N$36:$O$39,'macro d''éval'!$N$42:$O$45),2,FALSE))</f>
        <v>1</v>
      </c>
      <c r="Y146" s="165"/>
    </row>
    <row r="147" spans="10:25">
      <c r="J147" s="154">
        <f ca="1">IF(NOT(Format2Print),2,IF(OR(LEN(G147)=0,LEN(H147)=0,LEN(I147)=0),2,OFFSET(Validation!$A$8,VLOOKUP(LEFT(Worksheet!G147,1),Validation!$A$9:$U$16,21),HLOOKUP(SUBSTITUTE(SUBSTITUTE(SUBSTITUTE(UPPER(Worksheet!H147),"+",""),"-",""),"N","T"),Validation!$B$7:$S$18,12,FALSE)*3+VALUE(LEFT(Worksheet!I147,1)))))</f>
        <v>2</v>
      </c>
      <c r="O147" s="158">
        <f ca="1">IF(NOT(Format2Print),2,MIN(3,IF(OR(LEN(L147)=0,LEN(M147)=0),2,OFFSET(Validation!$A$21,VLOOKUP(LEFT(UPPER(Worksheet!L147),1),Validation!$A$22:$L$30,12,FALSE),(VALUE(LEFT(Worksheet!M147,1))-1)*2+1+IF(IF(RIGHT(Worksheet!L147,1)="+",1,IF(RIGHT(Worksheet!L147,1)="-",-1,0))+IF(RIGHT(Worksheet!M147,1)="+",1,IF(RIGHT(Worksheet!M147,1)="-",-1,0))&gt;0,1,0)))))</f>
        <v>2</v>
      </c>
      <c r="P147" s="159">
        <f ca="1">IF(NOT(Format2Print),2,OFFSET(Validation!$C$53,VLOOKUP(N147,Validation!$A$54:$B$69,2),HLOOKUP(K147,Validation!$D$51:$AD$52,2)))</f>
        <v>2</v>
      </c>
      <c r="U147" s="161" t="b">
        <f>ISERROR(VLOOKUP(LEFT(T147,LEN(T147)-IF(OR(RIGHT(T147)="-",RIGHT(T147)="+"),1,0)),IF(LEFT(Worksheet!S147,1)="N",'macro d''éval'!$N$36:$O$39,'macro d''éval'!$N$42:$O$45),2,FALSE))</f>
        <v>1</v>
      </c>
      <c r="Y147" s="165"/>
    </row>
    <row r="148" spans="10:25">
      <c r="J148" s="154">
        <f ca="1">IF(NOT(Format2Print),2,IF(OR(LEN(G148)=0,LEN(H148)=0,LEN(I148)=0),2,OFFSET(Validation!$A$8,VLOOKUP(LEFT(Worksheet!G148,1),Validation!$A$9:$U$16,21),HLOOKUP(SUBSTITUTE(SUBSTITUTE(SUBSTITUTE(UPPER(Worksheet!H148),"+",""),"-",""),"N","T"),Validation!$B$7:$S$18,12,FALSE)*3+VALUE(LEFT(Worksheet!I148,1)))))</f>
        <v>2</v>
      </c>
      <c r="O148" s="158">
        <f ca="1">IF(NOT(Format2Print),2,MIN(3,IF(OR(LEN(L148)=0,LEN(M148)=0),2,OFFSET(Validation!$A$21,VLOOKUP(LEFT(UPPER(Worksheet!L148),1),Validation!$A$22:$L$30,12,FALSE),(VALUE(LEFT(Worksheet!M148,1))-1)*2+1+IF(IF(RIGHT(Worksheet!L148,1)="+",1,IF(RIGHT(Worksheet!L148,1)="-",-1,0))+IF(RIGHT(Worksheet!M148,1)="+",1,IF(RIGHT(Worksheet!M148,1)="-",-1,0))&gt;0,1,0)))))</f>
        <v>2</v>
      </c>
      <c r="P148" s="159">
        <f ca="1">IF(NOT(Format2Print),2,OFFSET(Validation!$C$53,VLOOKUP(N148,Validation!$A$54:$B$69,2),HLOOKUP(K148,Validation!$D$51:$AD$52,2)))</f>
        <v>2</v>
      </c>
      <c r="U148" s="161" t="b">
        <f>ISERROR(VLOOKUP(LEFT(T148,LEN(T148)-IF(OR(RIGHT(T148)="-",RIGHT(T148)="+"),1,0)),IF(LEFT(Worksheet!S148,1)="N",'macro d''éval'!$N$36:$O$39,'macro d''éval'!$N$42:$O$45),2,FALSE))</f>
        <v>1</v>
      </c>
      <c r="Y148" s="165"/>
    </row>
    <row r="149" spans="10:25">
      <c r="J149" s="154">
        <f ca="1">IF(NOT(Format2Print),2,IF(OR(LEN(G149)=0,LEN(H149)=0,LEN(I149)=0),2,OFFSET(Validation!$A$8,VLOOKUP(LEFT(Worksheet!G149,1),Validation!$A$9:$U$16,21),HLOOKUP(SUBSTITUTE(SUBSTITUTE(SUBSTITUTE(UPPER(Worksheet!H149),"+",""),"-",""),"N","T"),Validation!$B$7:$S$18,12,FALSE)*3+VALUE(LEFT(Worksheet!I149,1)))))</f>
        <v>2</v>
      </c>
      <c r="O149" s="158">
        <f ca="1">IF(NOT(Format2Print),2,MIN(3,IF(OR(LEN(L149)=0,LEN(M149)=0),2,OFFSET(Validation!$A$21,VLOOKUP(LEFT(UPPER(Worksheet!L149),1),Validation!$A$22:$L$30,12,FALSE),(VALUE(LEFT(Worksheet!M149,1))-1)*2+1+IF(IF(RIGHT(Worksheet!L149,1)="+",1,IF(RIGHT(Worksheet!L149,1)="-",-1,0))+IF(RIGHT(Worksheet!M149,1)="+",1,IF(RIGHT(Worksheet!M149,1)="-",-1,0))&gt;0,1,0)))))</f>
        <v>2</v>
      </c>
      <c r="P149" s="159">
        <f ca="1">IF(NOT(Format2Print),2,OFFSET(Validation!$C$53,VLOOKUP(N149,Validation!$A$54:$B$69,2),HLOOKUP(K149,Validation!$D$51:$AD$52,2)))</f>
        <v>2</v>
      </c>
      <c r="U149" s="161" t="b">
        <f>ISERROR(VLOOKUP(LEFT(T149,LEN(T149)-IF(OR(RIGHT(T149)="-",RIGHT(T149)="+"),1,0)),IF(LEFT(Worksheet!S149,1)="N",'macro d''éval'!$N$36:$O$39,'macro d''éval'!$N$42:$O$45),2,FALSE))</f>
        <v>1</v>
      </c>
      <c r="Y149" s="165"/>
    </row>
    <row r="150" spans="10:25">
      <c r="J150" s="154">
        <f ca="1">IF(NOT(Format2Print),2,IF(OR(LEN(G150)=0,LEN(H150)=0,LEN(I150)=0),2,OFFSET(Validation!$A$8,VLOOKUP(LEFT(Worksheet!G150,1),Validation!$A$9:$U$16,21),HLOOKUP(SUBSTITUTE(SUBSTITUTE(SUBSTITUTE(UPPER(Worksheet!H150),"+",""),"-",""),"N","T"),Validation!$B$7:$S$18,12,FALSE)*3+VALUE(LEFT(Worksheet!I150,1)))))</f>
        <v>2</v>
      </c>
      <c r="O150" s="158">
        <f ca="1">IF(NOT(Format2Print),2,MIN(3,IF(OR(LEN(L150)=0,LEN(M150)=0),2,OFFSET(Validation!$A$21,VLOOKUP(LEFT(UPPER(Worksheet!L150),1),Validation!$A$22:$L$30,12,FALSE),(VALUE(LEFT(Worksheet!M150,1))-1)*2+1+IF(IF(RIGHT(Worksheet!L150,1)="+",1,IF(RIGHT(Worksheet!L150,1)="-",-1,0))+IF(RIGHT(Worksheet!M150,1)="+",1,IF(RIGHT(Worksheet!M150,1)="-",-1,0))&gt;0,1,0)))))</f>
        <v>2</v>
      </c>
      <c r="P150" s="159">
        <f ca="1">IF(NOT(Format2Print),2,OFFSET(Validation!$C$53,VLOOKUP(N150,Validation!$A$54:$B$69,2),HLOOKUP(K150,Validation!$D$51:$AD$52,2)))</f>
        <v>2</v>
      </c>
      <c r="U150" s="161" t="b">
        <f>ISERROR(VLOOKUP(LEFT(T150,LEN(T150)-IF(OR(RIGHT(T150)="-",RIGHT(T150)="+"),1,0)),IF(LEFT(Worksheet!S150,1)="N",'macro d''éval'!$N$36:$O$39,'macro d''éval'!$N$42:$O$45),2,FALSE))</f>
        <v>1</v>
      </c>
      <c r="Y150" s="165"/>
    </row>
    <row r="151" spans="10:25">
      <c r="J151" s="154">
        <f ca="1">IF(NOT(Format2Print),2,IF(OR(LEN(G151)=0,LEN(H151)=0,LEN(I151)=0),2,OFFSET(Validation!$A$8,VLOOKUP(LEFT(Worksheet!G151,1),Validation!$A$9:$U$16,21),HLOOKUP(SUBSTITUTE(SUBSTITUTE(SUBSTITUTE(UPPER(Worksheet!H151),"+",""),"-",""),"N","T"),Validation!$B$7:$S$18,12,FALSE)*3+VALUE(LEFT(Worksheet!I151,1)))))</f>
        <v>2</v>
      </c>
      <c r="O151" s="158">
        <f ca="1">IF(NOT(Format2Print),2,MIN(3,IF(OR(LEN(L151)=0,LEN(M151)=0),2,OFFSET(Validation!$A$21,VLOOKUP(LEFT(UPPER(Worksheet!L151),1),Validation!$A$22:$L$30,12,FALSE),(VALUE(LEFT(Worksheet!M151,1))-1)*2+1+IF(IF(RIGHT(Worksheet!L151,1)="+",1,IF(RIGHT(Worksheet!L151,1)="-",-1,0))+IF(RIGHT(Worksheet!M151,1)="+",1,IF(RIGHT(Worksheet!M151,1)="-",-1,0))&gt;0,1,0)))))</f>
        <v>2</v>
      </c>
      <c r="P151" s="159">
        <f ca="1">IF(NOT(Format2Print),2,OFFSET(Validation!$C$53,VLOOKUP(N151,Validation!$A$54:$B$69,2),HLOOKUP(K151,Validation!$D$51:$AD$52,2)))</f>
        <v>2</v>
      </c>
      <c r="U151" s="161" t="b">
        <f>ISERROR(VLOOKUP(LEFT(T151,LEN(T151)-IF(OR(RIGHT(T151)="-",RIGHT(T151)="+"),1,0)),IF(LEFT(Worksheet!S151,1)="N",'macro d''éval'!$N$36:$O$39,'macro d''éval'!$N$42:$O$45),2,FALSE))</f>
        <v>1</v>
      </c>
      <c r="Y151" s="165"/>
    </row>
    <row r="152" spans="10:25">
      <c r="J152" s="154">
        <f ca="1">IF(NOT(Format2Print),2,IF(OR(LEN(G152)=0,LEN(H152)=0,LEN(I152)=0),2,OFFSET(Validation!$A$8,VLOOKUP(LEFT(Worksheet!G152,1),Validation!$A$9:$U$16,21),HLOOKUP(SUBSTITUTE(SUBSTITUTE(SUBSTITUTE(UPPER(Worksheet!H152),"+",""),"-",""),"N","T"),Validation!$B$7:$S$18,12,FALSE)*3+VALUE(LEFT(Worksheet!I152,1)))))</f>
        <v>2</v>
      </c>
      <c r="O152" s="158">
        <f ca="1">IF(NOT(Format2Print),2,MIN(3,IF(OR(LEN(L152)=0,LEN(M152)=0),2,OFFSET(Validation!$A$21,VLOOKUP(LEFT(UPPER(Worksheet!L152),1),Validation!$A$22:$L$30,12,FALSE),(VALUE(LEFT(Worksheet!M152,1))-1)*2+1+IF(IF(RIGHT(Worksheet!L152,1)="+",1,IF(RIGHT(Worksheet!L152,1)="-",-1,0))+IF(RIGHT(Worksheet!M152,1)="+",1,IF(RIGHT(Worksheet!M152,1)="-",-1,0))&gt;0,1,0)))))</f>
        <v>2</v>
      </c>
      <c r="P152" s="159">
        <f ca="1">IF(NOT(Format2Print),2,OFFSET(Validation!$C$53,VLOOKUP(N152,Validation!$A$54:$B$69,2),HLOOKUP(K152,Validation!$D$51:$AD$52,2)))</f>
        <v>2</v>
      </c>
      <c r="U152" s="161" t="b">
        <f>ISERROR(VLOOKUP(LEFT(T152,LEN(T152)-IF(OR(RIGHT(T152)="-",RIGHT(T152)="+"),1,0)),IF(LEFT(Worksheet!S152,1)="N",'macro d''éval'!$N$36:$O$39,'macro d''éval'!$N$42:$O$45),2,FALSE))</f>
        <v>1</v>
      </c>
      <c r="Y152" s="165"/>
    </row>
    <row r="153" spans="10:25">
      <c r="J153" s="154">
        <f ca="1">IF(NOT(Format2Print),2,IF(OR(LEN(G153)=0,LEN(H153)=0,LEN(I153)=0),2,OFFSET(Validation!$A$8,VLOOKUP(LEFT(Worksheet!G153,1),Validation!$A$9:$U$16,21),HLOOKUP(SUBSTITUTE(SUBSTITUTE(SUBSTITUTE(UPPER(Worksheet!H153),"+",""),"-",""),"N","T"),Validation!$B$7:$S$18,12,FALSE)*3+VALUE(LEFT(Worksheet!I153,1)))))</f>
        <v>2</v>
      </c>
      <c r="O153" s="158">
        <f ca="1">IF(NOT(Format2Print),2,MIN(3,IF(OR(LEN(L153)=0,LEN(M153)=0),2,OFFSET(Validation!$A$21,VLOOKUP(LEFT(UPPER(Worksheet!L153),1),Validation!$A$22:$L$30,12,FALSE),(VALUE(LEFT(Worksheet!M153,1))-1)*2+1+IF(IF(RIGHT(Worksheet!L153,1)="+",1,IF(RIGHT(Worksheet!L153,1)="-",-1,0))+IF(RIGHT(Worksheet!M153,1)="+",1,IF(RIGHT(Worksheet!M153,1)="-",-1,0))&gt;0,1,0)))))</f>
        <v>2</v>
      </c>
      <c r="P153" s="159">
        <f ca="1">IF(NOT(Format2Print),2,OFFSET(Validation!$C$53,VLOOKUP(N153,Validation!$A$54:$B$69,2),HLOOKUP(K153,Validation!$D$51:$AD$52,2)))</f>
        <v>2</v>
      </c>
      <c r="U153" s="161" t="b">
        <f>ISERROR(VLOOKUP(LEFT(T153,LEN(T153)-IF(OR(RIGHT(T153)="-",RIGHT(T153)="+"),1,0)),IF(LEFT(Worksheet!S153,1)="N",'macro d''éval'!$N$36:$O$39,'macro d''éval'!$N$42:$O$45),2,FALSE))</f>
        <v>1</v>
      </c>
      <c r="Y153" s="165"/>
    </row>
    <row r="154" spans="10:25">
      <c r="J154" s="154">
        <f ca="1">IF(NOT(Format2Print),2,IF(OR(LEN(G154)=0,LEN(H154)=0,LEN(I154)=0),2,OFFSET(Validation!$A$8,VLOOKUP(LEFT(Worksheet!G154,1),Validation!$A$9:$U$16,21),HLOOKUP(SUBSTITUTE(SUBSTITUTE(SUBSTITUTE(UPPER(Worksheet!H154),"+",""),"-",""),"N","T"),Validation!$B$7:$S$18,12,FALSE)*3+VALUE(LEFT(Worksheet!I154,1)))))</f>
        <v>2</v>
      </c>
      <c r="O154" s="158">
        <f ca="1">IF(NOT(Format2Print),2,MIN(3,IF(OR(LEN(L154)=0,LEN(M154)=0),2,OFFSET(Validation!$A$21,VLOOKUP(LEFT(UPPER(Worksheet!L154),1),Validation!$A$22:$L$30,12,FALSE),(VALUE(LEFT(Worksheet!M154,1))-1)*2+1+IF(IF(RIGHT(Worksheet!L154,1)="+",1,IF(RIGHT(Worksheet!L154,1)="-",-1,0))+IF(RIGHT(Worksheet!M154,1)="+",1,IF(RIGHT(Worksheet!M154,1)="-",-1,0))&gt;0,1,0)))))</f>
        <v>2</v>
      </c>
      <c r="P154" s="159">
        <f ca="1">IF(NOT(Format2Print),2,OFFSET(Validation!$C$53,VLOOKUP(N154,Validation!$A$54:$B$69,2),HLOOKUP(K154,Validation!$D$51:$AD$52,2)))</f>
        <v>2</v>
      </c>
      <c r="U154" s="161" t="b">
        <f>ISERROR(VLOOKUP(LEFT(T154,LEN(T154)-IF(OR(RIGHT(T154)="-",RIGHT(T154)="+"),1,0)),IF(LEFT(Worksheet!S154,1)="N",'macro d''éval'!$N$36:$O$39,'macro d''éval'!$N$42:$O$45),2,FALSE))</f>
        <v>1</v>
      </c>
      <c r="Y154" s="165"/>
    </row>
    <row r="155" spans="10:25">
      <c r="J155" s="154">
        <f ca="1">IF(NOT(Format2Print),2,IF(OR(LEN(G155)=0,LEN(H155)=0,LEN(I155)=0),2,OFFSET(Validation!$A$8,VLOOKUP(LEFT(Worksheet!G155,1),Validation!$A$9:$U$16,21),HLOOKUP(SUBSTITUTE(SUBSTITUTE(SUBSTITUTE(UPPER(Worksheet!H155),"+",""),"-",""),"N","T"),Validation!$B$7:$S$18,12,FALSE)*3+VALUE(LEFT(Worksheet!I155,1)))))</f>
        <v>2</v>
      </c>
      <c r="O155" s="158">
        <f ca="1">IF(NOT(Format2Print),2,MIN(3,IF(OR(LEN(L155)=0,LEN(M155)=0),2,OFFSET(Validation!$A$21,VLOOKUP(LEFT(UPPER(Worksheet!L155),1),Validation!$A$22:$L$30,12,FALSE),(VALUE(LEFT(Worksheet!M155,1))-1)*2+1+IF(IF(RIGHT(Worksheet!L155,1)="+",1,IF(RIGHT(Worksheet!L155,1)="-",-1,0))+IF(RIGHT(Worksheet!M155,1)="+",1,IF(RIGHT(Worksheet!M155,1)="-",-1,0))&gt;0,1,0)))))</f>
        <v>2</v>
      </c>
      <c r="P155" s="159">
        <f ca="1">IF(NOT(Format2Print),2,OFFSET(Validation!$C$53,VLOOKUP(N155,Validation!$A$54:$B$69,2),HLOOKUP(K155,Validation!$D$51:$AD$52,2)))</f>
        <v>2</v>
      </c>
      <c r="U155" s="161" t="b">
        <f>ISERROR(VLOOKUP(LEFT(T155,LEN(T155)-IF(OR(RIGHT(T155)="-",RIGHT(T155)="+"),1,0)),IF(LEFT(Worksheet!S155,1)="N",'macro d''éval'!$N$36:$O$39,'macro d''éval'!$N$42:$O$45),2,FALSE))</f>
        <v>1</v>
      </c>
      <c r="Y155" s="165"/>
    </row>
    <row r="156" spans="10:25">
      <c r="J156" s="154">
        <f ca="1">IF(NOT(Format2Print),2,IF(OR(LEN(G156)=0,LEN(H156)=0,LEN(I156)=0),2,OFFSET(Validation!$A$8,VLOOKUP(LEFT(Worksheet!G156,1),Validation!$A$9:$U$16,21),HLOOKUP(SUBSTITUTE(SUBSTITUTE(SUBSTITUTE(UPPER(Worksheet!H156),"+",""),"-",""),"N","T"),Validation!$B$7:$S$18,12,FALSE)*3+VALUE(LEFT(Worksheet!I156,1)))))</f>
        <v>2</v>
      </c>
      <c r="O156" s="158">
        <f ca="1">IF(NOT(Format2Print),2,MIN(3,IF(OR(LEN(L156)=0,LEN(M156)=0),2,OFFSET(Validation!$A$21,VLOOKUP(LEFT(UPPER(Worksheet!L156),1),Validation!$A$22:$L$30,12,FALSE),(VALUE(LEFT(Worksheet!M156,1))-1)*2+1+IF(IF(RIGHT(Worksheet!L156,1)="+",1,IF(RIGHT(Worksheet!L156,1)="-",-1,0))+IF(RIGHT(Worksheet!M156,1)="+",1,IF(RIGHT(Worksheet!M156,1)="-",-1,0))&gt;0,1,0)))))</f>
        <v>2</v>
      </c>
      <c r="P156" s="159">
        <f ca="1">IF(NOT(Format2Print),2,OFFSET(Validation!$C$53,VLOOKUP(N156,Validation!$A$54:$B$69,2),HLOOKUP(K156,Validation!$D$51:$AD$52,2)))</f>
        <v>2</v>
      </c>
      <c r="U156" s="161" t="b">
        <f>ISERROR(VLOOKUP(LEFT(T156,LEN(T156)-IF(OR(RIGHT(T156)="-",RIGHT(T156)="+"),1,0)),IF(LEFT(Worksheet!S156,1)="N",'macro d''éval'!$N$36:$O$39,'macro d''éval'!$N$42:$O$45),2,FALSE))</f>
        <v>1</v>
      </c>
      <c r="Y156" s="165"/>
    </row>
    <row r="157" spans="10:25">
      <c r="J157" s="154">
        <f ca="1">IF(NOT(Format2Print),2,IF(OR(LEN(G157)=0,LEN(H157)=0,LEN(I157)=0),2,OFFSET(Validation!$A$8,VLOOKUP(LEFT(Worksheet!G157,1),Validation!$A$9:$U$16,21),HLOOKUP(SUBSTITUTE(SUBSTITUTE(SUBSTITUTE(UPPER(Worksheet!H157),"+",""),"-",""),"N","T"),Validation!$B$7:$S$18,12,FALSE)*3+VALUE(LEFT(Worksheet!I157,1)))))</f>
        <v>2</v>
      </c>
      <c r="O157" s="158">
        <f ca="1">IF(NOT(Format2Print),2,MIN(3,IF(OR(LEN(L157)=0,LEN(M157)=0),2,OFFSET(Validation!$A$21,VLOOKUP(LEFT(UPPER(Worksheet!L157),1),Validation!$A$22:$L$30,12,FALSE),(VALUE(LEFT(Worksheet!M157,1))-1)*2+1+IF(IF(RIGHT(Worksheet!L157,1)="+",1,IF(RIGHT(Worksheet!L157,1)="-",-1,0))+IF(RIGHT(Worksheet!M157,1)="+",1,IF(RIGHT(Worksheet!M157,1)="-",-1,0))&gt;0,1,0)))))</f>
        <v>2</v>
      </c>
      <c r="P157" s="159">
        <f ca="1">IF(NOT(Format2Print),2,OFFSET(Validation!$C$53,VLOOKUP(N157,Validation!$A$54:$B$69,2),HLOOKUP(K157,Validation!$D$51:$AD$52,2)))</f>
        <v>2</v>
      </c>
      <c r="U157" s="161" t="b">
        <f>ISERROR(VLOOKUP(LEFT(T157,LEN(T157)-IF(OR(RIGHT(T157)="-",RIGHT(T157)="+"),1,0)),IF(LEFT(Worksheet!S157,1)="N",'macro d''éval'!$N$36:$O$39,'macro d''éval'!$N$42:$O$45),2,FALSE))</f>
        <v>1</v>
      </c>
      <c r="Y157" s="165"/>
    </row>
    <row r="158" spans="10:25">
      <c r="J158" s="154">
        <f ca="1">IF(NOT(Format2Print),2,IF(OR(LEN(G158)=0,LEN(H158)=0,LEN(I158)=0),2,OFFSET(Validation!$A$8,VLOOKUP(LEFT(Worksheet!G158,1),Validation!$A$9:$U$16,21),HLOOKUP(SUBSTITUTE(SUBSTITUTE(SUBSTITUTE(UPPER(Worksheet!H158),"+",""),"-",""),"N","T"),Validation!$B$7:$S$18,12,FALSE)*3+VALUE(LEFT(Worksheet!I158,1)))))</f>
        <v>2</v>
      </c>
      <c r="O158" s="158">
        <f ca="1">IF(NOT(Format2Print),2,MIN(3,IF(OR(LEN(L158)=0,LEN(M158)=0),2,OFFSET(Validation!$A$21,VLOOKUP(LEFT(UPPER(Worksheet!L158),1),Validation!$A$22:$L$30,12,FALSE),(VALUE(LEFT(Worksheet!M158,1))-1)*2+1+IF(IF(RIGHT(Worksheet!L158,1)="+",1,IF(RIGHT(Worksheet!L158,1)="-",-1,0))+IF(RIGHT(Worksheet!M158,1)="+",1,IF(RIGHT(Worksheet!M158,1)="-",-1,0))&gt;0,1,0)))))</f>
        <v>2</v>
      </c>
      <c r="P158" s="159">
        <f ca="1">IF(NOT(Format2Print),2,OFFSET(Validation!$C$53,VLOOKUP(N158,Validation!$A$54:$B$69,2),HLOOKUP(K158,Validation!$D$51:$AD$52,2)))</f>
        <v>2</v>
      </c>
      <c r="U158" s="161" t="b">
        <f>ISERROR(VLOOKUP(LEFT(T158,LEN(T158)-IF(OR(RIGHT(T158)="-",RIGHT(T158)="+"),1,0)),IF(LEFT(Worksheet!S158,1)="N",'macro d''éval'!$N$36:$O$39,'macro d''éval'!$N$42:$O$45),2,FALSE))</f>
        <v>1</v>
      </c>
      <c r="Y158" s="165"/>
    </row>
    <row r="159" spans="10:25">
      <c r="J159" s="154">
        <f ca="1">IF(NOT(Format2Print),2,IF(OR(LEN(G159)=0,LEN(H159)=0,LEN(I159)=0),2,OFFSET(Validation!$A$8,VLOOKUP(LEFT(Worksheet!G159,1),Validation!$A$9:$U$16,21),HLOOKUP(SUBSTITUTE(SUBSTITUTE(SUBSTITUTE(UPPER(Worksheet!H159),"+",""),"-",""),"N","T"),Validation!$B$7:$S$18,12,FALSE)*3+VALUE(LEFT(Worksheet!I159,1)))))</f>
        <v>2</v>
      </c>
      <c r="O159" s="158">
        <f ca="1">IF(NOT(Format2Print),2,MIN(3,IF(OR(LEN(L159)=0,LEN(M159)=0),2,OFFSET(Validation!$A$21,VLOOKUP(LEFT(UPPER(Worksheet!L159),1),Validation!$A$22:$L$30,12,FALSE),(VALUE(LEFT(Worksheet!M159,1))-1)*2+1+IF(IF(RIGHT(Worksheet!L159,1)="+",1,IF(RIGHT(Worksheet!L159,1)="-",-1,0))+IF(RIGHT(Worksheet!M159,1)="+",1,IF(RIGHT(Worksheet!M159,1)="-",-1,0))&gt;0,1,0)))))</f>
        <v>2</v>
      </c>
      <c r="P159" s="159">
        <f ca="1">IF(NOT(Format2Print),2,OFFSET(Validation!$C$53,VLOOKUP(N159,Validation!$A$54:$B$69,2),HLOOKUP(K159,Validation!$D$51:$AD$52,2)))</f>
        <v>2</v>
      </c>
      <c r="U159" s="161" t="b">
        <f>ISERROR(VLOOKUP(LEFT(T159,LEN(T159)-IF(OR(RIGHT(T159)="-",RIGHT(T159)="+"),1,0)),IF(LEFT(Worksheet!S159,1)="N",'macro d''éval'!$N$36:$O$39,'macro d''éval'!$N$42:$O$45),2,FALSE))</f>
        <v>1</v>
      </c>
      <c r="Y159" s="165"/>
    </row>
    <row r="160" spans="10:25">
      <c r="J160" s="154">
        <f ca="1">IF(NOT(Format2Print),2,IF(OR(LEN(G160)=0,LEN(H160)=0,LEN(I160)=0),2,OFFSET(Validation!$A$8,VLOOKUP(LEFT(Worksheet!G160,1),Validation!$A$9:$U$16,21),HLOOKUP(SUBSTITUTE(SUBSTITUTE(SUBSTITUTE(UPPER(Worksheet!H160),"+",""),"-",""),"N","T"),Validation!$B$7:$S$18,12,FALSE)*3+VALUE(LEFT(Worksheet!I160,1)))))</f>
        <v>2</v>
      </c>
      <c r="O160" s="158">
        <f ca="1">IF(NOT(Format2Print),2,MIN(3,IF(OR(LEN(L160)=0,LEN(M160)=0),2,OFFSET(Validation!$A$21,VLOOKUP(LEFT(UPPER(Worksheet!L160),1),Validation!$A$22:$L$30,12,FALSE),(VALUE(LEFT(Worksheet!M160,1))-1)*2+1+IF(IF(RIGHT(Worksheet!L160,1)="+",1,IF(RIGHT(Worksheet!L160,1)="-",-1,0))+IF(RIGHT(Worksheet!M160,1)="+",1,IF(RIGHT(Worksheet!M160,1)="-",-1,0))&gt;0,1,0)))))</f>
        <v>2</v>
      </c>
      <c r="P160" s="159">
        <f ca="1">IF(NOT(Format2Print),2,OFFSET(Validation!$C$53,VLOOKUP(N160,Validation!$A$54:$B$69,2),HLOOKUP(K160,Validation!$D$51:$AD$52,2)))</f>
        <v>2</v>
      </c>
      <c r="U160" s="161" t="b">
        <f>ISERROR(VLOOKUP(LEFT(T160,LEN(T160)-IF(OR(RIGHT(T160)="-",RIGHT(T160)="+"),1,0)),IF(LEFT(Worksheet!S160,1)="N",'macro d''éval'!$N$36:$O$39,'macro d''éval'!$N$42:$O$45),2,FALSE))</f>
        <v>1</v>
      </c>
      <c r="Y160" s="165"/>
    </row>
    <row r="161" spans="10:25">
      <c r="J161" s="154">
        <f ca="1">IF(NOT(Format2Print),2,IF(OR(LEN(G161)=0,LEN(H161)=0,LEN(I161)=0),2,OFFSET(Validation!$A$8,VLOOKUP(LEFT(Worksheet!G161,1),Validation!$A$9:$U$16,21),HLOOKUP(SUBSTITUTE(SUBSTITUTE(SUBSTITUTE(UPPER(Worksheet!H161),"+",""),"-",""),"N","T"),Validation!$B$7:$S$18,12,FALSE)*3+VALUE(LEFT(Worksheet!I161,1)))))</f>
        <v>2</v>
      </c>
      <c r="O161" s="158">
        <f ca="1">IF(NOT(Format2Print),2,MIN(3,IF(OR(LEN(L161)=0,LEN(M161)=0),2,OFFSET(Validation!$A$21,VLOOKUP(LEFT(UPPER(Worksheet!L161),1),Validation!$A$22:$L$30,12,FALSE),(VALUE(LEFT(Worksheet!M161,1))-1)*2+1+IF(IF(RIGHT(Worksheet!L161,1)="+",1,IF(RIGHT(Worksheet!L161,1)="-",-1,0))+IF(RIGHT(Worksheet!M161,1)="+",1,IF(RIGHT(Worksheet!M161,1)="-",-1,0))&gt;0,1,0)))))</f>
        <v>2</v>
      </c>
      <c r="P161" s="159">
        <f ca="1">IF(NOT(Format2Print),2,OFFSET(Validation!$C$53,VLOOKUP(N161,Validation!$A$54:$B$69,2),HLOOKUP(K161,Validation!$D$51:$AD$52,2)))</f>
        <v>2</v>
      </c>
      <c r="U161" s="161" t="b">
        <f>ISERROR(VLOOKUP(LEFT(T161,LEN(T161)-IF(OR(RIGHT(T161)="-",RIGHT(T161)="+"),1,0)),IF(LEFT(Worksheet!S161,1)="N",'macro d''éval'!$N$36:$O$39,'macro d''éval'!$N$42:$O$45),2,FALSE))</f>
        <v>1</v>
      </c>
      <c r="Y161" s="165"/>
    </row>
    <row r="162" spans="10:25">
      <c r="J162" s="154">
        <f ca="1">IF(NOT(Format2Print),2,IF(OR(LEN(G162)=0,LEN(H162)=0,LEN(I162)=0),2,OFFSET(Validation!$A$8,VLOOKUP(LEFT(Worksheet!G162,1),Validation!$A$9:$U$16,21),HLOOKUP(SUBSTITUTE(SUBSTITUTE(SUBSTITUTE(UPPER(Worksheet!H162),"+",""),"-",""),"N","T"),Validation!$B$7:$S$18,12,FALSE)*3+VALUE(LEFT(Worksheet!I162,1)))))</f>
        <v>2</v>
      </c>
      <c r="O162" s="158">
        <f ca="1">IF(NOT(Format2Print),2,MIN(3,IF(OR(LEN(L162)=0,LEN(M162)=0),2,OFFSET(Validation!$A$21,VLOOKUP(LEFT(UPPER(Worksheet!L162),1),Validation!$A$22:$L$30,12,FALSE),(VALUE(LEFT(Worksheet!M162,1))-1)*2+1+IF(IF(RIGHT(Worksheet!L162,1)="+",1,IF(RIGHT(Worksheet!L162,1)="-",-1,0))+IF(RIGHT(Worksheet!M162,1)="+",1,IF(RIGHT(Worksheet!M162,1)="-",-1,0))&gt;0,1,0)))))</f>
        <v>2</v>
      </c>
      <c r="P162" s="159">
        <f ca="1">IF(NOT(Format2Print),2,OFFSET(Validation!$C$53,VLOOKUP(N162,Validation!$A$54:$B$69,2),HLOOKUP(K162,Validation!$D$51:$AD$52,2)))</f>
        <v>2</v>
      </c>
      <c r="U162" s="161" t="b">
        <f>ISERROR(VLOOKUP(LEFT(T162,LEN(T162)-IF(OR(RIGHT(T162)="-",RIGHT(T162)="+"),1,0)),IF(LEFT(Worksheet!S162,1)="N",'macro d''éval'!$N$36:$O$39,'macro d''éval'!$N$42:$O$45),2,FALSE))</f>
        <v>1</v>
      </c>
      <c r="Y162" s="165"/>
    </row>
    <row r="163" spans="10:25">
      <c r="J163" s="154">
        <f ca="1">IF(NOT(Format2Print),2,IF(OR(LEN(G163)=0,LEN(H163)=0,LEN(I163)=0),2,OFFSET(Validation!$A$8,VLOOKUP(LEFT(Worksheet!G163,1),Validation!$A$9:$U$16,21),HLOOKUP(SUBSTITUTE(SUBSTITUTE(SUBSTITUTE(UPPER(Worksheet!H163),"+",""),"-",""),"N","T"),Validation!$B$7:$S$18,12,FALSE)*3+VALUE(LEFT(Worksheet!I163,1)))))</f>
        <v>2</v>
      </c>
      <c r="O163" s="158">
        <f ca="1">IF(NOT(Format2Print),2,MIN(3,IF(OR(LEN(L163)=0,LEN(M163)=0),2,OFFSET(Validation!$A$21,VLOOKUP(LEFT(UPPER(Worksheet!L163),1),Validation!$A$22:$L$30,12,FALSE),(VALUE(LEFT(Worksheet!M163,1))-1)*2+1+IF(IF(RIGHT(Worksheet!L163,1)="+",1,IF(RIGHT(Worksheet!L163,1)="-",-1,0))+IF(RIGHT(Worksheet!M163,1)="+",1,IF(RIGHT(Worksheet!M163,1)="-",-1,0))&gt;0,1,0)))))</f>
        <v>2</v>
      </c>
      <c r="P163" s="159">
        <f ca="1">IF(NOT(Format2Print),2,OFFSET(Validation!$C$53,VLOOKUP(N163,Validation!$A$54:$B$69,2),HLOOKUP(K163,Validation!$D$51:$AD$52,2)))</f>
        <v>2</v>
      </c>
      <c r="U163" s="161" t="b">
        <f>ISERROR(VLOOKUP(LEFT(T163,LEN(T163)-IF(OR(RIGHT(T163)="-",RIGHT(T163)="+"),1,0)),IF(LEFT(Worksheet!S163,1)="N",'macro d''éval'!$N$36:$O$39,'macro d''éval'!$N$42:$O$45),2,FALSE))</f>
        <v>1</v>
      </c>
      <c r="Y163" s="165"/>
    </row>
    <row r="164" spans="10:25">
      <c r="J164" s="154">
        <f ca="1">IF(NOT(Format2Print),2,IF(OR(LEN(G164)=0,LEN(H164)=0,LEN(I164)=0),2,OFFSET(Validation!$A$8,VLOOKUP(LEFT(Worksheet!G164,1),Validation!$A$9:$U$16,21),HLOOKUP(SUBSTITUTE(SUBSTITUTE(SUBSTITUTE(UPPER(Worksheet!H164),"+",""),"-",""),"N","T"),Validation!$B$7:$S$18,12,FALSE)*3+VALUE(LEFT(Worksheet!I164,1)))))</f>
        <v>2</v>
      </c>
      <c r="O164" s="158">
        <f ca="1">IF(NOT(Format2Print),2,MIN(3,IF(OR(LEN(L164)=0,LEN(M164)=0),2,OFFSET(Validation!$A$21,VLOOKUP(LEFT(UPPER(Worksheet!L164),1),Validation!$A$22:$L$30,12,FALSE),(VALUE(LEFT(Worksheet!M164,1))-1)*2+1+IF(IF(RIGHT(Worksheet!L164,1)="+",1,IF(RIGHT(Worksheet!L164,1)="-",-1,0))+IF(RIGHT(Worksheet!M164,1)="+",1,IF(RIGHT(Worksheet!M164,1)="-",-1,0))&gt;0,1,0)))))</f>
        <v>2</v>
      </c>
      <c r="P164" s="159">
        <f ca="1">IF(NOT(Format2Print),2,OFFSET(Validation!$C$53,VLOOKUP(N164,Validation!$A$54:$B$69,2),HLOOKUP(K164,Validation!$D$51:$AD$52,2)))</f>
        <v>2</v>
      </c>
      <c r="U164" s="161" t="b">
        <f>ISERROR(VLOOKUP(LEFT(T164,LEN(T164)-IF(OR(RIGHT(T164)="-",RIGHT(T164)="+"),1,0)),IF(LEFT(Worksheet!S164,1)="N",'macro d''éval'!$N$36:$O$39,'macro d''éval'!$N$42:$O$45),2,FALSE))</f>
        <v>1</v>
      </c>
      <c r="Y164" s="165"/>
    </row>
    <row r="165" spans="10:25">
      <c r="J165" s="154">
        <f ca="1">IF(NOT(Format2Print),2,IF(OR(LEN(G165)=0,LEN(H165)=0,LEN(I165)=0),2,OFFSET(Validation!$A$8,VLOOKUP(LEFT(Worksheet!G165,1),Validation!$A$9:$U$16,21),HLOOKUP(SUBSTITUTE(SUBSTITUTE(SUBSTITUTE(UPPER(Worksheet!H165),"+",""),"-",""),"N","T"),Validation!$B$7:$S$18,12,FALSE)*3+VALUE(LEFT(Worksheet!I165,1)))))</f>
        <v>2</v>
      </c>
      <c r="O165" s="158">
        <f ca="1">IF(NOT(Format2Print),2,MIN(3,IF(OR(LEN(L165)=0,LEN(M165)=0),2,OFFSET(Validation!$A$21,VLOOKUP(LEFT(UPPER(Worksheet!L165),1),Validation!$A$22:$L$30,12,FALSE),(VALUE(LEFT(Worksheet!M165,1))-1)*2+1+IF(IF(RIGHT(Worksheet!L165,1)="+",1,IF(RIGHT(Worksheet!L165,1)="-",-1,0))+IF(RIGHT(Worksheet!M165,1)="+",1,IF(RIGHT(Worksheet!M165,1)="-",-1,0))&gt;0,1,0)))))</f>
        <v>2</v>
      </c>
      <c r="P165" s="159">
        <f ca="1">IF(NOT(Format2Print),2,OFFSET(Validation!$C$53,VLOOKUP(N165,Validation!$A$54:$B$69,2),HLOOKUP(K165,Validation!$D$51:$AD$52,2)))</f>
        <v>2</v>
      </c>
      <c r="U165" s="161" t="b">
        <f>ISERROR(VLOOKUP(LEFT(T165,LEN(T165)-IF(OR(RIGHT(T165)="-",RIGHT(T165)="+"),1,0)),IF(LEFT(Worksheet!S165,1)="N",'macro d''éval'!$N$36:$O$39,'macro d''éval'!$N$42:$O$45),2,FALSE))</f>
        <v>1</v>
      </c>
      <c r="Y165" s="165"/>
    </row>
    <row r="166" spans="10:25">
      <c r="J166" s="154">
        <f ca="1">IF(NOT(Format2Print),2,IF(OR(LEN(G166)=0,LEN(H166)=0,LEN(I166)=0),2,OFFSET(Validation!$A$8,VLOOKUP(LEFT(Worksheet!G166,1),Validation!$A$9:$U$16,21),HLOOKUP(SUBSTITUTE(SUBSTITUTE(SUBSTITUTE(UPPER(Worksheet!H166),"+",""),"-",""),"N","T"),Validation!$B$7:$S$18,12,FALSE)*3+VALUE(LEFT(Worksheet!I166,1)))))</f>
        <v>2</v>
      </c>
      <c r="O166" s="158">
        <f ca="1">IF(NOT(Format2Print),2,MIN(3,IF(OR(LEN(L166)=0,LEN(M166)=0),2,OFFSET(Validation!$A$21,VLOOKUP(LEFT(UPPER(Worksheet!L166),1),Validation!$A$22:$L$30,12,FALSE),(VALUE(LEFT(Worksheet!M166,1))-1)*2+1+IF(IF(RIGHT(Worksheet!L166,1)="+",1,IF(RIGHT(Worksheet!L166,1)="-",-1,0))+IF(RIGHT(Worksheet!M166,1)="+",1,IF(RIGHT(Worksheet!M166,1)="-",-1,0))&gt;0,1,0)))))</f>
        <v>2</v>
      </c>
      <c r="P166" s="159">
        <f ca="1">IF(NOT(Format2Print),2,OFFSET(Validation!$C$53,VLOOKUP(N166,Validation!$A$54:$B$69,2),HLOOKUP(K166,Validation!$D$51:$AD$52,2)))</f>
        <v>2</v>
      </c>
      <c r="U166" s="161" t="b">
        <f>ISERROR(VLOOKUP(LEFT(T166,LEN(T166)-IF(OR(RIGHT(T166)="-",RIGHT(T166)="+"),1,0)),IF(LEFT(Worksheet!S166,1)="N",'macro d''éval'!$N$36:$O$39,'macro d''éval'!$N$42:$O$45),2,FALSE))</f>
        <v>1</v>
      </c>
      <c r="Y166" s="165"/>
    </row>
    <row r="167" spans="10:25">
      <c r="J167" s="154">
        <f ca="1">IF(NOT(Format2Print),2,IF(OR(LEN(G167)=0,LEN(H167)=0,LEN(I167)=0),2,OFFSET(Validation!$A$8,VLOOKUP(LEFT(Worksheet!G167,1),Validation!$A$9:$U$16,21),HLOOKUP(SUBSTITUTE(SUBSTITUTE(SUBSTITUTE(UPPER(Worksheet!H167),"+",""),"-",""),"N","T"),Validation!$B$7:$S$18,12,FALSE)*3+VALUE(LEFT(Worksheet!I167,1)))))</f>
        <v>2</v>
      </c>
      <c r="O167" s="158">
        <f ca="1">IF(NOT(Format2Print),2,MIN(3,IF(OR(LEN(L167)=0,LEN(M167)=0),2,OFFSET(Validation!$A$21,VLOOKUP(LEFT(UPPER(Worksheet!L167),1),Validation!$A$22:$L$30,12,FALSE),(VALUE(LEFT(Worksheet!M167,1))-1)*2+1+IF(IF(RIGHT(Worksheet!L167,1)="+",1,IF(RIGHT(Worksheet!L167,1)="-",-1,0))+IF(RIGHT(Worksheet!M167,1)="+",1,IF(RIGHT(Worksheet!M167,1)="-",-1,0))&gt;0,1,0)))))</f>
        <v>2</v>
      </c>
      <c r="P167" s="159">
        <f ca="1">IF(NOT(Format2Print),2,OFFSET(Validation!$C$53,VLOOKUP(N167,Validation!$A$54:$B$69,2),HLOOKUP(K167,Validation!$D$51:$AD$52,2)))</f>
        <v>2</v>
      </c>
      <c r="U167" s="161" t="b">
        <f>ISERROR(VLOOKUP(LEFT(T167,LEN(T167)-IF(OR(RIGHT(T167)="-",RIGHT(T167)="+"),1,0)),IF(LEFT(Worksheet!S167,1)="N",'macro d''éval'!$N$36:$O$39,'macro d''éval'!$N$42:$O$45),2,FALSE))</f>
        <v>1</v>
      </c>
      <c r="Y167" s="165"/>
    </row>
    <row r="168" spans="10:25">
      <c r="J168" s="154">
        <f ca="1">IF(NOT(Format2Print),2,IF(OR(LEN(G168)=0,LEN(H168)=0,LEN(I168)=0),2,OFFSET(Validation!$A$8,VLOOKUP(LEFT(Worksheet!G168,1),Validation!$A$9:$U$16,21),HLOOKUP(SUBSTITUTE(SUBSTITUTE(SUBSTITUTE(UPPER(Worksheet!H168),"+",""),"-",""),"N","T"),Validation!$B$7:$S$18,12,FALSE)*3+VALUE(LEFT(Worksheet!I168,1)))))</f>
        <v>2</v>
      </c>
      <c r="O168" s="158">
        <f ca="1">IF(NOT(Format2Print),2,MIN(3,IF(OR(LEN(L168)=0,LEN(M168)=0),2,OFFSET(Validation!$A$21,VLOOKUP(LEFT(UPPER(Worksheet!L168),1),Validation!$A$22:$L$30,12,FALSE),(VALUE(LEFT(Worksheet!M168,1))-1)*2+1+IF(IF(RIGHT(Worksheet!L168,1)="+",1,IF(RIGHT(Worksheet!L168,1)="-",-1,0))+IF(RIGHT(Worksheet!M168,1)="+",1,IF(RIGHT(Worksheet!M168,1)="-",-1,0))&gt;0,1,0)))))</f>
        <v>2</v>
      </c>
      <c r="P168" s="159">
        <f ca="1">IF(NOT(Format2Print),2,OFFSET(Validation!$C$53,VLOOKUP(N168,Validation!$A$54:$B$69,2),HLOOKUP(K168,Validation!$D$51:$AD$52,2)))</f>
        <v>2</v>
      </c>
      <c r="U168" s="161" t="b">
        <f>ISERROR(VLOOKUP(LEFT(T168,LEN(T168)-IF(OR(RIGHT(T168)="-",RIGHT(T168)="+"),1,0)),IF(LEFT(Worksheet!S168,1)="N",'macro d''éval'!$N$36:$O$39,'macro d''éval'!$N$42:$O$45),2,FALSE))</f>
        <v>1</v>
      </c>
      <c r="Y168" s="165"/>
    </row>
    <row r="169" spans="10:25">
      <c r="J169" s="154">
        <f ca="1">IF(NOT(Format2Print),2,IF(OR(LEN(G169)=0,LEN(H169)=0,LEN(I169)=0),2,OFFSET(Validation!$A$8,VLOOKUP(LEFT(Worksheet!G169,1),Validation!$A$9:$U$16,21),HLOOKUP(SUBSTITUTE(SUBSTITUTE(SUBSTITUTE(UPPER(Worksheet!H169),"+",""),"-",""),"N","T"),Validation!$B$7:$S$18,12,FALSE)*3+VALUE(LEFT(Worksheet!I169,1)))))</f>
        <v>2</v>
      </c>
      <c r="O169" s="158">
        <f ca="1">IF(NOT(Format2Print),2,MIN(3,IF(OR(LEN(L169)=0,LEN(M169)=0),2,OFFSET(Validation!$A$21,VLOOKUP(LEFT(UPPER(Worksheet!L169),1),Validation!$A$22:$L$30,12,FALSE),(VALUE(LEFT(Worksheet!M169,1))-1)*2+1+IF(IF(RIGHT(Worksheet!L169,1)="+",1,IF(RIGHT(Worksheet!L169,1)="-",-1,0))+IF(RIGHT(Worksheet!M169,1)="+",1,IF(RIGHT(Worksheet!M169,1)="-",-1,0))&gt;0,1,0)))))</f>
        <v>2</v>
      </c>
      <c r="P169" s="159">
        <f ca="1">IF(NOT(Format2Print),2,OFFSET(Validation!$C$53,VLOOKUP(N169,Validation!$A$54:$B$69,2),HLOOKUP(K169,Validation!$D$51:$AD$52,2)))</f>
        <v>2</v>
      </c>
      <c r="U169" s="161" t="b">
        <f>ISERROR(VLOOKUP(LEFT(T169,LEN(T169)-IF(OR(RIGHT(T169)="-",RIGHT(T169)="+"),1,0)),IF(LEFT(Worksheet!S169,1)="N",'macro d''éval'!$N$36:$O$39,'macro d''éval'!$N$42:$O$45),2,FALSE))</f>
        <v>1</v>
      </c>
      <c r="Y169" s="165"/>
    </row>
    <row r="170" spans="10:25">
      <c r="J170" s="154">
        <f ca="1">IF(NOT(Format2Print),2,IF(OR(LEN(G170)=0,LEN(H170)=0,LEN(I170)=0),2,OFFSET(Validation!$A$8,VLOOKUP(LEFT(Worksheet!G170,1),Validation!$A$9:$U$16,21),HLOOKUP(SUBSTITUTE(SUBSTITUTE(SUBSTITUTE(UPPER(Worksheet!H170),"+",""),"-",""),"N","T"),Validation!$B$7:$S$18,12,FALSE)*3+VALUE(LEFT(Worksheet!I170,1)))))</f>
        <v>2</v>
      </c>
      <c r="O170" s="158">
        <f ca="1">IF(NOT(Format2Print),2,MIN(3,IF(OR(LEN(L170)=0,LEN(M170)=0),2,OFFSET(Validation!$A$21,VLOOKUP(LEFT(UPPER(Worksheet!L170),1),Validation!$A$22:$L$30,12,FALSE),(VALUE(LEFT(Worksheet!M170,1))-1)*2+1+IF(IF(RIGHT(Worksheet!L170,1)="+",1,IF(RIGHT(Worksheet!L170,1)="-",-1,0))+IF(RIGHT(Worksheet!M170,1)="+",1,IF(RIGHT(Worksheet!M170,1)="-",-1,0))&gt;0,1,0)))))</f>
        <v>2</v>
      </c>
      <c r="P170" s="159">
        <f ca="1">IF(NOT(Format2Print),2,OFFSET(Validation!$C$53,VLOOKUP(N170,Validation!$A$54:$B$69,2),HLOOKUP(K170,Validation!$D$51:$AD$52,2)))</f>
        <v>2</v>
      </c>
      <c r="U170" s="161" t="b">
        <f>ISERROR(VLOOKUP(LEFT(T170,LEN(T170)-IF(OR(RIGHT(T170)="-",RIGHT(T170)="+"),1,0)),IF(LEFT(Worksheet!S170,1)="N",'macro d''éval'!$N$36:$O$39,'macro d''éval'!$N$42:$O$45),2,FALSE))</f>
        <v>1</v>
      </c>
      <c r="Y170" s="165"/>
    </row>
    <row r="171" spans="10:25">
      <c r="J171" s="154">
        <f ca="1">IF(NOT(Format2Print),2,IF(OR(LEN(G171)=0,LEN(H171)=0,LEN(I171)=0),2,OFFSET(Validation!$A$8,VLOOKUP(LEFT(Worksheet!G171,1),Validation!$A$9:$U$16,21),HLOOKUP(SUBSTITUTE(SUBSTITUTE(SUBSTITUTE(UPPER(Worksheet!H171),"+",""),"-",""),"N","T"),Validation!$B$7:$S$18,12,FALSE)*3+VALUE(LEFT(Worksheet!I171,1)))))</f>
        <v>2</v>
      </c>
      <c r="O171" s="158">
        <f ca="1">IF(NOT(Format2Print),2,MIN(3,IF(OR(LEN(L171)=0,LEN(M171)=0),2,OFFSET(Validation!$A$21,VLOOKUP(LEFT(UPPER(Worksheet!L171),1),Validation!$A$22:$L$30,12,FALSE),(VALUE(LEFT(Worksheet!M171,1))-1)*2+1+IF(IF(RIGHT(Worksheet!L171,1)="+",1,IF(RIGHT(Worksheet!L171,1)="-",-1,0))+IF(RIGHT(Worksheet!M171,1)="+",1,IF(RIGHT(Worksheet!M171,1)="-",-1,0))&gt;0,1,0)))))</f>
        <v>2</v>
      </c>
      <c r="P171" s="159">
        <f ca="1">IF(NOT(Format2Print),2,OFFSET(Validation!$C$53,VLOOKUP(N171,Validation!$A$54:$B$69,2),HLOOKUP(K171,Validation!$D$51:$AD$52,2)))</f>
        <v>2</v>
      </c>
      <c r="U171" s="161" t="b">
        <f>ISERROR(VLOOKUP(LEFT(T171,LEN(T171)-IF(OR(RIGHT(T171)="-",RIGHT(T171)="+"),1,0)),IF(LEFT(Worksheet!S171,1)="N",'macro d''éval'!$N$36:$O$39,'macro d''éval'!$N$42:$O$45),2,FALSE))</f>
        <v>1</v>
      </c>
      <c r="Y171" s="165"/>
    </row>
    <row r="172" spans="10:25">
      <c r="J172" s="154">
        <f ca="1">IF(NOT(Format2Print),2,IF(OR(LEN(G172)=0,LEN(H172)=0,LEN(I172)=0),2,OFFSET(Validation!$A$8,VLOOKUP(LEFT(Worksheet!G172,1),Validation!$A$9:$U$16,21),HLOOKUP(SUBSTITUTE(SUBSTITUTE(SUBSTITUTE(UPPER(Worksheet!H172),"+",""),"-",""),"N","T"),Validation!$B$7:$S$18,12,FALSE)*3+VALUE(LEFT(Worksheet!I172,1)))))</f>
        <v>2</v>
      </c>
      <c r="O172" s="158">
        <f ca="1">IF(NOT(Format2Print),2,MIN(3,IF(OR(LEN(L172)=0,LEN(M172)=0),2,OFFSET(Validation!$A$21,VLOOKUP(LEFT(UPPER(Worksheet!L172),1),Validation!$A$22:$L$30,12,FALSE),(VALUE(LEFT(Worksheet!M172,1))-1)*2+1+IF(IF(RIGHT(Worksheet!L172,1)="+",1,IF(RIGHT(Worksheet!L172,1)="-",-1,0))+IF(RIGHT(Worksheet!M172,1)="+",1,IF(RIGHT(Worksheet!M172,1)="-",-1,0))&gt;0,1,0)))))</f>
        <v>2</v>
      </c>
      <c r="P172" s="159">
        <f ca="1">IF(NOT(Format2Print),2,OFFSET(Validation!$C$53,VLOOKUP(N172,Validation!$A$54:$B$69,2),HLOOKUP(K172,Validation!$D$51:$AD$52,2)))</f>
        <v>2</v>
      </c>
      <c r="U172" s="161" t="b">
        <f>ISERROR(VLOOKUP(LEFT(T172,LEN(T172)-IF(OR(RIGHT(T172)="-",RIGHT(T172)="+"),1,0)),IF(LEFT(Worksheet!S172,1)="N",'macro d''éval'!$N$36:$O$39,'macro d''éval'!$N$42:$O$45),2,FALSE))</f>
        <v>1</v>
      </c>
      <c r="Y172" s="165"/>
    </row>
    <row r="173" spans="10:25">
      <c r="J173" s="154">
        <f ca="1">IF(NOT(Format2Print),2,IF(OR(LEN(G173)=0,LEN(H173)=0,LEN(I173)=0),2,OFFSET(Validation!$A$8,VLOOKUP(LEFT(Worksheet!G173,1),Validation!$A$9:$U$16,21),HLOOKUP(SUBSTITUTE(SUBSTITUTE(SUBSTITUTE(UPPER(Worksheet!H173),"+",""),"-",""),"N","T"),Validation!$B$7:$S$18,12,FALSE)*3+VALUE(LEFT(Worksheet!I173,1)))))</f>
        <v>2</v>
      </c>
      <c r="O173" s="158">
        <f ca="1">IF(NOT(Format2Print),2,MIN(3,IF(OR(LEN(L173)=0,LEN(M173)=0),2,OFFSET(Validation!$A$21,VLOOKUP(LEFT(UPPER(Worksheet!L173),1),Validation!$A$22:$L$30,12,FALSE),(VALUE(LEFT(Worksheet!M173,1))-1)*2+1+IF(IF(RIGHT(Worksheet!L173,1)="+",1,IF(RIGHT(Worksheet!L173,1)="-",-1,0))+IF(RIGHT(Worksheet!M173,1)="+",1,IF(RIGHT(Worksheet!M173,1)="-",-1,0))&gt;0,1,0)))))</f>
        <v>2</v>
      </c>
      <c r="P173" s="159">
        <f ca="1">IF(NOT(Format2Print),2,OFFSET(Validation!$C$53,VLOOKUP(N173,Validation!$A$54:$B$69,2),HLOOKUP(K173,Validation!$D$51:$AD$52,2)))</f>
        <v>2</v>
      </c>
      <c r="U173" s="161" t="b">
        <f>ISERROR(VLOOKUP(LEFT(T173,LEN(T173)-IF(OR(RIGHT(T173)="-",RIGHT(T173)="+"),1,0)),IF(LEFT(Worksheet!S173,1)="N",'macro d''éval'!$N$36:$O$39,'macro d''éval'!$N$42:$O$45),2,FALSE))</f>
        <v>1</v>
      </c>
      <c r="Y173" s="165"/>
    </row>
    <row r="174" spans="10:25">
      <c r="J174" s="154">
        <f ca="1">IF(NOT(Format2Print),2,IF(OR(LEN(G174)=0,LEN(H174)=0,LEN(I174)=0),2,OFFSET(Validation!$A$8,VLOOKUP(LEFT(Worksheet!G174,1),Validation!$A$9:$U$16,21),HLOOKUP(SUBSTITUTE(SUBSTITUTE(SUBSTITUTE(UPPER(Worksheet!H174),"+",""),"-",""),"N","T"),Validation!$B$7:$S$18,12,FALSE)*3+VALUE(LEFT(Worksheet!I174,1)))))</f>
        <v>2</v>
      </c>
      <c r="O174" s="158">
        <f ca="1">IF(NOT(Format2Print),2,MIN(3,IF(OR(LEN(L174)=0,LEN(M174)=0),2,OFFSET(Validation!$A$21,VLOOKUP(LEFT(UPPER(Worksheet!L174),1),Validation!$A$22:$L$30,12,FALSE),(VALUE(LEFT(Worksheet!M174,1))-1)*2+1+IF(IF(RIGHT(Worksheet!L174,1)="+",1,IF(RIGHT(Worksheet!L174,1)="-",-1,0))+IF(RIGHT(Worksheet!M174,1)="+",1,IF(RIGHT(Worksheet!M174,1)="-",-1,0))&gt;0,1,0)))))</f>
        <v>2</v>
      </c>
      <c r="P174" s="159">
        <f ca="1">IF(NOT(Format2Print),2,OFFSET(Validation!$C$53,VLOOKUP(N174,Validation!$A$54:$B$69,2),HLOOKUP(K174,Validation!$D$51:$AD$52,2)))</f>
        <v>2</v>
      </c>
      <c r="U174" s="161" t="b">
        <f>ISERROR(VLOOKUP(LEFT(T174,LEN(T174)-IF(OR(RIGHT(T174)="-",RIGHT(T174)="+"),1,0)),IF(LEFT(Worksheet!S174,1)="N",'macro d''éval'!$N$36:$O$39,'macro d''éval'!$N$42:$O$45),2,FALSE))</f>
        <v>1</v>
      </c>
      <c r="Y174" s="165"/>
    </row>
    <row r="175" spans="10:25">
      <c r="J175" s="154">
        <f ca="1">IF(NOT(Format2Print),2,IF(OR(LEN(G175)=0,LEN(H175)=0,LEN(I175)=0),2,OFFSET(Validation!$A$8,VLOOKUP(LEFT(Worksheet!G175,1),Validation!$A$9:$U$16,21),HLOOKUP(SUBSTITUTE(SUBSTITUTE(SUBSTITUTE(UPPER(Worksheet!H175),"+",""),"-",""),"N","T"),Validation!$B$7:$S$18,12,FALSE)*3+VALUE(LEFT(Worksheet!I175,1)))))</f>
        <v>2</v>
      </c>
      <c r="O175" s="158">
        <f ca="1">IF(NOT(Format2Print),2,MIN(3,IF(OR(LEN(L175)=0,LEN(M175)=0),2,OFFSET(Validation!$A$21,VLOOKUP(LEFT(UPPER(Worksheet!L175),1),Validation!$A$22:$L$30,12,FALSE),(VALUE(LEFT(Worksheet!M175,1))-1)*2+1+IF(IF(RIGHT(Worksheet!L175,1)="+",1,IF(RIGHT(Worksheet!L175,1)="-",-1,0))+IF(RIGHT(Worksheet!M175,1)="+",1,IF(RIGHT(Worksheet!M175,1)="-",-1,0))&gt;0,1,0)))))</f>
        <v>2</v>
      </c>
      <c r="P175" s="159">
        <f ca="1">IF(NOT(Format2Print),2,OFFSET(Validation!$C$53,VLOOKUP(N175,Validation!$A$54:$B$69,2),HLOOKUP(K175,Validation!$D$51:$AD$52,2)))</f>
        <v>2</v>
      </c>
      <c r="U175" s="161" t="b">
        <f>ISERROR(VLOOKUP(LEFT(T175,LEN(T175)-IF(OR(RIGHT(T175)="-",RIGHT(T175)="+"),1,0)),IF(LEFT(Worksheet!S175,1)="N",'macro d''éval'!$N$36:$O$39,'macro d''éval'!$N$42:$O$45),2,FALSE))</f>
        <v>1</v>
      </c>
      <c r="Y175" s="165"/>
    </row>
    <row r="176" spans="10:25">
      <c r="J176" s="154">
        <f ca="1">IF(NOT(Format2Print),2,IF(OR(LEN(G176)=0,LEN(H176)=0,LEN(I176)=0),2,OFFSET(Validation!$A$8,VLOOKUP(LEFT(Worksheet!G176,1),Validation!$A$9:$U$16,21),HLOOKUP(SUBSTITUTE(SUBSTITUTE(SUBSTITUTE(UPPER(Worksheet!H176),"+",""),"-",""),"N","T"),Validation!$B$7:$S$18,12,FALSE)*3+VALUE(LEFT(Worksheet!I176,1)))))</f>
        <v>2</v>
      </c>
      <c r="O176" s="158">
        <f ca="1">IF(NOT(Format2Print),2,MIN(3,IF(OR(LEN(L176)=0,LEN(M176)=0),2,OFFSET(Validation!$A$21,VLOOKUP(LEFT(UPPER(Worksheet!L176),1),Validation!$A$22:$L$30,12,FALSE),(VALUE(LEFT(Worksheet!M176,1))-1)*2+1+IF(IF(RIGHT(Worksheet!L176,1)="+",1,IF(RIGHT(Worksheet!L176,1)="-",-1,0))+IF(RIGHT(Worksheet!M176,1)="+",1,IF(RIGHT(Worksheet!M176,1)="-",-1,0))&gt;0,1,0)))))</f>
        <v>2</v>
      </c>
      <c r="P176" s="159">
        <f ca="1">IF(NOT(Format2Print),2,OFFSET(Validation!$C$53,VLOOKUP(N176,Validation!$A$54:$B$69,2),HLOOKUP(K176,Validation!$D$51:$AD$52,2)))</f>
        <v>2</v>
      </c>
      <c r="U176" s="161" t="b">
        <f>ISERROR(VLOOKUP(LEFT(T176,LEN(T176)-IF(OR(RIGHT(T176)="-",RIGHT(T176)="+"),1,0)),IF(LEFT(Worksheet!S176,1)="N",'macro d''éval'!$N$36:$O$39,'macro d''éval'!$N$42:$O$45),2,FALSE))</f>
        <v>1</v>
      </c>
      <c r="Y176" s="165"/>
    </row>
    <row r="177" spans="10:25">
      <c r="J177" s="154">
        <f ca="1">IF(NOT(Format2Print),2,IF(OR(LEN(G177)=0,LEN(H177)=0,LEN(I177)=0),2,OFFSET(Validation!$A$8,VLOOKUP(LEFT(Worksheet!G177,1),Validation!$A$9:$U$16,21),HLOOKUP(SUBSTITUTE(SUBSTITUTE(SUBSTITUTE(UPPER(Worksheet!H177),"+",""),"-",""),"N","T"),Validation!$B$7:$S$18,12,FALSE)*3+VALUE(LEFT(Worksheet!I177,1)))))</f>
        <v>2</v>
      </c>
      <c r="O177" s="158">
        <f ca="1">IF(NOT(Format2Print),2,MIN(3,IF(OR(LEN(L177)=0,LEN(M177)=0),2,OFFSET(Validation!$A$21,VLOOKUP(LEFT(UPPER(Worksheet!L177),1),Validation!$A$22:$L$30,12,FALSE),(VALUE(LEFT(Worksheet!M177,1))-1)*2+1+IF(IF(RIGHT(Worksheet!L177,1)="+",1,IF(RIGHT(Worksheet!L177,1)="-",-1,0))+IF(RIGHT(Worksheet!M177,1)="+",1,IF(RIGHT(Worksheet!M177,1)="-",-1,0))&gt;0,1,0)))))</f>
        <v>2</v>
      </c>
      <c r="P177" s="159">
        <f ca="1">IF(NOT(Format2Print),2,OFFSET(Validation!$C$53,VLOOKUP(N177,Validation!$A$54:$B$69,2),HLOOKUP(K177,Validation!$D$51:$AD$52,2)))</f>
        <v>2</v>
      </c>
      <c r="U177" s="161" t="b">
        <f>ISERROR(VLOOKUP(LEFT(T177,LEN(T177)-IF(OR(RIGHT(T177)="-",RIGHT(T177)="+"),1,0)),IF(LEFT(Worksheet!S177,1)="N",'macro d''éval'!$N$36:$O$39,'macro d''éval'!$N$42:$O$45),2,FALSE))</f>
        <v>1</v>
      </c>
      <c r="Y177" s="165"/>
    </row>
    <row r="178" spans="10:25">
      <c r="J178" s="154">
        <f ca="1">IF(NOT(Format2Print),2,IF(OR(LEN(G178)=0,LEN(H178)=0,LEN(I178)=0),2,OFFSET(Validation!$A$8,VLOOKUP(LEFT(Worksheet!G178,1),Validation!$A$9:$U$16,21),HLOOKUP(SUBSTITUTE(SUBSTITUTE(SUBSTITUTE(UPPER(Worksheet!H178),"+",""),"-",""),"N","T"),Validation!$B$7:$S$18,12,FALSE)*3+VALUE(LEFT(Worksheet!I178,1)))))</f>
        <v>2</v>
      </c>
      <c r="O178" s="158">
        <f ca="1">IF(NOT(Format2Print),2,MIN(3,IF(OR(LEN(L178)=0,LEN(M178)=0),2,OFFSET(Validation!$A$21,VLOOKUP(LEFT(UPPER(Worksheet!L178),1),Validation!$A$22:$L$30,12,FALSE),(VALUE(LEFT(Worksheet!M178,1))-1)*2+1+IF(IF(RIGHT(Worksheet!L178,1)="+",1,IF(RIGHT(Worksheet!L178,1)="-",-1,0))+IF(RIGHT(Worksheet!M178,1)="+",1,IF(RIGHT(Worksheet!M178,1)="-",-1,0))&gt;0,1,0)))))</f>
        <v>2</v>
      </c>
      <c r="P178" s="159">
        <f ca="1">IF(NOT(Format2Print),2,OFFSET(Validation!$C$53,VLOOKUP(N178,Validation!$A$54:$B$69,2),HLOOKUP(K178,Validation!$D$51:$AD$52,2)))</f>
        <v>2</v>
      </c>
      <c r="U178" s="161" t="b">
        <f>ISERROR(VLOOKUP(LEFT(T178,LEN(T178)-IF(OR(RIGHT(T178)="-",RIGHT(T178)="+"),1,0)),IF(LEFT(Worksheet!S178,1)="N",'macro d''éval'!$N$36:$O$39,'macro d''éval'!$N$42:$O$45),2,FALSE))</f>
        <v>1</v>
      </c>
      <c r="Y178" s="165"/>
    </row>
    <row r="179" spans="10:25">
      <c r="J179" s="154">
        <f ca="1">IF(NOT(Format2Print),2,IF(OR(LEN(G179)=0,LEN(H179)=0,LEN(I179)=0),2,OFFSET(Validation!$A$8,VLOOKUP(LEFT(Worksheet!G179,1),Validation!$A$9:$U$16,21),HLOOKUP(SUBSTITUTE(SUBSTITUTE(SUBSTITUTE(UPPER(Worksheet!H179),"+",""),"-",""),"N","T"),Validation!$B$7:$S$18,12,FALSE)*3+VALUE(LEFT(Worksheet!I179,1)))))</f>
        <v>2</v>
      </c>
      <c r="O179" s="158">
        <f ca="1">IF(NOT(Format2Print),2,MIN(3,IF(OR(LEN(L179)=0,LEN(M179)=0),2,OFFSET(Validation!$A$21,VLOOKUP(LEFT(UPPER(Worksheet!L179),1),Validation!$A$22:$L$30,12,FALSE),(VALUE(LEFT(Worksheet!M179,1))-1)*2+1+IF(IF(RIGHT(Worksheet!L179,1)="+",1,IF(RIGHT(Worksheet!L179,1)="-",-1,0))+IF(RIGHT(Worksheet!M179,1)="+",1,IF(RIGHT(Worksheet!M179,1)="-",-1,0))&gt;0,1,0)))))</f>
        <v>2</v>
      </c>
      <c r="P179" s="159">
        <f ca="1">IF(NOT(Format2Print),2,OFFSET(Validation!$C$53,VLOOKUP(N179,Validation!$A$54:$B$69,2),HLOOKUP(K179,Validation!$D$51:$AD$52,2)))</f>
        <v>2</v>
      </c>
      <c r="U179" s="161" t="b">
        <f>ISERROR(VLOOKUP(LEFT(T179,LEN(T179)-IF(OR(RIGHT(T179)="-",RIGHT(T179)="+"),1,0)),IF(LEFT(Worksheet!S179,1)="N",'macro d''éval'!$N$36:$O$39,'macro d''éval'!$N$42:$O$45),2,FALSE))</f>
        <v>1</v>
      </c>
      <c r="Y179" s="165"/>
    </row>
    <row r="180" spans="10:25">
      <c r="J180" s="154">
        <f ca="1">IF(NOT(Format2Print),2,IF(OR(LEN(G180)=0,LEN(H180)=0,LEN(I180)=0),2,OFFSET(Validation!$A$8,VLOOKUP(LEFT(Worksheet!G180,1),Validation!$A$9:$U$16,21),HLOOKUP(SUBSTITUTE(SUBSTITUTE(SUBSTITUTE(UPPER(Worksheet!H180),"+",""),"-",""),"N","T"),Validation!$B$7:$S$18,12,FALSE)*3+VALUE(LEFT(Worksheet!I180,1)))))</f>
        <v>2</v>
      </c>
      <c r="O180" s="158">
        <f ca="1">IF(NOT(Format2Print),2,MIN(3,IF(OR(LEN(L180)=0,LEN(M180)=0),2,OFFSET(Validation!$A$21,VLOOKUP(LEFT(UPPER(Worksheet!L180),1),Validation!$A$22:$L$30,12,FALSE),(VALUE(LEFT(Worksheet!M180,1))-1)*2+1+IF(IF(RIGHT(Worksheet!L180,1)="+",1,IF(RIGHT(Worksheet!L180,1)="-",-1,0))+IF(RIGHT(Worksheet!M180,1)="+",1,IF(RIGHT(Worksheet!M180,1)="-",-1,0))&gt;0,1,0)))))</f>
        <v>2</v>
      </c>
      <c r="P180" s="159">
        <f ca="1">IF(NOT(Format2Print),2,OFFSET(Validation!$C$53,VLOOKUP(N180,Validation!$A$54:$B$69,2),HLOOKUP(K180,Validation!$D$51:$AD$52,2)))</f>
        <v>2</v>
      </c>
      <c r="U180" s="161" t="b">
        <f>ISERROR(VLOOKUP(LEFT(T180,LEN(T180)-IF(OR(RIGHT(T180)="-",RIGHT(T180)="+"),1,0)),IF(LEFT(Worksheet!S180,1)="N",'macro d''éval'!$N$36:$O$39,'macro d''éval'!$N$42:$O$45),2,FALSE))</f>
        <v>1</v>
      </c>
      <c r="Y180" s="165"/>
    </row>
    <row r="181" spans="10:25">
      <c r="J181" s="154">
        <f ca="1">IF(NOT(Format2Print),2,IF(OR(LEN(G181)=0,LEN(H181)=0,LEN(I181)=0),2,OFFSET(Validation!$A$8,VLOOKUP(LEFT(Worksheet!G181,1),Validation!$A$9:$U$16,21),HLOOKUP(SUBSTITUTE(SUBSTITUTE(SUBSTITUTE(UPPER(Worksheet!H181),"+",""),"-",""),"N","T"),Validation!$B$7:$S$18,12,FALSE)*3+VALUE(LEFT(Worksheet!I181,1)))))</f>
        <v>2</v>
      </c>
      <c r="O181" s="158">
        <f ca="1">IF(NOT(Format2Print),2,MIN(3,IF(OR(LEN(L181)=0,LEN(M181)=0),2,OFFSET(Validation!$A$21,VLOOKUP(LEFT(UPPER(Worksheet!L181),1),Validation!$A$22:$L$30,12,FALSE),(VALUE(LEFT(Worksheet!M181,1))-1)*2+1+IF(IF(RIGHT(Worksheet!L181,1)="+",1,IF(RIGHT(Worksheet!L181,1)="-",-1,0))+IF(RIGHT(Worksheet!M181,1)="+",1,IF(RIGHT(Worksheet!M181,1)="-",-1,0))&gt;0,1,0)))))</f>
        <v>2</v>
      </c>
      <c r="P181" s="159">
        <f ca="1">IF(NOT(Format2Print),2,OFFSET(Validation!$C$53,VLOOKUP(N181,Validation!$A$54:$B$69,2),HLOOKUP(K181,Validation!$D$51:$AD$52,2)))</f>
        <v>2</v>
      </c>
      <c r="U181" s="161" t="b">
        <f>ISERROR(VLOOKUP(LEFT(T181,LEN(T181)-IF(OR(RIGHT(T181)="-",RIGHT(T181)="+"),1,0)),IF(LEFT(Worksheet!S181,1)="N",'macro d''éval'!$N$36:$O$39,'macro d''éval'!$N$42:$O$45),2,FALSE))</f>
        <v>1</v>
      </c>
      <c r="Y181" s="165"/>
    </row>
    <row r="182" spans="10:25">
      <c r="J182" s="154">
        <f ca="1">IF(NOT(Format2Print),2,IF(OR(LEN(G182)=0,LEN(H182)=0,LEN(I182)=0),2,OFFSET(Validation!$A$8,VLOOKUP(LEFT(Worksheet!G182,1),Validation!$A$9:$U$16,21),HLOOKUP(SUBSTITUTE(SUBSTITUTE(SUBSTITUTE(UPPER(Worksheet!H182),"+",""),"-",""),"N","T"),Validation!$B$7:$S$18,12,FALSE)*3+VALUE(LEFT(Worksheet!I182,1)))))</f>
        <v>2</v>
      </c>
      <c r="O182" s="158">
        <f ca="1">IF(NOT(Format2Print),2,MIN(3,IF(OR(LEN(L182)=0,LEN(M182)=0),2,OFFSET(Validation!$A$21,VLOOKUP(LEFT(UPPER(Worksheet!L182),1),Validation!$A$22:$L$30,12,FALSE),(VALUE(LEFT(Worksheet!M182,1))-1)*2+1+IF(IF(RIGHT(Worksheet!L182,1)="+",1,IF(RIGHT(Worksheet!L182,1)="-",-1,0))+IF(RIGHT(Worksheet!M182,1)="+",1,IF(RIGHT(Worksheet!M182,1)="-",-1,0))&gt;0,1,0)))))</f>
        <v>2</v>
      </c>
      <c r="P182" s="159">
        <f ca="1">IF(NOT(Format2Print),2,OFFSET(Validation!$C$53,VLOOKUP(N182,Validation!$A$54:$B$69,2),HLOOKUP(K182,Validation!$D$51:$AD$52,2)))</f>
        <v>2</v>
      </c>
      <c r="U182" s="161" t="b">
        <f>ISERROR(VLOOKUP(LEFT(T182,LEN(T182)-IF(OR(RIGHT(T182)="-",RIGHT(T182)="+"),1,0)),IF(LEFT(Worksheet!S182,1)="N",'macro d''éval'!$N$36:$O$39,'macro d''éval'!$N$42:$O$45),2,FALSE))</f>
        <v>1</v>
      </c>
      <c r="Y182" s="165"/>
    </row>
    <row r="183" spans="10:25">
      <c r="J183" s="154">
        <f ca="1">IF(NOT(Format2Print),2,IF(OR(LEN(G183)=0,LEN(H183)=0,LEN(I183)=0),2,OFFSET(Validation!$A$8,VLOOKUP(LEFT(Worksheet!G183,1),Validation!$A$9:$U$16,21),HLOOKUP(SUBSTITUTE(SUBSTITUTE(SUBSTITUTE(UPPER(Worksheet!H183),"+",""),"-",""),"N","T"),Validation!$B$7:$S$18,12,FALSE)*3+VALUE(LEFT(Worksheet!I183,1)))))</f>
        <v>2</v>
      </c>
      <c r="O183" s="158">
        <f ca="1">IF(NOT(Format2Print),2,MIN(3,IF(OR(LEN(L183)=0,LEN(M183)=0),2,OFFSET(Validation!$A$21,VLOOKUP(LEFT(UPPER(Worksheet!L183),1),Validation!$A$22:$L$30,12,FALSE),(VALUE(LEFT(Worksheet!M183,1))-1)*2+1+IF(IF(RIGHT(Worksheet!L183,1)="+",1,IF(RIGHT(Worksheet!L183,1)="-",-1,0))+IF(RIGHT(Worksheet!M183,1)="+",1,IF(RIGHT(Worksheet!M183,1)="-",-1,0))&gt;0,1,0)))))</f>
        <v>2</v>
      </c>
      <c r="P183" s="159">
        <f ca="1">IF(NOT(Format2Print),2,OFFSET(Validation!$C$53,VLOOKUP(N183,Validation!$A$54:$B$69,2),HLOOKUP(K183,Validation!$D$51:$AD$52,2)))</f>
        <v>2</v>
      </c>
      <c r="U183" s="161" t="b">
        <f>ISERROR(VLOOKUP(LEFT(T183,LEN(T183)-IF(OR(RIGHT(T183)="-",RIGHT(T183)="+"),1,0)),IF(LEFT(Worksheet!S183,1)="N",'macro d''éval'!$N$36:$O$39,'macro d''éval'!$N$42:$O$45),2,FALSE))</f>
        <v>1</v>
      </c>
      <c r="Y183" s="165"/>
    </row>
    <row r="184" spans="10:25">
      <c r="J184" s="154">
        <f ca="1">IF(NOT(Format2Print),2,IF(OR(LEN(G184)=0,LEN(H184)=0,LEN(I184)=0),2,OFFSET(Validation!$A$8,VLOOKUP(LEFT(Worksheet!G184,1),Validation!$A$9:$U$16,21),HLOOKUP(SUBSTITUTE(SUBSTITUTE(SUBSTITUTE(UPPER(Worksheet!H184),"+",""),"-",""),"N","T"),Validation!$B$7:$S$18,12,FALSE)*3+VALUE(LEFT(Worksheet!I184,1)))))</f>
        <v>2</v>
      </c>
      <c r="O184" s="158">
        <f ca="1">IF(NOT(Format2Print),2,MIN(3,IF(OR(LEN(L184)=0,LEN(M184)=0),2,OFFSET(Validation!$A$21,VLOOKUP(LEFT(UPPER(Worksheet!L184),1),Validation!$A$22:$L$30,12,FALSE),(VALUE(LEFT(Worksheet!M184,1))-1)*2+1+IF(IF(RIGHT(Worksheet!L184,1)="+",1,IF(RIGHT(Worksheet!L184,1)="-",-1,0))+IF(RIGHT(Worksheet!M184,1)="+",1,IF(RIGHT(Worksheet!M184,1)="-",-1,0))&gt;0,1,0)))))</f>
        <v>2</v>
      </c>
      <c r="P184" s="159">
        <f ca="1">IF(NOT(Format2Print),2,OFFSET(Validation!$C$53,VLOOKUP(N184,Validation!$A$54:$B$69,2),HLOOKUP(K184,Validation!$D$51:$AD$52,2)))</f>
        <v>2</v>
      </c>
      <c r="U184" s="161" t="b">
        <f>ISERROR(VLOOKUP(LEFT(T184,LEN(T184)-IF(OR(RIGHT(T184)="-",RIGHT(T184)="+"),1,0)),IF(LEFT(Worksheet!S184,1)="N",'macro d''éval'!$N$36:$O$39,'macro d''éval'!$N$42:$O$45),2,FALSE))</f>
        <v>1</v>
      </c>
      <c r="Y184" s="165"/>
    </row>
    <row r="185" spans="10:25">
      <c r="J185" s="154">
        <f ca="1">IF(NOT(Format2Print),2,IF(OR(LEN(G185)=0,LEN(H185)=0,LEN(I185)=0),2,OFFSET(Validation!$A$8,VLOOKUP(LEFT(Worksheet!G185,1),Validation!$A$9:$U$16,21),HLOOKUP(SUBSTITUTE(SUBSTITUTE(SUBSTITUTE(UPPER(Worksheet!H185),"+",""),"-",""),"N","T"),Validation!$B$7:$S$18,12,FALSE)*3+VALUE(LEFT(Worksheet!I185,1)))))</f>
        <v>2</v>
      </c>
      <c r="O185" s="158">
        <f ca="1">IF(NOT(Format2Print),2,MIN(3,IF(OR(LEN(L185)=0,LEN(M185)=0),2,OFFSET(Validation!$A$21,VLOOKUP(LEFT(UPPER(Worksheet!L185),1),Validation!$A$22:$L$30,12,FALSE),(VALUE(LEFT(Worksheet!M185,1))-1)*2+1+IF(IF(RIGHT(Worksheet!L185,1)="+",1,IF(RIGHT(Worksheet!L185,1)="-",-1,0))+IF(RIGHT(Worksheet!M185,1)="+",1,IF(RIGHT(Worksheet!M185,1)="-",-1,0))&gt;0,1,0)))))</f>
        <v>2</v>
      </c>
      <c r="P185" s="159">
        <f ca="1">IF(NOT(Format2Print),2,OFFSET(Validation!$C$53,VLOOKUP(N185,Validation!$A$54:$B$69,2),HLOOKUP(K185,Validation!$D$51:$AD$52,2)))</f>
        <v>2</v>
      </c>
      <c r="U185" s="161" t="b">
        <f>ISERROR(VLOOKUP(LEFT(T185,LEN(T185)-IF(OR(RIGHT(T185)="-",RIGHT(T185)="+"),1,0)),IF(LEFT(Worksheet!S185,1)="N",'macro d''éval'!$N$36:$O$39,'macro d''éval'!$N$42:$O$45),2,FALSE))</f>
        <v>1</v>
      </c>
      <c r="Y185" s="165"/>
    </row>
    <row r="186" spans="10:25">
      <c r="J186" s="154">
        <f ca="1">IF(NOT(Format2Print),2,IF(OR(LEN(G186)=0,LEN(H186)=0,LEN(I186)=0),2,OFFSET(Validation!$A$8,VLOOKUP(LEFT(Worksheet!G186,1),Validation!$A$9:$U$16,21),HLOOKUP(SUBSTITUTE(SUBSTITUTE(SUBSTITUTE(UPPER(Worksheet!H186),"+",""),"-",""),"N","T"),Validation!$B$7:$S$18,12,FALSE)*3+VALUE(LEFT(Worksheet!I186,1)))))</f>
        <v>2</v>
      </c>
      <c r="O186" s="158">
        <f ca="1">IF(NOT(Format2Print),2,MIN(3,IF(OR(LEN(L186)=0,LEN(M186)=0),2,OFFSET(Validation!$A$21,VLOOKUP(LEFT(UPPER(Worksheet!L186),1),Validation!$A$22:$L$30,12,FALSE),(VALUE(LEFT(Worksheet!M186,1))-1)*2+1+IF(IF(RIGHT(Worksheet!L186,1)="+",1,IF(RIGHT(Worksheet!L186,1)="-",-1,0))+IF(RIGHT(Worksheet!M186,1)="+",1,IF(RIGHT(Worksheet!M186,1)="-",-1,0))&gt;0,1,0)))))</f>
        <v>2</v>
      </c>
      <c r="P186" s="159">
        <f ca="1">IF(NOT(Format2Print),2,OFFSET(Validation!$C$53,VLOOKUP(N186,Validation!$A$54:$B$69,2),HLOOKUP(K186,Validation!$D$51:$AD$52,2)))</f>
        <v>2</v>
      </c>
      <c r="U186" s="161" t="b">
        <f>ISERROR(VLOOKUP(LEFT(T186,LEN(T186)-IF(OR(RIGHT(T186)="-",RIGHT(T186)="+"),1,0)),IF(LEFT(Worksheet!S186,1)="N",'macro d''éval'!$N$36:$O$39,'macro d''éval'!$N$42:$O$45),2,FALSE))</f>
        <v>1</v>
      </c>
      <c r="Y186" s="165"/>
    </row>
    <row r="187" spans="10:25">
      <c r="J187" s="154">
        <f ca="1">IF(NOT(Format2Print),2,IF(OR(LEN(G187)=0,LEN(H187)=0,LEN(I187)=0),2,OFFSET(Validation!$A$8,VLOOKUP(LEFT(Worksheet!G187,1),Validation!$A$9:$U$16,21),HLOOKUP(SUBSTITUTE(SUBSTITUTE(SUBSTITUTE(UPPER(Worksheet!H187),"+",""),"-",""),"N","T"),Validation!$B$7:$S$18,12,FALSE)*3+VALUE(LEFT(Worksheet!I187,1)))))</f>
        <v>2</v>
      </c>
      <c r="O187" s="158">
        <f ca="1">IF(NOT(Format2Print),2,MIN(3,IF(OR(LEN(L187)=0,LEN(M187)=0),2,OFFSET(Validation!$A$21,VLOOKUP(LEFT(UPPER(Worksheet!L187),1),Validation!$A$22:$L$30,12,FALSE),(VALUE(LEFT(Worksheet!M187,1))-1)*2+1+IF(IF(RIGHT(Worksheet!L187,1)="+",1,IF(RIGHT(Worksheet!L187,1)="-",-1,0))+IF(RIGHT(Worksheet!M187,1)="+",1,IF(RIGHT(Worksheet!M187,1)="-",-1,0))&gt;0,1,0)))))</f>
        <v>2</v>
      </c>
      <c r="P187" s="159">
        <f ca="1">IF(NOT(Format2Print),2,OFFSET(Validation!$C$53,VLOOKUP(N187,Validation!$A$54:$B$69,2),HLOOKUP(K187,Validation!$D$51:$AD$52,2)))</f>
        <v>2</v>
      </c>
      <c r="U187" s="161" t="b">
        <f>ISERROR(VLOOKUP(LEFT(T187,LEN(T187)-IF(OR(RIGHT(T187)="-",RIGHT(T187)="+"),1,0)),IF(LEFT(Worksheet!S187,1)="N",'macro d''éval'!$N$36:$O$39,'macro d''éval'!$N$42:$O$45),2,FALSE))</f>
        <v>1</v>
      </c>
      <c r="Y187" s="165"/>
    </row>
    <row r="188" spans="10:25">
      <c r="J188" s="154">
        <f ca="1">IF(NOT(Format2Print),2,IF(OR(LEN(G188)=0,LEN(H188)=0,LEN(I188)=0),2,OFFSET(Validation!$A$8,VLOOKUP(LEFT(Worksheet!G188,1),Validation!$A$9:$U$16,21),HLOOKUP(SUBSTITUTE(SUBSTITUTE(SUBSTITUTE(UPPER(Worksheet!H188),"+",""),"-",""),"N","T"),Validation!$B$7:$S$18,12,FALSE)*3+VALUE(LEFT(Worksheet!I188,1)))))</f>
        <v>2</v>
      </c>
      <c r="O188" s="158">
        <f ca="1">IF(NOT(Format2Print),2,MIN(3,IF(OR(LEN(L188)=0,LEN(M188)=0),2,OFFSET(Validation!$A$21,VLOOKUP(LEFT(UPPER(Worksheet!L188),1),Validation!$A$22:$L$30,12,FALSE),(VALUE(LEFT(Worksheet!M188,1))-1)*2+1+IF(IF(RIGHT(Worksheet!L188,1)="+",1,IF(RIGHT(Worksheet!L188,1)="-",-1,0))+IF(RIGHT(Worksheet!M188,1)="+",1,IF(RIGHT(Worksheet!M188,1)="-",-1,0))&gt;0,1,0)))))</f>
        <v>2</v>
      </c>
      <c r="P188" s="159">
        <f ca="1">IF(NOT(Format2Print),2,OFFSET(Validation!$C$53,VLOOKUP(N188,Validation!$A$54:$B$69,2),HLOOKUP(K188,Validation!$D$51:$AD$52,2)))</f>
        <v>2</v>
      </c>
      <c r="U188" s="161" t="b">
        <f>ISERROR(VLOOKUP(LEFT(T188,LEN(T188)-IF(OR(RIGHT(T188)="-",RIGHT(T188)="+"),1,0)),IF(LEFT(Worksheet!S188,1)="N",'macro d''éval'!$N$36:$O$39,'macro d''éval'!$N$42:$O$45),2,FALSE))</f>
        <v>1</v>
      </c>
      <c r="Y188" s="165"/>
    </row>
    <row r="189" spans="10:25">
      <c r="J189" s="154">
        <f ca="1">IF(NOT(Format2Print),2,IF(OR(LEN(G189)=0,LEN(H189)=0,LEN(I189)=0),2,OFFSET(Validation!$A$8,VLOOKUP(LEFT(Worksheet!G189,1),Validation!$A$9:$U$16,21),HLOOKUP(SUBSTITUTE(SUBSTITUTE(SUBSTITUTE(UPPER(Worksheet!H189),"+",""),"-",""),"N","T"),Validation!$B$7:$S$18,12,FALSE)*3+VALUE(LEFT(Worksheet!I189,1)))))</f>
        <v>2</v>
      </c>
      <c r="O189" s="158">
        <f ca="1">IF(NOT(Format2Print),2,MIN(3,IF(OR(LEN(L189)=0,LEN(M189)=0),2,OFFSET(Validation!$A$21,VLOOKUP(LEFT(UPPER(Worksheet!L189),1),Validation!$A$22:$L$30,12,FALSE),(VALUE(LEFT(Worksheet!M189,1))-1)*2+1+IF(IF(RIGHT(Worksheet!L189,1)="+",1,IF(RIGHT(Worksheet!L189,1)="-",-1,0))+IF(RIGHT(Worksheet!M189,1)="+",1,IF(RIGHT(Worksheet!M189,1)="-",-1,0))&gt;0,1,0)))))</f>
        <v>2</v>
      </c>
      <c r="P189" s="159">
        <f ca="1">IF(NOT(Format2Print),2,OFFSET(Validation!$C$53,VLOOKUP(N189,Validation!$A$54:$B$69,2),HLOOKUP(K189,Validation!$D$51:$AD$52,2)))</f>
        <v>2</v>
      </c>
      <c r="U189" s="161" t="b">
        <f>ISERROR(VLOOKUP(LEFT(T189,LEN(T189)-IF(OR(RIGHT(T189)="-",RIGHT(T189)="+"),1,0)),IF(LEFT(Worksheet!S189,1)="N",'macro d''éval'!$N$36:$O$39,'macro d''éval'!$N$42:$O$45),2,FALSE))</f>
        <v>1</v>
      </c>
      <c r="Y189" s="165"/>
    </row>
    <row r="190" spans="10:25">
      <c r="J190" s="154">
        <f ca="1">IF(NOT(Format2Print),2,IF(OR(LEN(G190)=0,LEN(H190)=0,LEN(I190)=0),2,OFFSET(Validation!$A$8,VLOOKUP(LEFT(Worksheet!G190,1),Validation!$A$9:$U$16,21),HLOOKUP(SUBSTITUTE(SUBSTITUTE(SUBSTITUTE(UPPER(Worksheet!H190),"+",""),"-",""),"N","T"),Validation!$B$7:$S$18,12,FALSE)*3+VALUE(LEFT(Worksheet!I190,1)))))</f>
        <v>2</v>
      </c>
      <c r="O190" s="158">
        <f ca="1">IF(NOT(Format2Print),2,MIN(3,IF(OR(LEN(L190)=0,LEN(M190)=0),2,OFFSET(Validation!$A$21,VLOOKUP(LEFT(UPPER(Worksheet!L190),1),Validation!$A$22:$L$30,12,FALSE),(VALUE(LEFT(Worksheet!M190,1))-1)*2+1+IF(IF(RIGHT(Worksheet!L190,1)="+",1,IF(RIGHT(Worksheet!L190,1)="-",-1,0))+IF(RIGHT(Worksheet!M190,1)="+",1,IF(RIGHT(Worksheet!M190,1)="-",-1,0))&gt;0,1,0)))))</f>
        <v>2</v>
      </c>
      <c r="P190" s="159">
        <f ca="1">IF(NOT(Format2Print),2,OFFSET(Validation!$C$53,VLOOKUP(N190,Validation!$A$54:$B$69,2),HLOOKUP(K190,Validation!$D$51:$AD$52,2)))</f>
        <v>2</v>
      </c>
      <c r="U190" s="161" t="b">
        <f>ISERROR(VLOOKUP(LEFT(T190,LEN(T190)-IF(OR(RIGHT(T190)="-",RIGHT(T190)="+"),1,0)),IF(LEFT(Worksheet!S190,1)="N",'macro d''éval'!$N$36:$O$39,'macro d''éval'!$N$42:$O$45),2,FALSE))</f>
        <v>1</v>
      </c>
      <c r="Y190" s="165"/>
    </row>
    <row r="191" spans="10:25">
      <c r="J191" s="154">
        <f ca="1">IF(NOT(Format2Print),2,IF(OR(LEN(G191)=0,LEN(H191)=0,LEN(I191)=0),2,OFFSET(Validation!$A$8,VLOOKUP(LEFT(Worksheet!G191,1),Validation!$A$9:$U$16,21),HLOOKUP(SUBSTITUTE(SUBSTITUTE(SUBSTITUTE(UPPER(Worksheet!H191),"+",""),"-",""),"N","T"),Validation!$B$7:$S$18,12,FALSE)*3+VALUE(LEFT(Worksheet!I191,1)))))</f>
        <v>2</v>
      </c>
      <c r="O191" s="158">
        <f ca="1">IF(NOT(Format2Print),2,MIN(3,IF(OR(LEN(L191)=0,LEN(M191)=0),2,OFFSET(Validation!$A$21,VLOOKUP(LEFT(UPPER(Worksheet!L191),1),Validation!$A$22:$L$30,12,FALSE),(VALUE(LEFT(Worksheet!M191,1))-1)*2+1+IF(IF(RIGHT(Worksheet!L191,1)="+",1,IF(RIGHT(Worksheet!L191,1)="-",-1,0))+IF(RIGHT(Worksheet!M191,1)="+",1,IF(RIGHT(Worksheet!M191,1)="-",-1,0))&gt;0,1,0)))))</f>
        <v>2</v>
      </c>
      <c r="P191" s="159">
        <f ca="1">IF(NOT(Format2Print),2,OFFSET(Validation!$C$53,VLOOKUP(N191,Validation!$A$54:$B$69,2),HLOOKUP(K191,Validation!$D$51:$AD$52,2)))</f>
        <v>2</v>
      </c>
      <c r="U191" s="161" t="b">
        <f>ISERROR(VLOOKUP(LEFT(T191,LEN(T191)-IF(OR(RIGHT(T191)="-",RIGHT(T191)="+"),1,0)),IF(LEFT(Worksheet!S191,1)="N",'macro d''éval'!$N$36:$O$39,'macro d''éval'!$N$42:$O$45),2,FALSE))</f>
        <v>1</v>
      </c>
      <c r="Y191" s="165"/>
    </row>
    <row r="192" spans="10:25">
      <c r="J192" s="154">
        <f ca="1">IF(NOT(Format2Print),2,IF(OR(LEN(G192)=0,LEN(H192)=0,LEN(I192)=0),2,OFFSET(Validation!$A$8,VLOOKUP(LEFT(Worksheet!G192,1),Validation!$A$9:$U$16,21),HLOOKUP(SUBSTITUTE(SUBSTITUTE(SUBSTITUTE(UPPER(Worksheet!H192),"+",""),"-",""),"N","T"),Validation!$B$7:$S$18,12,FALSE)*3+VALUE(LEFT(Worksheet!I192,1)))))</f>
        <v>2</v>
      </c>
      <c r="O192" s="158">
        <f ca="1">IF(NOT(Format2Print),2,MIN(3,IF(OR(LEN(L192)=0,LEN(M192)=0),2,OFFSET(Validation!$A$21,VLOOKUP(LEFT(UPPER(Worksheet!L192),1),Validation!$A$22:$L$30,12,FALSE),(VALUE(LEFT(Worksheet!M192,1))-1)*2+1+IF(IF(RIGHT(Worksheet!L192,1)="+",1,IF(RIGHT(Worksheet!L192,1)="-",-1,0))+IF(RIGHT(Worksheet!M192,1)="+",1,IF(RIGHT(Worksheet!M192,1)="-",-1,0))&gt;0,1,0)))))</f>
        <v>2</v>
      </c>
      <c r="P192" s="159">
        <f ca="1">IF(NOT(Format2Print),2,OFFSET(Validation!$C$53,VLOOKUP(N192,Validation!$A$54:$B$69,2),HLOOKUP(K192,Validation!$D$51:$AD$52,2)))</f>
        <v>2</v>
      </c>
      <c r="U192" s="161" t="b">
        <f>ISERROR(VLOOKUP(LEFT(T192,LEN(T192)-IF(OR(RIGHT(T192)="-",RIGHT(T192)="+"),1,0)),IF(LEFT(Worksheet!S192,1)="N",'macro d''éval'!$N$36:$O$39,'macro d''éval'!$N$42:$O$45),2,FALSE))</f>
        <v>1</v>
      </c>
      <c r="Y192" s="165"/>
    </row>
    <row r="193" spans="10:25">
      <c r="J193" s="154">
        <f ca="1">IF(NOT(Format2Print),2,IF(OR(LEN(G193)=0,LEN(H193)=0,LEN(I193)=0),2,OFFSET(Validation!$A$8,VLOOKUP(LEFT(Worksheet!G193,1),Validation!$A$9:$U$16,21),HLOOKUP(SUBSTITUTE(SUBSTITUTE(SUBSTITUTE(UPPER(Worksheet!H193),"+",""),"-",""),"N","T"),Validation!$B$7:$S$18,12,FALSE)*3+VALUE(LEFT(Worksheet!I193,1)))))</f>
        <v>2</v>
      </c>
      <c r="O193" s="158">
        <f ca="1">IF(NOT(Format2Print),2,MIN(3,IF(OR(LEN(L193)=0,LEN(M193)=0),2,OFFSET(Validation!$A$21,VLOOKUP(LEFT(UPPER(Worksheet!L193),1),Validation!$A$22:$L$30,12,FALSE),(VALUE(LEFT(Worksheet!M193,1))-1)*2+1+IF(IF(RIGHT(Worksheet!L193,1)="+",1,IF(RIGHT(Worksheet!L193,1)="-",-1,0))+IF(RIGHT(Worksheet!M193,1)="+",1,IF(RIGHT(Worksheet!M193,1)="-",-1,0))&gt;0,1,0)))))</f>
        <v>2</v>
      </c>
      <c r="P193" s="159">
        <f ca="1">IF(NOT(Format2Print),2,OFFSET(Validation!$C$53,VLOOKUP(N193,Validation!$A$54:$B$69,2),HLOOKUP(K193,Validation!$D$51:$AD$52,2)))</f>
        <v>2</v>
      </c>
      <c r="U193" s="161" t="b">
        <f>ISERROR(VLOOKUP(LEFT(T193,LEN(T193)-IF(OR(RIGHT(T193)="-",RIGHT(T193)="+"),1,0)),IF(LEFT(Worksheet!S193,1)="N",'macro d''éval'!$N$36:$O$39,'macro d''éval'!$N$42:$O$45),2,FALSE))</f>
        <v>1</v>
      </c>
      <c r="Y193" s="165"/>
    </row>
    <row r="194" spans="10:25">
      <c r="J194" s="154">
        <f ca="1">IF(NOT(Format2Print),2,IF(OR(LEN(G194)=0,LEN(H194)=0,LEN(I194)=0),2,OFFSET(Validation!$A$8,VLOOKUP(LEFT(Worksheet!G194,1),Validation!$A$9:$U$16,21),HLOOKUP(SUBSTITUTE(SUBSTITUTE(SUBSTITUTE(UPPER(Worksheet!H194),"+",""),"-",""),"N","T"),Validation!$B$7:$S$18,12,FALSE)*3+VALUE(LEFT(Worksheet!I194,1)))))</f>
        <v>2</v>
      </c>
      <c r="O194" s="158">
        <f ca="1">IF(NOT(Format2Print),2,MIN(3,IF(OR(LEN(L194)=0,LEN(M194)=0),2,OFFSET(Validation!$A$21,VLOOKUP(LEFT(UPPER(Worksheet!L194),1),Validation!$A$22:$L$30,12,FALSE),(VALUE(LEFT(Worksheet!M194,1))-1)*2+1+IF(IF(RIGHT(Worksheet!L194,1)="+",1,IF(RIGHT(Worksheet!L194,1)="-",-1,0))+IF(RIGHT(Worksheet!M194,1)="+",1,IF(RIGHT(Worksheet!M194,1)="-",-1,0))&gt;0,1,0)))))</f>
        <v>2</v>
      </c>
      <c r="P194" s="159">
        <f ca="1">IF(NOT(Format2Print),2,OFFSET(Validation!$C$53,VLOOKUP(N194,Validation!$A$54:$B$69,2),HLOOKUP(K194,Validation!$D$51:$AD$52,2)))</f>
        <v>2</v>
      </c>
      <c r="U194" s="161" t="b">
        <f>ISERROR(VLOOKUP(LEFT(T194,LEN(T194)-IF(OR(RIGHT(T194)="-",RIGHT(T194)="+"),1,0)),IF(LEFT(Worksheet!S194,1)="N",'macro d''éval'!$N$36:$O$39,'macro d''éval'!$N$42:$O$45),2,FALSE))</f>
        <v>1</v>
      </c>
      <c r="Y194" s="165"/>
    </row>
    <row r="195" spans="10:25">
      <c r="Y195" s="165"/>
    </row>
    <row r="196" spans="10:25">
      <c r="Y196" s="165"/>
    </row>
    <row r="197" spans="10:25">
      <c r="Y197" s="165"/>
    </row>
    <row r="198" spans="10:25">
      <c r="Y198" s="165"/>
    </row>
    <row r="199" spans="10:25">
      <c r="Y199" s="165"/>
    </row>
    <row r="200" spans="10:25">
      <c r="Y200" s="165"/>
    </row>
    <row r="201" spans="10:25">
      <c r="Y201" s="165"/>
    </row>
    <row r="202" spans="10:25">
      <c r="Y202" s="165"/>
    </row>
    <row r="203" spans="10:25">
      <c r="Y203" s="165"/>
    </row>
    <row r="204" spans="10:25">
      <c r="Y204" s="165"/>
    </row>
    <row r="205" spans="10:25">
      <c r="Y205" s="165"/>
    </row>
    <row r="206" spans="10:25">
      <c r="Y206" s="165"/>
    </row>
    <row r="207" spans="10:25">
      <c r="Y207" s="165"/>
    </row>
    <row r="208" spans="10:25">
      <c r="Y208" s="165"/>
    </row>
    <row r="209" spans="25:25">
      <c r="Y209" s="165"/>
    </row>
    <row r="210" spans="25:25">
      <c r="Y210" s="165"/>
    </row>
    <row r="211" spans="25:25">
      <c r="Y211" s="165"/>
    </row>
    <row r="212" spans="25:25">
      <c r="Y212" s="165"/>
    </row>
    <row r="213" spans="25:25">
      <c r="Y213" s="165"/>
    </row>
    <row r="214" spans="25:25">
      <c r="Y214" s="165"/>
    </row>
    <row r="215" spans="25:25">
      <c r="Y215" s="165"/>
    </row>
    <row r="216" spans="25:25">
      <c r="Y216" s="165"/>
    </row>
    <row r="217" spans="25:25">
      <c r="Y217" s="165"/>
    </row>
    <row r="218" spans="25:25">
      <c r="Y218" s="165"/>
    </row>
    <row r="219" spans="25:25">
      <c r="Y219" s="165"/>
    </row>
    <row r="220" spans="25:25">
      <c r="Y220" s="165"/>
    </row>
    <row r="221" spans="25:25">
      <c r="Y221" s="165"/>
    </row>
    <row r="222" spans="25:25">
      <c r="Y222" s="165"/>
    </row>
    <row r="223" spans="25:25">
      <c r="Y223" s="165"/>
    </row>
    <row r="224" spans="25:25">
      <c r="Y224" s="165"/>
    </row>
    <row r="225" spans="25:25">
      <c r="Y225" s="165"/>
    </row>
    <row r="226" spans="25:25">
      <c r="Y226" s="165"/>
    </row>
    <row r="227" spans="25:25">
      <c r="Y227" s="165"/>
    </row>
    <row r="228" spans="25:25">
      <c r="Y228" s="165"/>
    </row>
    <row r="229" spans="25:25">
      <c r="Y229" s="165"/>
    </row>
    <row r="230" spans="25:25">
      <c r="Y230" s="165"/>
    </row>
    <row r="231" spans="25:25">
      <c r="Y231" s="165"/>
    </row>
    <row r="232" spans="25:25">
      <c r="Y232" s="165"/>
    </row>
    <row r="233" spans="25:25">
      <c r="Y233" s="165"/>
    </row>
    <row r="234" spans="25:25">
      <c r="Y234" s="165"/>
    </row>
    <row r="235" spans="25:25">
      <c r="Y235" s="165"/>
    </row>
    <row r="236" spans="25:25">
      <c r="Y236" s="165"/>
    </row>
    <row r="237" spans="25:25">
      <c r="Y237" s="165"/>
    </row>
    <row r="238" spans="25:25">
      <c r="Y238" s="165"/>
    </row>
    <row r="239" spans="25:25">
      <c r="Y239" s="165"/>
    </row>
    <row r="240" spans="25:25">
      <c r="Y240" s="165"/>
    </row>
    <row r="241" spans="25:25">
      <c r="Y241" s="165"/>
    </row>
    <row r="242" spans="25:25">
      <c r="Y242" s="165"/>
    </row>
    <row r="243" spans="25:25">
      <c r="Y243" s="165"/>
    </row>
    <row r="244" spans="25:25">
      <c r="Y244" s="165"/>
    </row>
    <row r="245" spans="25:25">
      <c r="Y245" s="165"/>
    </row>
    <row r="246" spans="25:25">
      <c r="Y246" s="165"/>
    </row>
    <row r="247" spans="25:25">
      <c r="Y247" s="165"/>
    </row>
    <row r="248" spans="25:25">
      <c r="Y248" s="165"/>
    </row>
    <row r="249" spans="25:25">
      <c r="Y249" s="165"/>
    </row>
    <row r="250" spans="25:25">
      <c r="Y250" s="165"/>
    </row>
    <row r="251" spans="25:25">
      <c r="Y251" s="165"/>
    </row>
    <row r="252" spans="25:25">
      <c r="Y252" s="165"/>
    </row>
    <row r="253" spans="25:25">
      <c r="Y253" s="165"/>
    </row>
    <row r="254" spans="25:25">
      <c r="Y254" s="165"/>
    </row>
    <row r="255" spans="25:25">
      <c r="Y255" s="165"/>
    </row>
    <row r="256" spans="25:25">
      <c r="Y256" s="165"/>
    </row>
    <row r="257" spans="25:25">
      <c r="Y257" s="165"/>
    </row>
    <row r="258" spans="25:25">
      <c r="Y258" s="165"/>
    </row>
    <row r="259" spans="25:25">
      <c r="Y259" s="165"/>
    </row>
    <row r="260" spans="25:25">
      <c r="Y260" s="165"/>
    </row>
    <row r="261" spans="25:25">
      <c r="Y261" s="165"/>
    </row>
    <row r="262" spans="25:25">
      <c r="Y262" s="165"/>
    </row>
    <row r="263" spans="25:25">
      <c r="Y263" s="165"/>
    </row>
    <row r="264" spans="25:25">
      <c r="Y264" s="165"/>
    </row>
    <row r="265" spans="25:25">
      <c r="Y265" s="165"/>
    </row>
    <row r="266" spans="25:25">
      <c r="Y266" s="165"/>
    </row>
    <row r="267" spans="25:25">
      <c r="Y267" s="165"/>
    </row>
    <row r="268" spans="25:25">
      <c r="Y268" s="165"/>
    </row>
    <row r="269" spans="25:25">
      <c r="Y269" s="165"/>
    </row>
    <row r="270" spans="25:25">
      <c r="Y270" s="165"/>
    </row>
    <row r="271" spans="25:25">
      <c r="Y271" s="165"/>
    </row>
    <row r="272" spans="25:25">
      <c r="Y272" s="165"/>
    </row>
    <row r="273" spans="25:25">
      <c r="Y273" s="165"/>
    </row>
    <row r="274" spans="25:25">
      <c r="Y274" s="165"/>
    </row>
    <row r="275" spans="25:25">
      <c r="Y275" s="165"/>
    </row>
    <row r="276" spans="25:25">
      <c r="Y276" s="165"/>
    </row>
    <row r="277" spans="25:25">
      <c r="Y277" s="165"/>
    </row>
    <row r="278" spans="25:25">
      <c r="Y278" s="165"/>
    </row>
    <row r="279" spans="25:25">
      <c r="Y279" s="165"/>
    </row>
    <row r="280" spans="25:25">
      <c r="Y280" s="165"/>
    </row>
    <row r="281" spans="25:25">
      <c r="Y281" s="165"/>
    </row>
    <row r="282" spans="25:25">
      <c r="Y282" s="165"/>
    </row>
    <row r="283" spans="25:25">
      <c r="Y283" s="165"/>
    </row>
    <row r="284" spans="25:25">
      <c r="Y284" s="165"/>
    </row>
    <row r="285" spans="25:25">
      <c r="Y285" s="165"/>
    </row>
    <row r="286" spans="25:25">
      <c r="Y286" s="165"/>
    </row>
    <row r="287" spans="25:25">
      <c r="Y287" s="165"/>
    </row>
    <row r="288" spans="25:25">
      <c r="Y288" s="165"/>
    </row>
    <row r="289" spans="25:25">
      <c r="Y289" s="165"/>
    </row>
    <row r="290" spans="25:25">
      <c r="Y290" s="165"/>
    </row>
    <row r="291" spans="25:25">
      <c r="Y291" s="165"/>
    </row>
    <row r="292" spans="25:25">
      <c r="Y292" s="165"/>
    </row>
    <row r="293" spans="25:25">
      <c r="Y293" s="165"/>
    </row>
    <row r="294" spans="25:25">
      <c r="Y294" s="165"/>
    </row>
    <row r="295" spans="25:25">
      <c r="Y295" s="165"/>
    </row>
    <row r="296" spans="25:25">
      <c r="Y296" s="165"/>
    </row>
    <row r="297" spans="25:25">
      <c r="Y297" s="165"/>
    </row>
    <row r="298" spans="25:25">
      <c r="Y298" s="165"/>
    </row>
    <row r="299" spans="25:25">
      <c r="Y299" s="165"/>
    </row>
    <row r="300" spans="25:25">
      <c r="Y300" s="165"/>
    </row>
    <row r="301" spans="25:25">
      <c r="Y301" s="165"/>
    </row>
    <row r="302" spans="25:25">
      <c r="Y302" s="165"/>
    </row>
    <row r="303" spans="25:25">
      <c r="Y303" s="165"/>
    </row>
    <row r="304" spans="25:25">
      <c r="Y304" s="165"/>
    </row>
    <row r="305" spans="25:25">
      <c r="Y305" s="165"/>
    </row>
    <row r="306" spans="25:25">
      <c r="Y306" s="165"/>
    </row>
    <row r="307" spans="25:25">
      <c r="Y307" s="165"/>
    </row>
    <row r="308" spans="25:25">
      <c r="Y308" s="165"/>
    </row>
    <row r="309" spans="25:25">
      <c r="Y309" s="165"/>
    </row>
    <row r="310" spans="25:25">
      <c r="Y310" s="165"/>
    </row>
    <row r="311" spans="25:25">
      <c r="Y311" s="165"/>
    </row>
    <row r="312" spans="25:25">
      <c r="Y312" s="165"/>
    </row>
    <row r="313" spans="25:25">
      <c r="Y313" s="165"/>
    </row>
    <row r="314" spans="25:25">
      <c r="Y314" s="165"/>
    </row>
    <row r="315" spans="25:25">
      <c r="Y315" s="165"/>
    </row>
    <row r="316" spans="25:25">
      <c r="Y316" s="165"/>
    </row>
    <row r="317" spans="25:25">
      <c r="Y317" s="165"/>
    </row>
    <row r="318" spans="25:25">
      <c r="Y318" s="165"/>
    </row>
    <row r="319" spans="25:25">
      <c r="Y319" s="165"/>
    </row>
    <row r="320" spans="25:25">
      <c r="Y320" s="165"/>
    </row>
    <row r="321" spans="25:25">
      <c r="Y321" s="165"/>
    </row>
    <row r="322" spans="25:25">
      <c r="Y322" s="165"/>
    </row>
    <row r="323" spans="25:25">
      <c r="Y323" s="165"/>
    </row>
    <row r="324" spans="25:25">
      <c r="Y324" s="165"/>
    </row>
    <row r="325" spans="25:25">
      <c r="Y325" s="165"/>
    </row>
    <row r="326" spans="25:25">
      <c r="Y326" s="165"/>
    </row>
    <row r="327" spans="25:25">
      <c r="Y327" s="165"/>
    </row>
    <row r="328" spans="25:25">
      <c r="Y328" s="165"/>
    </row>
    <row r="329" spans="25:25">
      <c r="Y329" s="165"/>
    </row>
    <row r="330" spans="25:25">
      <c r="Y330" s="165"/>
    </row>
    <row r="331" spans="25:25">
      <c r="Y331" s="165"/>
    </row>
    <row r="332" spans="25:25">
      <c r="Y332" s="165"/>
    </row>
    <row r="333" spans="25:25">
      <c r="Y333" s="165"/>
    </row>
    <row r="334" spans="25:25">
      <c r="Y334" s="165"/>
    </row>
    <row r="335" spans="25:25">
      <c r="Y335" s="165"/>
    </row>
    <row r="336" spans="25:25">
      <c r="Y336" s="165"/>
    </row>
    <row r="337" spans="25:25">
      <c r="Y337" s="165"/>
    </row>
    <row r="338" spans="25:25">
      <c r="Y338" s="165"/>
    </row>
    <row r="339" spans="25:25">
      <c r="Y339" s="165"/>
    </row>
    <row r="340" spans="25:25">
      <c r="Y340" s="165"/>
    </row>
    <row r="341" spans="25:25">
      <c r="Y341" s="165"/>
    </row>
    <row r="342" spans="25:25">
      <c r="Y342" s="165"/>
    </row>
    <row r="343" spans="25:25">
      <c r="Y343" s="165"/>
    </row>
    <row r="344" spans="25:25">
      <c r="Y344" s="165"/>
    </row>
    <row r="345" spans="25:25">
      <c r="Y345" s="165"/>
    </row>
    <row r="346" spans="25:25">
      <c r="Y346" s="165"/>
    </row>
    <row r="347" spans="25:25">
      <c r="Y347" s="165"/>
    </row>
    <row r="348" spans="25:25">
      <c r="Y348" s="165"/>
    </row>
    <row r="349" spans="25:25">
      <c r="Y349" s="165"/>
    </row>
    <row r="350" spans="25:25">
      <c r="Y350" s="165"/>
    </row>
    <row r="351" spans="25:25">
      <c r="Y351" s="165"/>
    </row>
    <row r="352" spans="25:25">
      <c r="Y352" s="165"/>
    </row>
    <row r="353" spans="25:25">
      <c r="Y353" s="165"/>
    </row>
    <row r="354" spans="25:25">
      <c r="Y354" s="165"/>
    </row>
    <row r="355" spans="25:25">
      <c r="Y355" s="165"/>
    </row>
    <row r="356" spans="25:25">
      <c r="Y356" s="165"/>
    </row>
    <row r="357" spans="25:25">
      <c r="Y357" s="165"/>
    </row>
    <row r="358" spans="25:25">
      <c r="Y358" s="165"/>
    </row>
    <row r="359" spans="25:25">
      <c r="Y359" s="165"/>
    </row>
    <row r="360" spans="25:25">
      <c r="Y360" s="165"/>
    </row>
    <row r="361" spans="25:25">
      <c r="Y361" s="165"/>
    </row>
    <row r="362" spans="25:25">
      <c r="Y362" s="165"/>
    </row>
    <row r="363" spans="25:25">
      <c r="Y363" s="165"/>
    </row>
    <row r="364" spans="25:25">
      <c r="Y364" s="165"/>
    </row>
    <row r="365" spans="25:25">
      <c r="Y365" s="165"/>
    </row>
    <row r="366" spans="25:25">
      <c r="Y366" s="165"/>
    </row>
    <row r="367" spans="25:25">
      <c r="Y367" s="165"/>
    </row>
    <row r="368" spans="25:25">
      <c r="Y368" s="165"/>
    </row>
    <row r="369" spans="25:25">
      <c r="Y369" s="165"/>
    </row>
    <row r="370" spans="25:25">
      <c r="Y370" s="165"/>
    </row>
    <row r="371" spans="25:25">
      <c r="Y371" s="165"/>
    </row>
    <row r="372" spans="25:25">
      <c r="Y372" s="165"/>
    </row>
    <row r="373" spans="25:25">
      <c r="Y373" s="165"/>
    </row>
    <row r="374" spans="25:25">
      <c r="Y374" s="165"/>
    </row>
    <row r="375" spans="25:25">
      <c r="Y375" s="165"/>
    </row>
    <row r="376" spans="25:25">
      <c r="Y376" s="165"/>
    </row>
    <row r="377" spans="25:25">
      <c r="Y377" s="165"/>
    </row>
    <row r="378" spans="25:25">
      <c r="Y378" s="165"/>
    </row>
    <row r="379" spans="25:25">
      <c r="Y379" s="165"/>
    </row>
    <row r="380" spans="25:25">
      <c r="Y380" s="165"/>
    </row>
    <row r="381" spans="25:25">
      <c r="Y381" s="165"/>
    </row>
    <row r="382" spans="25:25">
      <c r="Y382" s="165"/>
    </row>
    <row r="383" spans="25:25">
      <c r="Y383" s="165"/>
    </row>
    <row r="384" spans="25:25">
      <c r="Y384" s="165"/>
    </row>
    <row r="385" spans="25:25">
      <c r="Y385" s="165"/>
    </row>
    <row r="386" spans="25:25">
      <c r="Y386" s="165"/>
    </row>
    <row r="387" spans="25:25">
      <c r="Y387" s="165"/>
    </row>
    <row r="388" spans="25:25">
      <c r="Y388" s="165"/>
    </row>
    <row r="389" spans="25:25">
      <c r="Y389" s="165"/>
    </row>
    <row r="390" spans="25:25">
      <c r="Y390" s="165"/>
    </row>
    <row r="391" spans="25:25">
      <c r="Y391" s="165"/>
    </row>
    <row r="392" spans="25:25">
      <c r="Y392" s="165"/>
    </row>
    <row r="393" spans="25:25">
      <c r="Y393" s="165"/>
    </row>
    <row r="394" spans="25:25">
      <c r="Y394" s="165"/>
    </row>
    <row r="395" spans="25:25">
      <c r="Y395" s="165"/>
    </row>
    <row r="396" spans="25:25">
      <c r="Y396" s="165"/>
    </row>
    <row r="397" spans="25:25">
      <c r="Y397" s="165"/>
    </row>
    <row r="398" spans="25:25">
      <c r="Y398" s="165"/>
    </row>
    <row r="399" spans="25:25">
      <c r="Y399" s="165"/>
    </row>
    <row r="400" spans="25:25">
      <c r="Y400" s="165"/>
    </row>
    <row r="401" spans="25:25">
      <c r="Y401" s="165"/>
    </row>
    <row r="402" spans="25:25">
      <c r="Y402" s="165"/>
    </row>
    <row r="403" spans="25:25">
      <c r="Y403" s="165"/>
    </row>
    <row r="404" spans="25:25">
      <c r="Y404" s="165"/>
    </row>
    <row r="405" spans="25:25">
      <c r="Y405" s="165"/>
    </row>
    <row r="406" spans="25:25">
      <c r="Y406" s="165"/>
    </row>
    <row r="407" spans="25:25">
      <c r="Y407" s="165"/>
    </row>
    <row r="408" spans="25:25">
      <c r="Y408" s="165"/>
    </row>
    <row r="409" spans="25:25">
      <c r="Y409" s="165"/>
    </row>
    <row r="410" spans="25:25">
      <c r="Y410" s="165"/>
    </row>
    <row r="411" spans="25:25">
      <c r="Y411" s="165"/>
    </row>
    <row r="412" spans="25:25">
      <c r="Y412" s="165"/>
    </row>
    <row r="413" spans="25:25">
      <c r="Y413" s="165"/>
    </row>
    <row r="414" spans="25:25">
      <c r="Y414" s="165"/>
    </row>
    <row r="415" spans="25:25">
      <c r="Y415" s="165"/>
    </row>
    <row r="416" spans="25:25">
      <c r="Y416" s="165"/>
    </row>
    <row r="417" spans="25:25">
      <c r="Y417" s="165"/>
    </row>
    <row r="418" spans="25:25">
      <c r="Y418" s="165"/>
    </row>
    <row r="419" spans="25:25">
      <c r="Y419" s="165"/>
    </row>
    <row r="420" spans="25:25">
      <c r="Y420" s="165"/>
    </row>
    <row r="421" spans="25:25">
      <c r="Y421" s="165"/>
    </row>
    <row r="422" spans="25:25">
      <c r="Y422" s="165"/>
    </row>
    <row r="423" spans="25:25">
      <c r="Y423" s="165"/>
    </row>
    <row r="424" spans="25:25">
      <c r="Y424" s="165"/>
    </row>
    <row r="425" spans="25:25">
      <c r="Y425" s="165"/>
    </row>
    <row r="426" spans="25:25">
      <c r="Y426" s="165"/>
    </row>
    <row r="427" spans="25:25">
      <c r="Y427" s="165"/>
    </row>
    <row r="428" spans="25:25">
      <c r="Y428" s="165"/>
    </row>
    <row r="429" spans="25:25">
      <c r="Y429" s="165"/>
    </row>
    <row r="430" spans="25:25">
      <c r="Y430" s="165"/>
    </row>
    <row r="431" spans="25:25">
      <c r="Y431" s="165"/>
    </row>
    <row r="432" spans="25:25">
      <c r="Y432" s="165"/>
    </row>
    <row r="433" spans="25:25">
      <c r="Y433" s="165"/>
    </row>
    <row r="434" spans="25:25">
      <c r="Y434" s="165"/>
    </row>
    <row r="435" spans="25:25">
      <c r="Y435" s="165"/>
    </row>
    <row r="436" spans="25:25">
      <c r="Y436" s="165"/>
    </row>
    <row r="437" spans="25:25">
      <c r="Y437" s="165"/>
    </row>
    <row r="438" spans="25:25">
      <c r="Y438" s="165"/>
    </row>
    <row r="439" spans="25:25">
      <c r="Y439" s="165"/>
    </row>
    <row r="440" spans="25:25">
      <c r="Y440" s="165"/>
    </row>
    <row r="441" spans="25:25">
      <c r="Y441" s="165"/>
    </row>
    <row r="442" spans="25:25">
      <c r="Y442" s="165"/>
    </row>
    <row r="443" spans="25:25">
      <c r="Y443" s="165"/>
    </row>
    <row r="444" spans="25:25">
      <c r="Y444" s="165"/>
    </row>
    <row r="445" spans="25:25">
      <c r="Y445" s="165"/>
    </row>
    <row r="446" spans="25:25">
      <c r="Y446" s="165"/>
    </row>
    <row r="447" spans="25:25">
      <c r="Y447" s="165"/>
    </row>
    <row r="448" spans="25:25">
      <c r="Y448" s="165"/>
    </row>
    <row r="449" spans="25:25">
      <c r="Y449" s="165"/>
    </row>
    <row r="450" spans="25:25">
      <c r="Y450" s="165"/>
    </row>
    <row r="451" spans="25:25">
      <c r="Y451" s="165"/>
    </row>
    <row r="452" spans="25:25">
      <c r="Y452" s="165"/>
    </row>
    <row r="453" spans="25:25">
      <c r="Y453" s="165"/>
    </row>
    <row r="454" spans="25:25">
      <c r="Y454" s="165"/>
    </row>
    <row r="455" spans="25:25">
      <c r="Y455" s="165"/>
    </row>
    <row r="456" spans="25:25">
      <c r="Y456" s="165"/>
    </row>
    <row r="457" spans="25:25">
      <c r="Y457" s="165"/>
    </row>
    <row r="458" spans="25:25">
      <c r="Y458" s="165"/>
    </row>
    <row r="459" spans="25:25">
      <c r="Y459" s="165"/>
    </row>
    <row r="460" spans="25:25">
      <c r="Y460" s="165"/>
    </row>
    <row r="461" spans="25:25">
      <c r="Y461" s="165"/>
    </row>
    <row r="462" spans="25:25">
      <c r="Y462" s="165"/>
    </row>
    <row r="463" spans="25:25">
      <c r="Y463" s="165"/>
    </row>
    <row r="464" spans="25:25">
      <c r="Y464" s="165"/>
    </row>
    <row r="465" spans="25:25">
      <c r="Y465" s="165"/>
    </row>
    <row r="466" spans="25:25">
      <c r="Y466" s="165"/>
    </row>
    <row r="467" spans="25:25">
      <c r="Y467" s="165"/>
    </row>
    <row r="468" spans="25:25">
      <c r="Y468" s="165"/>
    </row>
    <row r="469" spans="25:25">
      <c r="Y469" s="165"/>
    </row>
    <row r="470" spans="25:25">
      <c r="Y470" s="165"/>
    </row>
    <row r="471" spans="25:25">
      <c r="Y471" s="165"/>
    </row>
    <row r="472" spans="25:25">
      <c r="Y472" s="165"/>
    </row>
    <row r="473" spans="25:25">
      <c r="Y473" s="165"/>
    </row>
    <row r="474" spans="25:25">
      <c r="Y474" s="165"/>
    </row>
    <row r="475" spans="25:25">
      <c r="Y475" s="165"/>
    </row>
    <row r="476" spans="25:25">
      <c r="Y476" s="165"/>
    </row>
    <row r="477" spans="25:25">
      <c r="Y477" s="165"/>
    </row>
    <row r="478" spans="25:25">
      <c r="Y478" s="165"/>
    </row>
    <row r="479" spans="25:25">
      <c r="Y479" s="165"/>
    </row>
    <row r="480" spans="25:25">
      <c r="Y480" s="165"/>
    </row>
    <row r="481" spans="25:25">
      <c r="Y481" s="165"/>
    </row>
    <row r="482" spans="25:25">
      <c r="Y482" s="165"/>
    </row>
    <row r="483" spans="25:25">
      <c r="Y483" s="165"/>
    </row>
    <row r="484" spans="25:25">
      <c r="Y484" s="165"/>
    </row>
    <row r="485" spans="25:25">
      <c r="Y485" s="165"/>
    </row>
    <row r="486" spans="25:25">
      <c r="Y486" s="165"/>
    </row>
    <row r="487" spans="25:25">
      <c r="Y487" s="165"/>
    </row>
    <row r="488" spans="25:25">
      <c r="Y488" s="165"/>
    </row>
    <row r="489" spans="25:25">
      <c r="Y489" s="165"/>
    </row>
    <row r="490" spans="25:25">
      <c r="Y490" s="165"/>
    </row>
    <row r="491" spans="25:25">
      <c r="Y491" s="165"/>
    </row>
    <row r="492" spans="25:25">
      <c r="Y492" s="165"/>
    </row>
    <row r="493" spans="25:25">
      <c r="Y493" s="165"/>
    </row>
    <row r="494" spans="25:25">
      <c r="Y494" s="165"/>
    </row>
    <row r="495" spans="25:25">
      <c r="Y495" s="165"/>
    </row>
    <row r="496" spans="25:25">
      <c r="Y496" s="165"/>
    </row>
    <row r="497" spans="25:25">
      <c r="Y497" s="165"/>
    </row>
    <row r="498" spans="25:25">
      <c r="Y498" s="165"/>
    </row>
    <row r="499" spans="25:25">
      <c r="Y499" s="165"/>
    </row>
    <row r="500" spans="25:25">
      <c r="Y500" s="165"/>
    </row>
    <row r="501" spans="25:25">
      <c r="Y501" s="165"/>
    </row>
    <row r="502" spans="25:25">
      <c r="Y502" s="165"/>
    </row>
    <row r="503" spans="25:25">
      <c r="Y503" s="165"/>
    </row>
    <row r="504" spans="25:25">
      <c r="Y504" s="165"/>
    </row>
    <row r="505" spans="25:25">
      <c r="Y505" s="165"/>
    </row>
    <row r="506" spans="25:25">
      <c r="Y506" s="165"/>
    </row>
    <row r="507" spans="25:25">
      <c r="Y507" s="165"/>
    </row>
    <row r="508" spans="25:25">
      <c r="Y508" s="165"/>
    </row>
    <row r="509" spans="25:25">
      <c r="Y509" s="165"/>
    </row>
    <row r="510" spans="25:25">
      <c r="Y510" s="165"/>
    </row>
    <row r="511" spans="25:25">
      <c r="Y511" s="165"/>
    </row>
    <row r="512" spans="25:25">
      <c r="Y512" s="165"/>
    </row>
    <row r="513" spans="25:25">
      <c r="Y513" s="165"/>
    </row>
    <row r="514" spans="25:25">
      <c r="Y514" s="165"/>
    </row>
    <row r="515" spans="25:25">
      <c r="Y515" s="165"/>
    </row>
    <row r="516" spans="25:25">
      <c r="Y516" s="165"/>
    </row>
    <row r="517" spans="25:25">
      <c r="Y517" s="165"/>
    </row>
    <row r="518" spans="25:25">
      <c r="Y518" s="165"/>
    </row>
    <row r="519" spans="25:25">
      <c r="Y519" s="165"/>
    </row>
    <row r="520" spans="25:25">
      <c r="Y520" s="165"/>
    </row>
    <row r="521" spans="25:25">
      <c r="Y521" s="165"/>
    </row>
    <row r="522" spans="25:25">
      <c r="Y522" s="165"/>
    </row>
    <row r="523" spans="25:25">
      <c r="Y523" s="165"/>
    </row>
    <row r="524" spans="25:25">
      <c r="Y524" s="165"/>
    </row>
    <row r="525" spans="25:25">
      <c r="Y525" s="165"/>
    </row>
    <row r="526" spans="25:25">
      <c r="Y526" s="165"/>
    </row>
    <row r="527" spans="25:25">
      <c r="Y527" s="165"/>
    </row>
    <row r="528" spans="25:25">
      <c r="Y528" s="165"/>
    </row>
    <row r="529" spans="25:25">
      <c r="Y529" s="165"/>
    </row>
    <row r="530" spans="25:25">
      <c r="Y530" s="165"/>
    </row>
    <row r="531" spans="25:25">
      <c r="Y531" s="165"/>
    </row>
    <row r="532" spans="25:25">
      <c r="Y532" s="165"/>
    </row>
    <row r="533" spans="25:25">
      <c r="Y533" s="165"/>
    </row>
    <row r="534" spans="25:25">
      <c r="Y534" s="165"/>
    </row>
    <row r="535" spans="25:25">
      <c r="Y535" s="165"/>
    </row>
    <row r="536" spans="25:25">
      <c r="Y536" s="165"/>
    </row>
    <row r="537" spans="25:25">
      <c r="Y537" s="165"/>
    </row>
    <row r="538" spans="25:25">
      <c r="Y538" s="165"/>
    </row>
    <row r="539" spans="25:25">
      <c r="Y539" s="165"/>
    </row>
    <row r="540" spans="25:25">
      <c r="Y540" s="165"/>
    </row>
    <row r="541" spans="25:25">
      <c r="Y541" s="165"/>
    </row>
    <row r="542" spans="25:25">
      <c r="Y542" s="165"/>
    </row>
    <row r="543" spans="25:25">
      <c r="Y543" s="165"/>
    </row>
    <row r="544" spans="25:25">
      <c r="Y544" s="165"/>
    </row>
    <row r="545" spans="25:25">
      <c r="Y545" s="165"/>
    </row>
    <row r="546" spans="25:25">
      <c r="Y546" s="165"/>
    </row>
    <row r="547" spans="25:25">
      <c r="Y547" s="165"/>
    </row>
    <row r="548" spans="25:25">
      <c r="Y548" s="165"/>
    </row>
    <row r="549" spans="25:25">
      <c r="Y549" s="165"/>
    </row>
    <row r="550" spans="25:25">
      <c r="Y550" s="165"/>
    </row>
    <row r="551" spans="25:25">
      <c r="Y551" s="165"/>
    </row>
    <row r="552" spans="25:25">
      <c r="Y552" s="165"/>
    </row>
    <row r="553" spans="25:25">
      <c r="Y553" s="165"/>
    </row>
    <row r="554" spans="25:25">
      <c r="Y554" s="165"/>
    </row>
    <row r="555" spans="25:25">
      <c r="Y555" s="165"/>
    </row>
    <row r="556" spans="25:25">
      <c r="Y556" s="165"/>
    </row>
    <row r="557" spans="25:25">
      <c r="Y557" s="165"/>
    </row>
    <row r="558" spans="25:25">
      <c r="Y558" s="165"/>
    </row>
    <row r="559" spans="25:25">
      <c r="Y559" s="165"/>
    </row>
    <row r="560" spans="25:25">
      <c r="Y560" s="165"/>
    </row>
    <row r="561" spans="25:25">
      <c r="Y561" s="165"/>
    </row>
    <row r="562" spans="25:25">
      <c r="Y562" s="165"/>
    </row>
    <row r="563" spans="25:25">
      <c r="Y563" s="165"/>
    </row>
    <row r="564" spans="25:25">
      <c r="Y564" s="165"/>
    </row>
    <row r="565" spans="25:25">
      <c r="Y565" s="165"/>
    </row>
    <row r="566" spans="25:25">
      <c r="Y566" s="165"/>
    </row>
    <row r="567" spans="25:25">
      <c r="Y567" s="165"/>
    </row>
    <row r="568" spans="25:25">
      <c r="Y568" s="165"/>
    </row>
    <row r="569" spans="25:25">
      <c r="Y569" s="165"/>
    </row>
    <row r="570" spans="25:25">
      <c r="Y570" s="165"/>
    </row>
    <row r="571" spans="25:25">
      <c r="Y571" s="165"/>
    </row>
    <row r="572" spans="25:25">
      <c r="Y572" s="165"/>
    </row>
    <row r="573" spans="25:25">
      <c r="Y573" s="165"/>
    </row>
    <row r="574" spans="25:25">
      <c r="Y574" s="165"/>
    </row>
    <row r="575" spans="25:25">
      <c r="Y575" s="165"/>
    </row>
    <row r="576" spans="25:25">
      <c r="Y576" s="165"/>
    </row>
    <row r="577" spans="25:25">
      <c r="Y577" s="165"/>
    </row>
    <row r="578" spans="25:25">
      <c r="Y578" s="165"/>
    </row>
    <row r="579" spans="25:25">
      <c r="Y579" s="165"/>
    </row>
    <row r="580" spans="25:25">
      <c r="Y580" s="165"/>
    </row>
    <row r="581" spans="25:25">
      <c r="Y581" s="165"/>
    </row>
    <row r="582" spans="25:25">
      <c r="Y582" s="165"/>
    </row>
    <row r="583" spans="25:25">
      <c r="Y583" s="165"/>
    </row>
    <row r="584" spans="25:25">
      <c r="Y584" s="165"/>
    </row>
    <row r="585" spans="25:25">
      <c r="Y585" s="165"/>
    </row>
    <row r="586" spans="25:25">
      <c r="Y586" s="165"/>
    </row>
    <row r="587" spans="25:25">
      <c r="Y587" s="165"/>
    </row>
    <row r="588" spans="25:25">
      <c r="Y588" s="165"/>
    </row>
    <row r="589" spans="25:25">
      <c r="Y589" s="165"/>
    </row>
    <row r="590" spans="25:25">
      <c r="Y590" s="165"/>
    </row>
    <row r="591" spans="25:25">
      <c r="Y591" s="165"/>
    </row>
    <row r="592" spans="25:25">
      <c r="Y592" s="165"/>
    </row>
    <row r="593" spans="25:25">
      <c r="Y593" s="165"/>
    </row>
    <row r="594" spans="25:25">
      <c r="Y594" s="165"/>
    </row>
    <row r="595" spans="25:25">
      <c r="Y595" s="165"/>
    </row>
    <row r="596" spans="25:25">
      <c r="Y596" s="165"/>
    </row>
    <row r="597" spans="25:25">
      <c r="Y597" s="165"/>
    </row>
    <row r="598" spans="25:25">
      <c r="Y598" s="165"/>
    </row>
    <row r="599" spans="25:25">
      <c r="Y599" s="165"/>
    </row>
    <row r="600" spans="25:25">
      <c r="Y600" s="165"/>
    </row>
    <row r="601" spans="25:25">
      <c r="Y601" s="165"/>
    </row>
    <row r="602" spans="25:25">
      <c r="Y602" s="165"/>
    </row>
    <row r="603" spans="25:25">
      <c r="Y603" s="165"/>
    </row>
    <row r="604" spans="25:25">
      <c r="Y604" s="165"/>
    </row>
    <row r="605" spans="25:25">
      <c r="Y605" s="165"/>
    </row>
    <row r="606" spans="25:25">
      <c r="Y606" s="165"/>
    </row>
    <row r="607" spans="25:25">
      <c r="Y607" s="165"/>
    </row>
    <row r="608" spans="25:25">
      <c r="Y608" s="165"/>
    </row>
    <row r="609" spans="25:25">
      <c r="Y609" s="165"/>
    </row>
    <row r="610" spans="25:25">
      <c r="Y610" s="165"/>
    </row>
    <row r="611" spans="25:25">
      <c r="Y611" s="165"/>
    </row>
    <row r="612" spans="25:25">
      <c r="Y612" s="165"/>
    </row>
    <row r="613" spans="25:25">
      <c r="Y613" s="165"/>
    </row>
    <row r="614" spans="25:25">
      <c r="Y614" s="165"/>
    </row>
    <row r="615" spans="25:25">
      <c r="Y615" s="165"/>
    </row>
    <row r="616" spans="25:25">
      <c r="Y616" s="165"/>
    </row>
    <row r="617" spans="25:25">
      <c r="Y617" s="165"/>
    </row>
    <row r="618" spans="25:25">
      <c r="Y618" s="165"/>
    </row>
    <row r="619" spans="25:25">
      <c r="Y619" s="165"/>
    </row>
    <row r="620" spans="25:25">
      <c r="Y620" s="165"/>
    </row>
    <row r="621" spans="25:25">
      <c r="Y621" s="165"/>
    </row>
    <row r="622" spans="25:25">
      <c r="Y622" s="165"/>
    </row>
    <row r="623" spans="25:25">
      <c r="Y623" s="165"/>
    </row>
    <row r="624" spans="25:25">
      <c r="Y624" s="165"/>
    </row>
    <row r="625" spans="25:25">
      <c r="Y625" s="165"/>
    </row>
    <row r="626" spans="25:25">
      <c r="Y626" s="165"/>
    </row>
    <row r="627" spans="25:25">
      <c r="Y627" s="165"/>
    </row>
    <row r="628" spans="25:25">
      <c r="Y628" s="165"/>
    </row>
    <row r="629" spans="25:25">
      <c r="Y629" s="165"/>
    </row>
    <row r="630" spans="25:25">
      <c r="Y630" s="165"/>
    </row>
    <row r="631" spans="25:25">
      <c r="Y631" s="165"/>
    </row>
    <row r="632" spans="25:25">
      <c r="Y632" s="165"/>
    </row>
    <row r="633" spans="25:25">
      <c r="Y633" s="165"/>
    </row>
    <row r="634" spans="25:25">
      <c r="Y634" s="165"/>
    </row>
    <row r="635" spans="25:25">
      <c r="Y635" s="165"/>
    </row>
    <row r="636" spans="25:25">
      <c r="Y636" s="165"/>
    </row>
    <row r="637" spans="25:25">
      <c r="Y637" s="165"/>
    </row>
    <row r="638" spans="25:25">
      <c r="Y638" s="165"/>
    </row>
    <row r="639" spans="25:25">
      <c r="Y639" s="165"/>
    </row>
    <row r="640" spans="25:25">
      <c r="Y640" s="165"/>
    </row>
    <row r="641" spans="25:25">
      <c r="Y641" s="165"/>
    </row>
    <row r="642" spans="25:25">
      <c r="Y642" s="165"/>
    </row>
    <row r="643" spans="25:25">
      <c r="Y643" s="165"/>
    </row>
    <row r="644" spans="25:25">
      <c r="Y644" s="165"/>
    </row>
    <row r="645" spans="25:25">
      <c r="Y645" s="165"/>
    </row>
    <row r="646" spans="25:25">
      <c r="Y646" s="165"/>
    </row>
    <row r="647" spans="25:25">
      <c r="Y647" s="165"/>
    </row>
    <row r="648" spans="25:25">
      <c r="Y648" s="165"/>
    </row>
    <row r="649" spans="25:25">
      <c r="Y649" s="165"/>
    </row>
    <row r="650" spans="25:25">
      <c r="Y650" s="165"/>
    </row>
    <row r="651" spans="25:25">
      <c r="Y651" s="165"/>
    </row>
    <row r="652" spans="25:25">
      <c r="Y652" s="165"/>
    </row>
    <row r="653" spans="25:25">
      <c r="Y653" s="165"/>
    </row>
    <row r="654" spans="25:25">
      <c r="Y654" s="165"/>
    </row>
    <row r="655" spans="25:25">
      <c r="Y655" s="165"/>
    </row>
    <row r="656" spans="25:25">
      <c r="Y656" s="165"/>
    </row>
    <row r="657" spans="25:25">
      <c r="Y657" s="165"/>
    </row>
    <row r="658" spans="25:25">
      <c r="Y658" s="165"/>
    </row>
    <row r="659" spans="25:25">
      <c r="Y659" s="165"/>
    </row>
    <row r="660" spans="25:25">
      <c r="Y660" s="165"/>
    </row>
    <row r="661" spans="25:25">
      <c r="Y661" s="165"/>
    </row>
    <row r="662" spans="25:25">
      <c r="Y662" s="165"/>
    </row>
    <row r="663" spans="25:25">
      <c r="Y663" s="165"/>
    </row>
    <row r="664" spans="25:25">
      <c r="Y664" s="165"/>
    </row>
    <row r="665" spans="25:25">
      <c r="Y665" s="165"/>
    </row>
    <row r="666" spans="25:25">
      <c r="Y666" s="165"/>
    </row>
    <row r="667" spans="25:25">
      <c r="Y667" s="165"/>
    </row>
    <row r="668" spans="25:25">
      <c r="Y668" s="165"/>
    </row>
    <row r="669" spans="25:25">
      <c r="Y669" s="165"/>
    </row>
    <row r="670" spans="25:25">
      <c r="Y670" s="165"/>
    </row>
    <row r="671" spans="25:25">
      <c r="Y671" s="165"/>
    </row>
    <row r="672" spans="25:25">
      <c r="Y672" s="165"/>
    </row>
    <row r="673" spans="25:25">
      <c r="Y673" s="165"/>
    </row>
    <row r="674" spans="25:25">
      <c r="Y674" s="165"/>
    </row>
    <row r="675" spans="25:25">
      <c r="Y675" s="165"/>
    </row>
    <row r="676" spans="25:25">
      <c r="Y676" s="165"/>
    </row>
    <row r="677" spans="25:25">
      <c r="Y677" s="165"/>
    </row>
    <row r="678" spans="25:25">
      <c r="Y678" s="165"/>
    </row>
    <row r="679" spans="25:25">
      <c r="Y679" s="165"/>
    </row>
    <row r="680" spans="25:25">
      <c r="Y680" s="165"/>
    </row>
    <row r="681" spans="25:25">
      <c r="Y681" s="165"/>
    </row>
    <row r="682" spans="25:25">
      <c r="Y682" s="165"/>
    </row>
    <row r="683" spans="25:25">
      <c r="Y683" s="165"/>
    </row>
    <row r="684" spans="25:25">
      <c r="Y684" s="165"/>
    </row>
    <row r="685" spans="25:25">
      <c r="Y685" s="165"/>
    </row>
    <row r="686" spans="25:25">
      <c r="Y686" s="165"/>
    </row>
    <row r="687" spans="25:25">
      <c r="Y687" s="165"/>
    </row>
    <row r="688" spans="25:25">
      <c r="Y688" s="165"/>
    </row>
    <row r="689" spans="25:25">
      <c r="Y689" s="165"/>
    </row>
    <row r="690" spans="25:25">
      <c r="Y690" s="165"/>
    </row>
    <row r="691" spans="25:25">
      <c r="Y691" s="165"/>
    </row>
    <row r="692" spans="25:25">
      <c r="Y692" s="165"/>
    </row>
    <row r="693" spans="25:25">
      <c r="Y693" s="165"/>
    </row>
    <row r="694" spans="25:25">
      <c r="Y694" s="165"/>
    </row>
    <row r="695" spans="25:25">
      <c r="Y695" s="165"/>
    </row>
    <row r="696" spans="25:25">
      <c r="Y696" s="165"/>
    </row>
    <row r="697" spans="25:25">
      <c r="Y697" s="165"/>
    </row>
    <row r="698" spans="25:25">
      <c r="Y698" s="165"/>
    </row>
    <row r="699" spans="25:25">
      <c r="Y699" s="165"/>
    </row>
    <row r="700" spans="25:25">
      <c r="Y700" s="165"/>
    </row>
    <row r="701" spans="25:25">
      <c r="Y701" s="165"/>
    </row>
    <row r="702" spans="25:25">
      <c r="Y702" s="165"/>
    </row>
    <row r="703" spans="25:25">
      <c r="Y703" s="165"/>
    </row>
    <row r="704" spans="25:25">
      <c r="Y704" s="165"/>
    </row>
    <row r="705" spans="25:25">
      <c r="Y705" s="165"/>
    </row>
    <row r="706" spans="25:25">
      <c r="Y706" s="165"/>
    </row>
    <row r="707" spans="25:25">
      <c r="Y707" s="165"/>
    </row>
    <row r="708" spans="25:25">
      <c r="Y708" s="165"/>
    </row>
    <row r="709" spans="25:25">
      <c r="Y709" s="165"/>
    </row>
    <row r="710" spans="25:25">
      <c r="Y710" s="165"/>
    </row>
    <row r="711" spans="25:25">
      <c r="Y711" s="165"/>
    </row>
    <row r="712" spans="25:25">
      <c r="Y712" s="165"/>
    </row>
    <row r="713" spans="25:25">
      <c r="Y713" s="165"/>
    </row>
    <row r="714" spans="25:25">
      <c r="Y714" s="165"/>
    </row>
    <row r="715" spans="25:25">
      <c r="Y715" s="165"/>
    </row>
    <row r="716" spans="25:25">
      <c r="Y716" s="165"/>
    </row>
    <row r="717" spans="25:25">
      <c r="Y717" s="165"/>
    </row>
    <row r="718" spans="25:25">
      <c r="Y718" s="165"/>
    </row>
    <row r="719" spans="25:25">
      <c r="Y719" s="165"/>
    </row>
    <row r="720" spans="25:25">
      <c r="Y720" s="165"/>
    </row>
    <row r="721" spans="25:25">
      <c r="Y721" s="165"/>
    </row>
    <row r="722" spans="25:25">
      <c r="Y722" s="165"/>
    </row>
    <row r="723" spans="25:25">
      <c r="Y723" s="165"/>
    </row>
    <row r="724" spans="25:25">
      <c r="Y724" s="165"/>
    </row>
    <row r="725" spans="25:25">
      <c r="Y725" s="165"/>
    </row>
    <row r="726" spans="25:25">
      <c r="Y726" s="165"/>
    </row>
    <row r="727" spans="25:25">
      <c r="Y727" s="165"/>
    </row>
    <row r="728" spans="25:25">
      <c r="Y728" s="165"/>
    </row>
    <row r="729" spans="25:25">
      <c r="Y729" s="165"/>
    </row>
    <row r="730" spans="25:25">
      <c r="Y730" s="165"/>
    </row>
    <row r="731" spans="25:25">
      <c r="Y731" s="165"/>
    </row>
    <row r="732" spans="25:25">
      <c r="Y732" s="165"/>
    </row>
    <row r="733" spans="25:25">
      <c r="Y733" s="165"/>
    </row>
    <row r="734" spans="25:25">
      <c r="Y734" s="165"/>
    </row>
    <row r="735" spans="25:25">
      <c r="Y735" s="165"/>
    </row>
    <row r="736" spans="25:25">
      <c r="Y736" s="165"/>
    </row>
    <row r="737" spans="25:25">
      <c r="Y737" s="165"/>
    </row>
    <row r="738" spans="25:25">
      <c r="Y738" s="165"/>
    </row>
    <row r="739" spans="25:25">
      <c r="Y739" s="165"/>
    </row>
    <row r="740" spans="25:25">
      <c r="Y740" s="165"/>
    </row>
    <row r="741" spans="25:25">
      <c r="Y741" s="165"/>
    </row>
    <row r="742" spans="25:25">
      <c r="Y742" s="165"/>
    </row>
    <row r="743" spans="25:25">
      <c r="Y743" s="165"/>
    </row>
    <row r="744" spans="25:25">
      <c r="Y744" s="165"/>
    </row>
    <row r="745" spans="25:25">
      <c r="Y745" s="165"/>
    </row>
    <row r="746" spans="25:25">
      <c r="Y746" s="165"/>
    </row>
    <row r="747" spans="25:25">
      <c r="Y747" s="165"/>
    </row>
    <row r="748" spans="25:25">
      <c r="Y748" s="165"/>
    </row>
    <row r="749" spans="25:25">
      <c r="Y749" s="165"/>
    </row>
    <row r="750" spans="25:25">
      <c r="Y750" s="165"/>
    </row>
    <row r="751" spans="25:25">
      <c r="Y751" s="165"/>
    </row>
    <row r="752" spans="25:25">
      <c r="Y752" s="165"/>
    </row>
    <row r="753" spans="25:25">
      <c r="Y753" s="165"/>
    </row>
    <row r="754" spans="25:25">
      <c r="Y754" s="165"/>
    </row>
    <row r="755" spans="25:25">
      <c r="Y755" s="165"/>
    </row>
    <row r="756" spans="25:25">
      <c r="Y756" s="165"/>
    </row>
    <row r="757" spans="25:25">
      <c r="Y757" s="165"/>
    </row>
    <row r="758" spans="25:25">
      <c r="Y758" s="165"/>
    </row>
    <row r="759" spans="25:25">
      <c r="Y759" s="165"/>
    </row>
    <row r="760" spans="25:25">
      <c r="Y760" s="165"/>
    </row>
    <row r="761" spans="25:25">
      <c r="Y761" s="165"/>
    </row>
    <row r="762" spans="25:25">
      <c r="Y762" s="165"/>
    </row>
    <row r="763" spans="25:25">
      <c r="Y763" s="165"/>
    </row>
    <row r="764" spans="25:25">
      <c r="Y764" s="165"/>
    </row>
    <row r="765" spans="25:25">
      <c r="Y765" s="165"/>
    </row>
    <row r="766" spans="25:25">
      <c r="Y766" s="165"/>
    </row>
    <row r="767" spans="25:25">
      <c r="Y767" s="165"/>
    </row>
    <row r="768" spans="25:25">
      <c r="Y768" s="165"/>
    </row>
    <row r="769" spans="25:25">
      <c r="Y769" s="165"/>
    </row>
    <row r="770" spans="25:25">
      <c r="Y770" s="165"/>
    </row>
    <row r="771" spans="25:25">
      <c r="Y771" s="165"/>
    </row>
  </sheetData>
  <autoFilter ref="A1:DK194"/>
  <sortState ref="A3:AA8">
    <sortCondition descending="1" ref="W3"/>
  </sortState>
  <customSheetViews>
    <customSheetView guid="{405707A2-D644-4113-A905-B4AA69DE216D}" fitToPage="1" showRuler="0">
      <pane xSplit="1" ySplit="2" topLeftCell="B3" activePane="bottomRight" state="frozen"/>
      <selection pane="bottomRight" activeCell="H5" sqref="H5"/>
      <pageMargins left="0.18" right="0.17" top="0.86614173228346458" bottom="0.47244094488188981" header="0.39370078740157483" footer="0"/>
      <printOptions horizontalCentered="1"/>
      <pageSetup paperSize="9" scale="89" fitToHeight="0" orientation="landscape" horizontalDpi="4294967292" verticalDpi="4294967292" r:id="rId1"/>
      <headerFooter alignWithMargins="0">
        <oddFooter>&amp;L&amp;D - &amp;T&amp;R&amp;F</oddFooter>
      </headerFooter>
    </customSheetView>
  </customSheetViews>
  <phoneticPr fontId="71" type="noConversion"/>
  <conditionalFormatting sqref="Y3:Y24">
    <cfRule type="expression" dxfId="21" priority="2922" stopIfTrue="1">
      <formula>AND(W3&gt;0,Format2Print,LEN(Z3)&lt;8)</formula>
    </cfRule>
  </conditionalFormatting>
  <conditionalFormatting sqref="N2">
    <cfRule type="expression" dxfId="20" priority="2930" stopIfTrue="1">
      <formula>IF($P2=1,1,0)</formula>
    </cfRule>
    <cfRule type="expression" dxfId="19" priority="2931" stopIfTrue="1">
      <formula>IF($P2=0,2,0)</formula>
    </cfRule>
    <cfRule type="expression" dxfId="18" priority="2932" stopIfTrue="1">
      <formula>OR(IF(ISNA($P2),3,0),P2=3)</formula>
    </cfRule>
  </conditionalFormatting>
  <conditionalFormatting sqref="N3:N24">
    <cfRule type="expression" dxfId="17" priority="1907" stopIfTrue="1">
      <formula>IF($O3=1,1,0)</formula>
    </cfRule>
    <cfRule type="expression" dxfId="16" priority="1908" stopIfTrue="1">
      <formula>IF($O3=0,2,0)</formula>
    </cfRule>
    <cfRule type="expression" dxfId="15" priority="1909" stopIfTrue="1">
      <formula>OR(IF(ISNA($O3),3,0),P3=3)</formula>
    </cfRule>
  </conditionalFormatting>
  <conditionalFormatting sqref="L3:M24">
    <cfRule type="expression" dxfId="14" priority="1887" stopIfTrue="1">
      <formula>IF($N3=1,1,0)</formula>
    </cfRule>
    <cfRule type="expression" dxfId="13" priority="1888" stopIfTrue="1">
      <formula>IF($N3=0,2,0)</formula>
    </cfRule>
    <cfRule type="expression" dxfId="12" priority="1889" stopIfTrue="1">
      <formula>OR(IF(ISNA($N3),3,0),J3=3)</formula>
    </cfRule>
  </conditionalFormatting>
  <conditionalFormatting sqref="R3:R24">
    <cfRule type="expression" dxfId="11" priority="1893" stopIfTrue="1">
      <formula>IF($T3=1,1,0)</formula>
    </cfRule>
    <cfRule type="expression" dxfId="10" priority="1894" stopIfTrue="1">
      <formula>IF($T3=0,2,0)</formula>
    </cfRule>
    <cfRule type="expression" dxfId="9" priority="1895" stopIfTrue="1">
      <formula>OR(IF(ISNA($T3),3,0),Q3=3)</formula>
    </cfRule>
  </conditionalFormatting>
  <conditionalFormatting sqref="S3:S24">
    <cfRule type="expression" dxfId="8" priority="1898" stopIfTrue="1">
      <formula>OR(LEN($R3)=0,LEN($S3)=0)</formula>
    </cfRule>
    <cfRule type="expression" dxfId="7" priority="1899" stopIfTrue="1">
      <formula>$T3</formula>
    </cfRule>
  </conditionalFormatting>
  <conditionalFormatting sqref="G3:I24">
    <cfRule type="expression" dxfId="6" priority="1900" stopIfTrue="1">
      <formula>IF($I3=1,1,0)</formula>
    </cfRule>
    <cfRule type="expression" dxfId="5" priority="1901" stopIfTrue="1">
      <formula>IF($I3=0,2,0)</formula>
    </cfRule>
    <cfRule type="expression" dxfId="4" priority="1902" stopIfTrue="1">
      <formula>OR(IF(ISNA($I3),3,0),#REF!=3)</formula>
    </cfRule>
  </conditionalFormatting>
  <conditionalFormatting sqref="T3:T24">
    <cfRule type="expression" dxfId="3" priority="1879" stopIfTrue="1">
      <formula>LEN(T3)=0</formula>
    </cfRule>
    <cfRule type="expression" dxfId="2" priority="1880" stopIfTrue="1">
      <formula>$T3</formula>
    </cfRule>
  </conditionalFormatting>
  <dataValidations count="8">
    <dataValidation type="list" errorStyle="warning" allowBlank="1" showInputMessage="1" showErrorMessage="1" errorTitle="Error" error="Know How input incorrect " sqref="G3:G24">
      <formula1>LetterVal</formula1>
    </dataValidation>
    <dataValidation type="list" errorStyle="warning" allowBlank="1" showInputMessage="1" showErrorMessage="1" errorTitle="Error" error="Know How input incorrect" sqref="H3:H24">
      <formula1>KHB_Val</formula1>
    </dataValidation>
    <dataValidation type="list" errorStyle="warning" allowBlank="1" showInputMessage="1" showErrorMessage="1" errorTitle="Error" error="Know How input incorrect" sqref="I3:I24">
      <formula1>KHHRS_Val</formula1>
    </dataValidation>
    <dataValidation type="list" errorStyle="warning" allowBlank="1" showInputMessage="1" showErrorMessage="1" errorTitle="Error" error="Problemsolving input incorrect" sqref="L3:L24">
      <formula1>PSF_Val</formula1>
    </dataValidation>
    <dataValidation type="list" errorStyle="warning" allowBlank="1" showInputMessage="1" showErrorMessage="1" errorTitle="Error" error="Problemsolving input incorrect" sqref="M3:M24">
      <formula1>PSC_Val</formula1>
    </dataValidation>
    <dataValidation type="list" errorStyle="warning" allowBlank="1" showInputMessage="1" showErrorMessage="1" errorTitle="Error" error="Accountability input incorrect" sqref="R3:R24">
      <formula1>AcF_Val</formula1>
    </dataValidation>
    <dataValidation type="list" errorStyle="warning" allowBlank="1" showInputMessage="1" showErrorMessage="1" errorTitle="Error" error="Accountability input incorrect" sqref="S3:S24">
      <formula1>AcM_Val</formula1>
    </dataValidation>
    <dataValidation type="list" errorStyle="warning" allowBlank="1" showInputMessage="1" showErrorMessage="1" errorTitle="Error" error="Accountability input incorrect" sqref="T3:T24">
      <formula1>AcI_Val</formula1>
    </dataValidation>
  </dataValidations>
  <printOptions horizontalCentered="1"/>
  <pageMargins left="0.19685039370078741" right="0.15748031496062992" top="0.62992125984251968" bottom="0.47244094488188981" header="0.19685039370078741" footer="0"/>
  <pageSetup paperSize="9" fitToHeight="0" orientation="landscape" r:id="rId2"/>
  <headerFooter alignWithMargins="0">
    <oddFooter>&amp;RSTART&amp;LPage &amp;P of &amp;N</oddFooter>
  </headerFooter>
  <drawing r:id="rId3"/>
  <legacyDrawing r:id="rId4"/>
  <controls>
    <mc:AlternateContent xmlns:mc="http://schemas.openxmlformats.org/markup-compatibility/2006">
      <mc:Choice Requires="x14">
        <control shapeId="1322" r:id="rId5" name="cmdDelete">
          <controlPr defaultSize="0" print="0" autoFill="0" autoLine="0" autoPict="0" r:id="rId6">
            <anchor moveWithCells="1">
              <from>
                <xdr:col>83</xdr:col>
                <xdr:colOff>514350</xdr:colOff>
                <xdr:row>289</xdr:row>
                <xdr:rowOff>133350</xdr:rowOff>
              </from>
              <to>
                <xdr:col>84</xdr:col>
                <xdr:colOff>638175</xdr:colOff>
                <xdr:row>291</xdr:row>
                <xdr:rowOff>47625</xdr:rowOff>
              </to>
            </anchor>
          </controlPr>
        </control>
      </mc:Choice>
      <mc:Fallback>
        <control shapeId="1322" r:id="rId5" name="cmdDelete"/>
      </mc:Fallback>
    </mc:AlternateContent>
    <mc:AlternateContent xmlns:mc="http://schemas.openxmlformats.org/markup-compatibility/2006">
      <mc:Choice Requires="x14">
        <control shapeId="1290" r:id="rId7" name="cmdFreeze">
          <controlPr defaultSize="0" print="0" autoFill="0" autoLine="0" autoPict="0" r:id="rId8">
            <anchor moveWithCells="1">
              <from>
                <xdr:col>85</xdr:col>
                <xdr:colOff>66675</xdr:colOff>
                <xdr:row>291</xdr:row>
                <xdr:rowOff>57150</xdr:rowOff>
              </from>
              <to>
                <xdr:col>86</xdr:col>
                <xdr:colOff>523875</xdr:colOff>
                <xdr:row>292</xdr:row>
                <xdr:rowOff>142875</xdr:rowOff>
              </to>
            </anchor>
          </controlPr>
        </control>
      </mc:Choice>
      <mc:Fallback>
        <control shapeId="1290" r:id="rId7" name="cmdFreeze"/>
      </mc:Fallback>
    </mc:AlternateContent>
    <mc:AlternateContent xmlns:mc="http://schemas.openxmlformats.org/markup-compatibility/2006">
      <mc:Choice Requires="x14">
        <control shapeId="1289" r:id="rId9" name="cmdUnhide">
          <controlPr defaultSize="0" print="0" autoFill="0" autoLine="0" autoPict="0" r:id="rId10">
            <anchor moveWithCells="1">
              <from>
                <xdr:col>80</xdr:col>
                <xdr:colOff>152400</xdr:colOff>
                <xdr:row>287</xdr:row>
                <xdr:rowOff>19050</xdr:rowOff>
              </from>
              <to>
                <xdr:col>81</xdr:col>
                <xdr:colOff>609600</xdr:colOff>
                <xdr:row>288</xdr:row>
                <xdr:rowOff>104775</xdr:rowOff>
              </to>
            </anchor>
          </controlPr>
        </control>
      </mc:Choice>
      <mc:Fallback>
        <control shapeId="1289" r:id="rId9" name="cmdUnhide"/>
      </mc:Fallback>
    </mc:AlternateContent>
    <mc:AlternateContent xmlns:mc="http://schemas.openxmlformats.org/markup-compatibility/2006">
      <mc:Choice Requires="x14">
        <control shapeId="1258" r:id="rId11" name="cmdCut">
          <controlPr defaultSize="0" print="0" autoFill="0" autoLine="0" autoPict="0" r:id="rId12">
            <anchor moveWithCells="1">
              <from>
                <xdr:col>84</xdr:col>
                <xdr:colOff>104775</xdr:colOff>
                <xdr:row>290</xdr:row>
                <xdr:rowOff>57150</xdr:rowOff>
              </from>
              <to>
                <xdr:col>85</xdr:col>
                <xdr:colOff>228600</xdr:colOff>
                <xdr:row>291</xdr:row>
                <xdr:rowOff>142875</xdr:rowOff>
              </to>
            </anchor>
          </controlPr>
        </control>
      </mc:Choice>
      <mc:Fallback>
        <control shapeId="1258" r:id="rId11" name="cmdCut"/>
      </mc:Fallback>
    </mc:AlternateContent>
    <mc:AlternateContent xmlns:mc="http://schemas.openxmlformats.org/markup-compatibility/2006">
      <mc:Choice Requires="x14">
        <control shapeId="1257" r:id="rId13" name="cmdCopy">
          <controlPr defaultSize="0" print="0" autoFill="0" autoLine="0" autoPict="0" r:id="rId14">
            <anchor moveWithCells="1">
              <from>
                <xdr:col>84</xdr:col>
                <xdr:colOff>304800</xdr:colOff>
                <xdr:row>289</xdr:row>
                <xdr:rowOff>133350</xdr:rowOff>
              </from>
              <to>
                <xdr:col>85</xdr:col>
                <xdr:colOff>428625</xdr:colOff>
                <xdr:row>291</xdr:row>
                <xdr:rowOff>47625</xdr:rowOff>
              </to>
            </anchor>
          </controlPr>
        </control>
      </mc:Choice>
      <mc:Fallback>
        <control shapeId="1257" r:id="rId13" name="cmdCopy"/>
      </mc:Fallback>
    </mc:AlternateContent>
    <mc:AlternateContent xmlns:mc="http://schemas.openxmlformats.org/markup-compatibility/2006">
      <mc:Choice Requires="x14">
        <control shapeId="1254" r:id="rId15" name="cmdPrintPreview">
          <controlPr defaultSize="0" print="0" autoFill="0" autoLine="0" autoPict="0" r:id="rId16">
            <anchor moveWithCells="1">
              <from>
                <xdr:col>114</xdr:col>
                <xdr:colOff>638175</xdr:colOff>
                <xdr:row>194</xdr:row>
                <xdr:rowOff>0</xdr:rowOff>
              </from>
              <to>
                <xdr:col>116</xdr:col>
                <xdr:colOff>409575</xdr:colOff>
                <xdr:row>195</xdr:row>
                <xdr:rowOff>85725</xdr:rowOff>
              </to>
            </anchor>
          </controlPr>
        </control>
      </mc:Choice>
      <mc:Fallback>
        <control shapeId="1254" r:id="rId15" name="cmdPrintPreview"/>
      </mc:Fallback>
    </mc:AlternateContent>
    <mc:AlternateContent xmlns:mc="http://schemas.openxmlformats.org/markup-compatibility/2006">
      <mc:Choice Requires="x14">
        <control shapeId="1083" r:id="rId17" name="CommandButton1">
          <controlPr defaultSize="0" print="0" autoFill="0" autoLine="0" r:id="rId18">
            <anchor moveWithCells="1">
              <from>
                <xdr:col>85</xdr:col>
                <xdr:colOff>66675</xdr:colOff>
                <xdr:row>288</xdr:row>
                <xdr:rowOff>57150</xdr:rowOff>
              </from>
              <to>
                <xdr:col>85</xdr:col>
                <xdr:colOff>419100</xdr:colOff>
                <xdr:row>289</xdr:row>
                <xdr:rowOff>19050</xdr:rowOff>
              </to>
            </anchor>
          </controlPr>
        </control>
      </mc:Choice>
      <mc:Fallback>
        <control shapeId="1083" r:id="rId17" name="CommandButton1"/>
      </mc:Fallback>
    </mc:AlternateContent>
    <mc:AlternateContent xmlns:mc="http://schemas.openxmlformats.org/markup-compatibility/2006">
      <mc:Choice Requires="x14">
        <control shapeId="1304" r:id="rId19" name="Button 280">
          <controlPr defaultSize="0" print="0" autoFill="0" autoPict="0" macro="[0]!cmdVisibleB">
            <anchor moveWithCells="1" sizeWithCells="1">
              <from>
                <xdr:col>1</xdr:col>
                <xdr:colOff>0</xdr:colOff>
                <xdr:row>0</xdr:row>
                <xdr:rowOff>819150</xdr:rowOff>
              </from>
              <to>
                <xdr:col>1</xdr:col>
                <xdr:colOff>0</xdr:colOff>
                <xdr:row>0</xdr:row>
                <xdr:rowOff>1019175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6" r:id="rId20" name="Button 282">
          <controlPr defaultSize="0" print="0" autoFill="0" autoPict="0" macro="[0]!cmdVisibleD">
            <anchor moveWithCells="1" sizeWithCells="1">
              <from>
                <xdr:col>85</xdr:col>
                <xdr:colOff>38100</xdr:colOff>
                <xdr:row>289</xdr:row>
                <xdr:rowOff>66675</xdr:rowOff>
              </from>
              <to>
                <xdr:col>85</xdr:col>
                <xdr:colOff>400050</xdr:colOff>
                <xdr:row>291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8" r:id="rId21" name="Button 284">
          <controlPr defaultSize="0" print="0" autoFill="0" autoPict="0" macro="[0]!cmdSortA">
            <anchor moveWithCells="1" sizeWithCells="1">
              <from>
                <xdr:col>0</xdr:col>
                <xdr:colOff>28575</xdr:colOff>
                <xdr:row>0</xdr:row>
                <xdr:rowOff>1057275</xdr:rowOff>
              </from>
              <to>
                <xdr:col>0</xdr:col>
                <xdr:colOff>247650</xdr:colOff>
                <xdr:row>0</xdr:row>
                <xdr:rowOff>1257300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0" r:id="rId22" name="Button 286">
          <controlPr defaultSize="0" print="0" autoFill="0" autoPict="0" macro="[0]!cmdSortB">
            <anchor moveWithCells="1" sizeWithCells="1">
              <from>
                <xdr:col>1</xdr:col>
                <xdr:colOff>0</xdr:colOff>
                <xdr:row>0</xdr:row>
                <xdr:rowOff>1047750</xdr:rowOff>
              </from>
              <to>
                <xdr:col>1</xdr:col>
                <xdr:colOff>0</xdr:colOff>
                <xdr:row>0</xdr:row>
                <xdr:rowOff>1247775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1" r:id="rId23" name="Button 287">
          <controlPr defaultSize="0" print="0" autoFill="0" autoPict="0" macro="[0]!cmdSortC">
            <anchor moveWithCells="1" sizeWithCells="1">
              <from>
                <xdr:col>2</xdr:col>
                <xdr:colOff>19050</xdr:colOff>
                <xdr:row>0</xdr:row>
                <xdr:rowOff>1047750</xdr:rowOff>
              </from>
              <to>
                <xdr:col>2</xdr:col>
                <xdr:colOff>400050</xdr:colOff>
                <xdr:row>0</xdr:row>
                <xdr:rowOff>1247775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2" r:id="rId24" name="Button 288">
          <controlPr defaultSize="0" print="0" autoFill="0" autoPict="0" macro="[0]!cmdSortD">
            <anchor moveWithCells="1" sizeWithCells="1">
              <from>
                <xdr:col>3</xdr:col>
                <xdr:colOff>19050</xdr:colOff>
                <xdr:row>0</xdr:row>
                <xdr:rowOff>1047750</xdr:rowOff>
              </from>
              <to>
                <xdr:col>3</xdr:col>
                <xdr:colOff>400050</xdr:colOff>
                <xdr:row>0</xdr:row>
                <xdr:rowOff>1247775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3" r:id="rId25" name="Button 289">
          <controlPr defaultSize="0" print="0" autoFill="0" autoPict="0" macro="[0]!cmdSortE">
            <anchor moveWithCells="1" sizeWithCells="1">
              <from>
                <xdr:col>4</xdr:col>
                <xdr:colOff>19050</xdr:colOff>
                <xdr:row>0</xdr:row>
                <xdr:rowOff>1028700</xdr:rowOff>
              </from>
              <to>
                <xdr:col>4</xdr:col>
                <xdr:colOff>400050</xdr:colOff>
                <xdr:row>0</xdr:row>
                <xdr:rowOff>1238250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" r:id="rId26" name="Button 291">
          <controlPr defaultSize="0" print="0" autoFill="0" autoPict="0" macro="[0]!cmdSortF">
            <anchor moveWithCells="1" sizeWithCells="1">
              <from>
                <xdr:col>5</xdr:col>
                <xdr:colOff>19050</xdr:colOff>
                <xdr:row>0</xdr:row>
                <xdr:rowOff>1009650</xdr:rowOff>
              </from>
              <to>
                <xdr:col>6</xdr:col>
                <xdr:colOff>0</xdr:colOff>
                <xdr:row>0</xdr:row>
                <xdr:rowOff>1209675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" r:id="rId27" name="Button 292">
          <controlPr defaultSize="0" print="0" autoFill="0" autoPict="0" macro="[0]!cmdSortW">
            <anchor moveWithCells="1" sizeWithCells="1">
              <from>
                <xdr:col>81</xdr:col>
                <xdr:colOff>685800</xdr:colOff>
                <xdr:row>289</xdr:row>
                <xdr:rowOff>114300</xdr:rowOff>
              </from>
              <to>
                <xdr:col>82</xdr:col>
                <xdr:colOff>371475</xdr:colOff>
                <xdr:row>290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7" r:id="rId28" name="Button 293">
          <controlPr defaultSize="0" print="0" autoFill="0" autoPict="0" macro="[0]!cmdVisibleF">
            <anchor moveWithCells="1" sizeWithCells="1">
              <from>
                <xdr:col>83</xdr:col>
                <xdr:colOff>333375</xdr:colOff>
                <xdr:row>290</xdr:row>
                <xdr:rowOff>19050</xdr:rowOff>
              </from>
              <to>
                <xdr:col>84</xdr:col>
                <xdr:colOff>19050</xdr:colOff>
                <xdr:row>292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8" r:id="rId29" name="Button 294">
          <controlPr defaultSize="0" print="0" autoFill="0" autoPict="0" macro="[0]!cmdVisibleX">
            <anchor moveWithCells="1" sizeWithCells="1">
              <from>
                <xdr:col>83</xdr:col>
                <xdr:colOff>333375</xdr:colOff>
                <xdr:row>288</xdr:row>
                <xdr:rowOff>19050</xdr:rowOff>
              </from>
              <to>
                <xdr:col>84</xdr:col>
                <xdr:colOff>19050</xdr:colOff>
                <xdr:row>290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" r:id="rId30" name="Button 295">
          <controlPr defaultSize="0" print="0" autoFill="0" autoPict="0" macro="[0]!cmdVisibleY">
            <anchor moveWithCells="1" sizeWithCells="1">
              <from>
                <xdr:col>83</xdr:col>
                <xdr:colOff>647700</xdr:colOff>
                <xdr:row>288</xdr:row>
                <xdr:rowOff>19050</xdr:rowOff>
              </from>
              <to>
                <xdr:col>84</xdr:col>
                <xdr:colOff>323850</xdr:colOff>
                <xdr:row>290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" r:id="rId31" name="Button 296">
          <controlPr defaultSize="0" print="0" autoFill="0" autoPict="0" macro="[0]!cmdVisibleZ">
            <anchor moveWithCells="1" sizeWithCells="1">
              <from>
                <xdr:col>25</xdr:col>
                <xdr:colOff>0</xdr:colOff>
                <xdr:row>0</xdr:row>
                <xdr:rowOff>762000</xdr:rowOff>
              </from>
              <to>
                <xdr:col>25</xdr:col>
                <xdr:colOff>0</xdr:colOff>
                <xdr:row>0</xdr:row>
                <xdr:rowOff>971550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" r:id="rId32" name="Button 297">
          <controlPr defaultSize="0" print="0" autoFill="0" autoPict="0" macro="[0]!cmdVisibleAA">
            <anchor moveWithCells="1" sizeWithCells="1">
              <from>
                <xdr:col>84</xdr:col>
                <xdr:colOff>247650</xdr:colOff>
                <xdr:row>288</xdr:row>
                <xdr:rowOff>19050</xdr:rowOff>
              </from>
              <to>
                <xdr:col>84</xdr:col>
                <xdr:colOff>600075</xdr:colOff>
                <xdr:row>290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" r:id="rId33" name="Button 299">
          <controlPr defaultSize="0" print="0" autoFill="0" autoPict="0" macro="[0]!cmdSortQ">
            <anchor moveWithCells="1" sizeWithCells="1">
              <from>
                <xdr:col>16</xdr:col>
                <xdr:colOff>19050</xdr:colOff>
                <xdr:row>0</xdr:row>
                <xdr:rowOff>1009650</xdr:rowOff>
              </from>
              <to>
                <xdr:col>16</xdr:col>
                <xdr:colOff>285750</xdr:colOff>
                <xdr:row>0</xdr:row>
                <xdr:rowOff>1200150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" r:id="rId34" name="Button 300">
          <controlPr defaultSize="0" print="0" autoFill="0" autoPict="0" macro="[0]!cmdSortK">
            <anchor moveWithCells="1" sizeWithCells="1">
              <from>
                <xdr:col>10</xdr:col>
                <xdr:colOff>19050</xdr:colOff>
                <xdr:row>0</xdr:row>
                <xdr:rowOff>1028700</xdr:rowOff>
              </from>
              <to>
                <xdr:col>10</xdr:col>
                <xdr:colOff>333375</xdr:colOff>
                <xdr:row>0</xdr:row>
                <xdr:rowOff>1209675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" r:id="rId35" name="Button 301">
          <controlPr defaultSize="0" print="0" autoFill="0" autoPict="0" macro="[0]!cmdSortV">
            <anchor moveWithCells="1" sizeWithCells="1">
              <from>
                <xdr:col>21</xdr:col>
                <xdr:colOff>19050</xdr:colOff>
                <xdr:row>0</xdr:row>
                <xdr:rowOff>990600</xdr:rowOff>
              </from>
              <to>
                <xdr:col>21</xdr:col>
                <xdr:colOff>295275</xdr:colOff>
                <xdr:row>0</xdr:row>
                <xdr:rowOff>1200150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0"/>
    <pageSetUpPr autoPageBreaks="0" fitToPage="1"/>
  </sheetPr>
  <dimension ref="A1:FX3000"/>
  <sheetViews>
    <sheetView showGridLines="0" workbookViewId="0">
      <selection activeCell="L10" sqref="L10"/>
    </sheetView>
  </sheetViews>
  <sheetFormatPr defaultColWidth="9.33203125" defaultRowHeight="11.25" outlineLevelCol="7"/>
  <cols>
    <col min="1" max="1" width="10.6640625" style="170" customWidth="1"/>
    <col min="2" max="2" width="4.1640625" style="141" hidden="1" customWidth="1"/>
    <col min="3" max="3" width="3.5" style="72" bestFit="1" customWidth="1"/>
    <col min="4" max="4" width="7.5" style="73" bestFit="1" customWidth="1"/>
    <col min="5" max="5" width="4.1640625" style="72" hidden="1" customWidth="1"/>
    <col min="6" max="6" width="3.5" style="72" bestFit="1" customWidth="1"/>
    <col min="7" max="7" width="8.1640625" style="73" bestFit="1" customWidth="1"/>
    <col min="8" max="8" width="4.1640625" style="72" hidden="1" customWidth="1"/>
    <col min="9" max="9" width="3.5" style="72" bestFit="1" customWidth="1"/>
    <col min="10" max="10" width="8.6640625" style="73" bestFit="1" customWidth="1"/>
    <col min="11" max="11" width="4.1640625" style="72" hidden="1" customWidth="1"/>
    <col min="12" max="12" width="3.5" style="72" bestFit="1" customWidth="1"/>
    <col min="13" max="13" width="10.1640625" style="73" bestFit="1" customWidth="1"/>
    <col min="14" max="14" width="5.1640625" style="72" hidden="1" customWidth="1"/>
    <col min="15" max="15" width="3.5" style="72" bestFit="1" customWidth="1"/>
    <col min="16" max="16" width="38.6640625" style="73" bestFit="1" customWidth="1"/>
    <col min="17" max="17" width="5.1640625" style="72" hidden="1" customWidth="1"/>
    <col min="18" max="18" width="3.5" style="72" bestFit="1" customWidth="1"/>
    <col min="19" max="19" width="38.6640625" style="73" bestFit="1" customWidth="1"/>
    <col min="20" max="20" width="4.1640625" style="72" hidden="1" customWidth="1"/>
    <col min="21" max="21" width="3.5" style="72" bestFit="1" customWidth="1"/>
    <col min="22" max="22" width="16.5" style="73" bestFit="1" customWidth="1"/>
    <col min="23" max="23" width="4.1640625" style="72" hidden="1" customWidth="1"/>
    <col min="24" max="24" width="3.5" style="72" bestFit="1" customWidth="1"/>
    <col min="25" max="25" width="31.5" style="73" bestFit="1" customWidth="1"/>
    <col min="26" max="26" width="4.1640625" style="72" hidden="1" customWidth="1"/>
    <col min="27" max="27" width="3.5" style="72" bestFit="1" customWidth="1"/>
    <col min="28" max="28" width="31.6640625" style="73" bestFit="1" customWidth="1"/>
    <col min="29" max="29" width="4.1640625" style="72" hidden="1" customWidth="1"/>
    <col min="30" max="30" width="3.5" style="72" bestFit="1" customWidth="1"/>
    <col min="31" max="31" width="40.1640625" style="73" bestFit="1" customWidth="1"/>
    <col min="32" max="32" width="4.1640625" style="72" hidden="1" customWidth="1"/>
    <col min="33" max="33" width="3.5" style="72" bestFit="1" customWidth="1"/>
    <col min="34" max="34" width="14.1640625" style="73" bestFit="1" customWidth="1"/>
    <col min="35" max="35" width="4.1640625" style="72" hidden="1" customWidth="1"/>
    <col min="36" max="36" width="3.5" style="72" bestFit="1" customWidth="1"/>
    <col min="37" max="37" width="28.33203125" style="73" bestFit="1" customWidth="1"/>
    <col min="38" max="38" width="4.1640625" style="72" hidden="1" customWidth="1"/>
    <col min="39" max="39" width="3.5" style="72" bestFit="1" customWidth="1"/>
    <col min="40" max="40" width="15.1640625" style="73" bestFit="1" customWidth="1"/>
    <col min="41" max="41" width="3.5" style="72" hidden="1" customWidth="1"/>
    <col min="42" max="42" width="3" style="72" hidden="1" customWidth="1"/>
    <col min="43" max="43" width="21.6640625" style="73" bestFit="1" customWidth="1"/>
    <col min="44" max="44" width="3.5" style="72" hidden="1" customWidth="1"/>
    <col min="45" max="45" width="3" style="72" hidden="1" customWidth="1"/>
    <col min="46" max="46" width="23.5" style="73" bestFit="1" customWidth="1"/>
    <col min="47" max="47" width="3.5" style="72" hidden="1" customWidth="1"/>
    <col min="48" max="48" width="3" style="72" hidden="1" customWidth="1"/>
    <col min="49" max="49" width="28" style="73" bestFit="1" customWidth="1"/>
    <col min="50" max="51" width="9.33203125" style="72"/>
    <col min="52" max="52" width="9.33203125" style="73"/>
    <col min="53" max="178" width="9.33203125" style="72"/>
    <col min="179" max="179" width="0" style="72" hidden="1" customWidth="1" outlineLevel="7"/>
    <col min="180" max="180" width="9.33203125" style="72" collapsed="1"/>
    <col min="181" max="16384" width="9.33203125" style="72"/>
  </cols>
  <sheetData>
    <row r="1" spans="1:52" s="133" customFormat="1" ht="54" customHeight="1">
      <c r="A1" s="132"/>
      <c r="D1" s="134"/>
    </row>
    <row r="2" spans="1:52">
      <c r="A2" s="131"/>
      <c r="B2" s="72"/>
      <c r="D2" s="72"/>
      <c r="G2" s="72"/>
      <c r="J2" s="72"/>
      <c r="M2" s="72"/>
      <c r="P2" s="72"/>
      <c r="S2" s="72"/>
      <c r="V2" s="72"/>
      <c r="Y2" s="72"/>
      <c r="AB2" s="72"/>
      <c r="AE2" s="72"/>
      <c r="AH2" s="72"/>
      <c r="AK2" s="72"/>
      <c r="AN2" s="72"/>
      <c r="AQ2" s="72"/>
      <c r="AT2" s="72"/>
      <c r="AW2" s="72"/>
      <c r="AZ2" s="72"/>
    </row>
    <row r="3" spans="1:52" s="205" customFormat="1">
      <c r="A3" s="204"/>
    </row>
    <row r="4" spans="1:52">
      <c r="A4" s="131"/>
      <c r="B4" s="72"/>
      <c r="D4" s="72"/>
      <c r="G4" s="72"/>
      <c r="J4" s="72"/>
      <c r="M4" s="72"/>
      <c r="P4" s="72"/>
      <c r="S4" s="72"/>
      <c r="V4" s="72"/>
      <c r="Y4" s="72"/>
      <c r="AB4" s="72"/>
      <c r="AE4" s="72"/>
      <c r="AH4" s="72"/>
      <c r="AK4" s="72"/>
      <c r="AN4" s="72"/>
      <c r="AQ4" s="72"/>
      <c r="AT4" s="72"/>
      <c r="AW4" s="72"/>
      <c r="AZ4" s="72"/>
    </row>
    <row r="5" spans="1:52">
      <c r="A5" s="131"/>
      <c r="B5" s="72"/>
      <c r="D5" s="72"/>
      <c r="G5" s="72"/>
      <c r="J5" s="72"/>
      <c r="M5" s="72"/>
      <c r="P5" s="72"/>
      <c r="S5" s="72"/>
      <c r="V5" s="72"/>
      <c r="Y5" s="72"/>
      <c r="AB5" s="72"/>
      <c r="AE5" s="72"/>
      <c r="AH5" s="72"/>
      <c r="AK5" s="72"/>
      <c r="AN5" s="72"/>
      <c r="AQ5" s="72"/>
      <c r="AT5" s="72"/>
      <c r="AW5" s="72"/>
      <c r="AZ5" s="72"/>
    </row>
    <row r="6" spans="1:52">
      <c r="A6" s="131"/>
      <c r="B6" s="72"/>
      <c r="D6" s="72"/>
      <c r="G6" s="72"/>
      <c r="J6" s="72"/>
      <c r="M6" s="72"/>
      <c r="P6" s="72"/>
      <c r="S6" s="72"/>
      <c r="V6" s="72"/>
      <c r="Y6" s="72"/>
      <c r="AB6" s="72"/>
      <c r="AE6" s="72"/>
      <c r="AH6" s="72"/>
      <c r="AK6" s="72"/>
      <c r="AN6" s="72"/>
      <c r="AQ6" s="72"/>
      <c r="AT6" s="72"/>
      <c r="AW6" s="72"/>
      <c r="AZ6" s="72"/>
    </row>
    <row r="7" spans="1:52">
      <c r="A7" s="131"/>
      <c r="B7" s="72"/>
      <c r="D7" s="72"/>
      <c r="G7" s="72"/>
      <c r="J7" s="72"/>
      <c r="M7" s="72"/>
      <c r="P7" s="72"/>
      <c r="S7" s="72"/>
      <c r="V7" s="72"/>
      <c r="Y7" s="72"/>
      <c r="AB7" s="72"/>
      <c r="AE7" s="72"/>
      <c r="AH7" s="72"/>
      <c r="AK7" s="72"/>
      <c r="AN7" s="72"/>
      <c r="AQ7" s="72"/>
      <c r="AT7" s="72"/>
      <c r="AW7" s="72"/>
      <c r="AZ7" s="72"/>
    </row>
    <row r="8" spans="1:52">
      <c r="A8" s="131"/>
      <c r="B8" s="72"/>
      <c r="D8" s="72"/>
      <c r="G8" s="72"/>
      <c r="J8" s="72"/>
      <c r="M8" s="72"/>
      <c r="P8" s="72"/>
      <c r="S8" s="72"/>
      <c r="V8" s="72"/>
      <c r="Y8" s="72"/>
      <c r="AB8" s="72"/>
      <c r="AE8" s="72"/>
      <c r="AH8" s="72"/>
      <c r="AK8" s="72"/>
      <c r="AN8" s="72"/>
      <c r="AQ8" s="72"/>
      <c r="AT8" s="72"/>
      <c r="AW8" s="72"/>
      <c r="AZ8" s="72"/>
    </row>
    <row r="9" spans="1:52">
      <c r="A9" s="131"/>
      <c r="B9" s="72"/>
      <c r="D9" s="72"/>
      <c r="G9" s="72"/>
      <c r="J9" s="72"/>
      <c r="M9" s="72"/>
      <c r="P9" s="72"/>
      <c r="S9" s="72"/>
      <c r="V9" s="72"/>
      <c r="Y9" s="72"/>
      <c r="AB9" s="72"/>
      <c r="AE9" s="72"/>
      <c r="AH9" s="72"/>
      <c r="AK9" s="72"/>
      <c r="AN9" s="72"/>
      <c r="AQ9" s="72"/>
      <c r="AT9" s="72"/>
      <c r="AW9" s="72"/>
      <c r="AZ9" s="72"/>
    </row>
    <row r="10" spans="1:52">
      <c r="A10" s="131"/>
      <c r="B10" s="72"/>
      <c r="D10" s="72"/>
      <c r="G10" s="72"/>
      <c r="J10" s="72"/>
      <c r="M10" s="72"/>
      <c r="P10" s="72"/>
      <c r="S10" s="72"/>
      <c r="V10" s="72"/>
      <c r="Y10" s="72"/>
      <c r="AB10" s="72"/>
      <c r="AE10" s="72"/>
      <c r="AH10" s="72"/>
      <c r="AK10" s="72"/>
      <c r="AN10" s="72"/>
      <c r="AQ10" s="72"/>
      <c r="AT10" s="72"/>
      <c r="AW10" s="72"/>
      <c r="AZ10" s="72"/>
    </row>
    <row r="11" spans="1:52">
      <c r="A11" s="131"/>
      <c r="B11" s="72"/>
      <c r="D11" s="72"/>
      <c r="G11" s="72"/>
      <c r="J11" s="72"/>
      <c r="M11" s="72"/>
      <c r="P11" s="72"/>
      <c r="S11" s="72"/>
      <c r="V11" s="72"/>
      <c r="Y11" s="72"/>
      <c r="AB11" s="72"/>
      <c r="AE11" s="72"/>
      <c r="AH11" s="72"/>
      <c r="AK11" s="72"/>
      <c r="AN11" s="72"/>
      <c r="AQ11" s="72"/>
      <c r="AT11" s="72"/>
      <c r="AW11" s="72"/>
      <c r="AZ11" s="72"/>
    </row>
    <row r="12" spans="1:52">
      <c r="A12" s="131"/>
      <c r="B12" s="72"/>
      <c r="D12" s="72"/>
      <c r="G12" s="72"/>
      <c r="J12" s="72"/>
      <c r="M12" s="72"/>
      <c r="P12" s="72"/>
      <c r="S12" s="72"/>
      <c r="V12" s="72"/>
      <c r="Y12" s="72"/>
      <c r="AB12" s="72"/>
      <c r="AE12" s="72"/>
      <c r="AH12" s="72"/>
      <c r="AK12" s="72"/>
      <c r="AN12" s="72"/>
      <c r="AQ12" s="72"/>
      <c r="AT12" s="72"/>
      <c r="AW12" s="72"/>
      <c r="AZ12" s="72"/>
    </row>
    <row r="13" spans="1:52">
      <c r="A13" s="131"/>
      <c r="B13" s="72"/>
      <c r="D13" s="72"/>
      <c r="G13" s="72"/>
      <c r="J13" s="72"/>
      <c r="M13" s="72"/>
      <c r="P13" s="72"/>
      <c r="S13" s="72"/>
      <c r="V13" s="72"/>
      <c r="Y13" s="72"/>
      <c r="AB13" s="72"/>
      <c r="AE13" s="72"/>
      <c r="AH13" s="72"/>
      <c r="AK13" s="72"/>
      <c r="AN13" s="72"/>
      <c r="AQ13" s="72"/>
      <c r="AT13" s="72"/>
      <c r="AW13" s="72"/>
      <c r="AZ13" s="72"/>
    </row>
    <row r="14" spans="1:52">
      <c r="A14" s="131"/>
      <c r="B14" s="72"/>
      <c r="D14" s="72"/>
      <c r="G14" s="72"/>
      <c r="J14" s="72"/>
      <c r="M14" s="72"/>
      <c r="P14" s="72"/>
      <c r="S14" s="72"/>
      <c r="V14" s="72"/>
      <c r="Y14" s="72"/>
      <c r="AB14" s="72"/>
      <c r="AE14" s="72"/>
      <c r="AH14" s="72"/>
      <c r="AK14" s="72"/>
      <c r="AN14" s="72"/>
      <c r="AQ14" s="72"/>
      <c r="AT14" s="72"/>
      <c r="AW14" s="72"/>
      <c r="AZ14" s="72"/>
    </row>
    <row r="15" spans="1:52">
      <c r="A15" s="131"/>
      <c r="B15" s="72"/>
      <c r="D15" s="72"/>
      <c r="G15" s="72"/>
      <c r="J15" s="72"/>
      <c r="M15" s="72"/>
      <c r="P15" s="72"/>
      <c r="S15" s="72"/>
      <c r="V15" s="72"/>
      <c r="Y15" s="72"/>
      <c r="AB15" s="72"/>
      <c r="AE15" s="72"/>
      <c r="AH15" s="72"/>
      <c r="AK15" s="72"/>
      <c r="AN15" s="72"/>
      <c r="AQ15" s="72"/>
      <c r="AT15" s="72"/>
      <c r="AW15" s="72"/>
      <c r="AZ15" s="72"/>
    </row>
    <row r="16" spans="1:52">
      <c r="A16" s="131"/>
      <c r="B16" s="72"/>
      <c r="D16" s="72"/>
      <c r="G16" s="72"/>
      <c r="J16" s="72"/>
      <c r="M16" s="72"/>
      <c r="P16" s="72"/>
      <c r="S16" s="72"/>
      <c r="V16" s="72"/>
      <c r="Y16" s="72"/>
      <c r="AB16" s="72"/>
      <c r="AE16" s="72"/>
      <c r="AH16" s="72"/>
      <c r="AK16" s="72"/>
      <c r="AN16" s="72"/>
      <c r="AQ16" s="72"/>
      <c r="AT16" s="72"/>
      <c r="AW16" s="72"/>
      <c r="AZ16" s="72"/>
    </row>
    <row r="17" spans="1:52">
      <c r="A17" s="131"/>
      <c r="B17" s="72"/>
      <c r="D17" s="72"/>
      <c r="G17" s="72"/>
      <c r="J17" s="72"/>
      <c r="M17" s="72"/>
      <c r="P17" s="72"/>
      <c r="S17" s="72"/>
      <c r="V17" s="72"/>
      <c r="Y17" s="72"/>
      <c r="AB17" s="72"/>
      <c r="AE17" s="72"/>
      <c r="AH17" s="72"/>
      <c r="AK17" s="72"/>
      <c r="AN17" s="72"/>
      <c r="AQ17" s="72"/>
      <c r="AT17" s="72"/>
      <c r="AW17" s="72"/>
      <c r="AZ17" s="72"/>
    </row>
    <row r="18" spans="1:52">
      <c r="A18" s="131"/>
      <c r="B18" s="72"/>
      <c r="D18" s="72"/>
      <c r="G18" s="72"/>
      <c r="J18" s="72"/>
      <c r="M18" s="72"/>
      <c r="P18" s="72"/>
      <c r="S18" s="72"/>
      <c r="V18" s="72"/>
      <c r="Y18" s="72"/>
      <c r="AB18" s="72"/>
      <c r="AE18" s="72"/>
      <c r="AH18" s="72"/>
      <c r="AK18" s="72"/>
      <c r="AN18" s="72"/>
      <c r="AQ18" s="72"/>
      <c r="AT18" s="72"/>
      <c r="AW18" s="72"/>
      <c r="AZ18" s="72"/>
    </row>
    <row r="19" spans="1:52">
      <c r="A19" s="131"/>
      <c r="B19" s="72"/>
      <c r="D19" s="72"/>
      <c r="G19" s="72"/>
      <c r="J19" s="72"/>
      <c r="M19" s="72"/>
      <c r="P19" s="72"/>
      <c r="S19" s="72"/>
      <c r="V19" s="72"/>
      <c r="Y19" s="72"/>
      <c r="AB19" s="72"/>
      <c r="AE19" s="72"/>
      <c r="AH19" s="72"/>
      <c r="AK19" s="72"/>
      <c r="AN19" s="72"/>
      <c r="AQ19" s="72"/>
      <c r="AT19" s="72"/>
      <c r="AW19" s="72"/>
      <c r="AZ19" s="72"/>
    </row>
    <row r="20" spans="1:52">
      <c r="A20" s="131"/>
      <c r="B20" s="72"/>
      <c r="D20" s="72"/>
      <c r="G20" s="72"/>
      <c r="J20" s="72"/>
      <c r="M20" s="72"/>
      <c r="P20" s="72"/>
      <c r="S20" s="72"/>
      <c r="V20" s="72"/>
      <c r="Y20" s="72"/>
      <c r="AB20" s="72"/>
      <c r="AE20" s="72"/>
      <c r="AH20" s="72"/>
      <c r="AK20" s="72"/>
      <c r="AN20" s="72"/>
      <c r="AQ20" s="72"/>
      <c r="AT20" s="72"/>
      <c r="AW20" s="72"/>
      <c r="AZ20" s="72"/>
    </row>
    <row r="21" spans="1:52">
      <c r="A21" s="131"/>
      <c r="B21" s="72"/>
      <c r="D21" s="72"/>
      <c r="G21" s="72"/>
      <c r="J21" s="72"/>
      <c r="M21" s="72"/>
      <c r="P21" s="72"/>
      <c r="S21" s="72"/>
      <c r="V21" s="72"/>
      <c r="Y21" s="72"/>
      <c r="AB21" s="72"/>
      <c r="AE21" s="72"/>
      <c r="AH21" s="72"/>
      <c r="AK21" s="72"/>
      <c r="AN21" s="72"/>
      <c r="AQ21" s="72"/>
      <c r="AT21" s="72"/>
      <c r="AW21" s="72"/>
      <c r="AZ21" s="72"/>
    </row>
    <row r="22" spans="1:52">
      <c r="A22" s="131"/>
      <c r="B22" s="72"/>
      <c r="D22" s="72"/>
      <c r="G22" s="72"/>
      <c r="J22" s="72"/>
      <c r="M22" s="72"/>
      <c r="P22" s="72"/>
      <c r="S22" s="72"/>
      <c r="V22" s="72"/>
      <c r="Y22" s="72"/>
      <c r="AB22" s="72"/>
      <c r="AE22" s="72"/>
      <c r="AH22" s="72"/>
      <c r="AK22" s="72"/>
      <c r="AN22" s="72"/>
      <c r="AQ22" s="72"/>
      <c r="AT22" s="72"/>
      <c r="AW22" s="72"/>
      <c r="AZ22" s="72"/>
    </row>
    <row r="23" spans="1:52">
      <c r="A23" s="131"/>
      <c r="B23" s="72"/>
      <c r="D23" s="72"/>
      <c r="G23" s="72"/>
      <c r="J23" s="72"/>
      <c r="M23" s="72"/>
      <c r="P23" s="72"/>
      <c r="S23" s="72"/>
      <c r="V23" s="72"/>
      <c r="Y23" s="72"/>
      <c r="AB23" s="72"/>
      <c r="AE23" s="72"/>
      <c r="AH23" s="72"/>
      <c r="AK23" s="72"/>
      <c r="AN23" s="72"/>
      <c r="AQ23" s="72"/>
      <c r="AT23" s="72"/>
      <c r="AW23" s="72"/>
      <c r="AZ23" s="72"/>
    </row>
    <row r="24" spans="1:52">
      <c r="A24" s="131"/>
      <c r="B24" s="72"/>
      <c r="D24" s="72"/>
      <c r="G24" s="72"/>
      <c r="J24" s="72"/>
      <c r="M24" s="72"/>
      <c r="P24" s="72"/>
      <c r="S24" s="72"/>
      <c r="V24" s="72"/>
      <c r="Y24" s="72"/>
      <c r="AB24" s="72"/>
      <c r="AE24" s="72"/>
      <c r="AH24" s="72"/>
      <c r="AK24" s="72"/>
      <c r="AN24" s="72"/>
      <c r="AQ24" s="72"/>
      <c r="AT24" s="72"/>
      <c r="AW24" s="72"/>
      <c r="AZ24" s="72"/>
    </row>
    <row r="25" spans="1:52">
      <c r="A25" s="131"/>
      <c r="B25" s="72"/>
      <c r="D25" s="72"/>
      <c r="G25" s="72"/>
      <c r="J25" s="72"/>
      <c r="M25" s="72"/>
      <c r="P25" s="72"/>
      <c r="S25" s="72"/>
      <c r="V25" s="72"/>
      <c r="Y25" s="72"/>
      <c r="AB25" s="72"/>
      <c r="AE25" s="72"/>
      <c r="AH25" s="72"/>
      <c r="AK25" s="72"/>
      <c r="AN25" s="72"/>
      <c r="AQ25" s="72"/>
      <c r="AT25" s="72"/>
      <c r="AW25" s="72"/>
      <c r="AZ25" s="72"/>
    </row>
    <row r="26" spans="1:52">
      <c r="A26" s="131"/>
      <c r="B26" s="72"/>
      <c r="D26" s="72"/>
      <c r="G26" s="72"/>
      <c r="J26" s="72"/>
      <c r="M26" s="72"/>
      <c r="P26" s="72"/>
      <c r="S26" s="72"/>
      <c r="V26" s="72"/>
      <c r="Y26" s="72"/>
      <c r="AB26" s="72"/>
      <c r="AE26" s="72"/>
      <c r="AH26" s="72"/>
      <c r="AK26" s="72"/>
      <c r="AN26" s="72"/>
      <c r="AQ26" s="72"/>
      <c r="AT26" s="72"/>
      <c r="AW26" s="72"/>
      <c r="AZ26" s="72"/>
    </row>
    <row r="27" spans="1:52">
      <c r="A27" s="131"/>
      <c r="B27" s="72"/>
      <c r="D27" s="72"/>
      <c r="G27" s="72"/>
      <c r="J27" s="72"/>
      <c r="M27" s="72"/>
      <c r="P27" s="72"/>
      <c r="S27" s="72"/>
      <c r="V27" s="72"/>
      <c r="Y27" s="72"/>
      <c r="AB27" s="72"/>
      <c r="AE27" s="72"/>
      <c r="AH27" s="72"/>
      <c r="AK27" s="72"/>
      <c r="AN27" s="72"/>
      <c r="AQ27" s="72"/>
      <c r="AT27" s="72"/>
      <c r="AW27" s="72"/>
      <c r="AZ27" s="72"/>
    </row>
    <row r="28" spans="1:52">
      <c r="A28" s="131"/>
      <c r="B28" s="72"/>
      <c r="D28" s="72"/>
      <c r="G28" s="72"/>
      <c r="J28" s="72"/>
      <c r="M28" s="72"/>
      <c r="P28" s="72"/>
      <c r="S28" s="72"/>
      <c r="V28" s="72"/>
      <c r="Y28" s="72"/>
      <c r="AB28" s="72"/>
      <c r="AE28" s="72"/>
      <c r="AH28" s="72"/>
      <c r="AK28" s="72"/>
      <c r="AN28" s="72"/>
      <c r="AQ28" s="72"/>
      <c r="AT28" s="72"/>
      <c r="AW28" s="72"/>
      <c r="AZ28" s="72"/>
    </row>
    <row r="29" spans="1:52">
      <c r="A29" s="131"/>
      <c r="B29" s="72"/>
      <c r="D29" s="72"/>
      <c r="G29" s="72"/>
      <c r="J29" s="72"/>
      <c r="M29" s="72"/>
      <c r="P29" s="72"/>
      <c r="S29" s="72"/>
      <c r="V29" s="72"/>
      <c r="Y29" s="72"/>
      <c r="AB29" s="72"/>
      <c r="AE29" s="72"/>
      <c r="AH29" s="72"/>
      <c r="AK29" s="72"/>
      <c r="AN29" s="72"/>
      <c r="AQ29" s="72"/>
      <c r="AT29" s="72"/>
      <c r="AW29" s="72"/>
      <c r="AZ29" s="72"/>
    </row>
    <row r="30" spans="1:52">
      <c r="A30" s="131"/>
      <c r="B30" s="72"/>
      <c r="D30" s="72"/>
      <c r="G30" s="72"/>
      <c r="J30" s="72"/>
      <c r="M30" s="72"/>
      <c r="P30" s="72"/>
      <c r="S30" s="72"/>
      <c r="V30" s="72"/>
      <c r="Y30" s="72"/>
      <c r="AB30" s="72"/>
      <c r="AE30" s="72"/>
      <c r="AH30" s="72"/>
      <c r="AK30" s="72"/>
      <c r="AN30" s="72"/>
      <c r="AQ30" s="72"/>
      <c r="AT30" s="72"/>
      <c r="AW30" s="72"/>
      <c r="AZ30" s="72"/>
    </row>
    <row r="31" spans="1:52">
      <c r="A31" s="131"/>
      <c r="B31" s="72"/>
      <c r="D31" s="72"/>
      <c r="G31" s="72"/>
      <c r="J31" s="72"/>
      <c r="M31" s="72"/>
      <c r="P31" s="72"/>
      <c r="S31" s="72"/>
      <c r="V31" s="72"/>
      <c r="Y31" s="72"/>
      <c r="AB31" s="72"/>
      <c r="AE31" s="72"/>
      <c r="AH31" s="72"/>
      <c r="AK31" s="72"/>
      <c r="AN31" s="72"/>
      <c r="AQ31" s="72"/>
      <c r="AT31" s="72"/>
      <c r="AW31" s="72"/>
      <c r="AZ31" s="72"/>
    </row>
    <row r="32" spans="1:52">
      <c r="A32" s="131"/>
      <c r="B32" s="72"/>
      <c r="D32" s="72"/>
      <c r="G32" s="72"/>
      <c r="J32" s="72"/>
      <c r="M32" s="72"/>
      <c r="P32" s="72"/>
      <c r="S32" s="72"/>
      <c r="V32" s="72"/>
      <c r="Y32" s="72"/>
      <c r="AB32" s="72"/>
      <c r="AE32" s="72"/>
      <c r="AH32" s="72"/>
      <c r="AK32" s="72"/>
      <c r="AN32" s="72"/>
      <c r="AQ32" s="72"/>
      <c r="AT32" s="72"/>
      <c r="AW32" s="72"/>
      <c r="AZ32" s="72"/>
    </row>
    <row r="33" spans="1:52">
      <c r="A33" s="131"/>
      <c r="B33" s="72"/>
      <c r="D33" s="72"/>
      <c r="G33" s="72"/>
      <c r="J33" s="72"/>
      <c r="M33" s="72"/>
      <c r="P33" s="72"/>
      <c r="S33" s="72"/>
      <c r="V33" s="72"/>
      <c r="Y33" s="72"/>
      <c r="AB33" s="72"/>
      <c r="AE33" s="72"/>
      <c r="AH33" s="72"/>
      <c r="AK33" s="72"/>
      <c r="AN33" s="72"/>
      <c r="AQ33" s="72"/>
      <c r="AT33" s="72"/>
      <c r="AW33" s="72"/>
      <c r="AZ33" s="72"/>
    </row>
    <row r="34" spans="1:52">
      <c r="A34" s="131"/>
      <c r="B34" s="72"/>
      <c r="D34" s="72"/>
      <c r="G34" s="72"/>
      <c r="J34" s="72"/>
      <c r="M34" s="72"/>
      <c r="P34" s="72"/>
      <c r="S34" s="72"/>
      <c r="V34" s="72"/>
      <c r="Y34" s="72"/>
      <c r="AB34" s="72"/>
      <c r="AE34" s="72"/>
      <c r="AH34" s="72"/>
      <c r="AK34" s="72"/>
      <c r="AN34" s="72"/>
      <c r="AQ34" s="72"/>
      <c r="AT34" s="72"/>
      <c r="AW34" s="72"/>
      <c r="AZ34" s="72"/>
    </row>
    <row r="35" spans="1:52">
      <c r="A35" s="131"/>
      <c r="B35" s="72"/>
      <c r="D35" s="72"/>
      <c r="G35" s="72"/>
      <c r="J35" s="72"/>
      <c r="M35" s="72"/>
      <c r="P35" s="72"/>
      <c r="S35" s="72"/>
      <c r="V35" s="72"/>
      <c r="Y35" s="72"/>
      <c r="AB35" s="72"/>
      <c r="AE35" s="72"/>
      <c r="AH35" s="72"/>
      <c r="AK35" s="72"/>
      <c r="AN35" s="72"/>
      <c r="AQ35" s="72"/>
      <c r="AT35" s="72"/>
      <c r="AW35" s="72"/>
      <c r="AZ35" s="72"/>
    </row>
    <row r="36" spans="1:52">
      <c r="A36" s="131"/>
      <c r="B36" s="72"/>
      <c r="D36" s="72"/>
      <c r="G36" s="72"/>
      <c r="J36" s="72"/>
      <c r="M36" s="72"/>
      <c r="P36" s="72"/>
      <c r="S36" s="72"/>
      <c r="V36" s="72"/>
      <c r="Y36" s="72"/>
      <c r="AB36" s="72"/>
      <c r="AE36" s="72"/>
      <c r="AH36" s="72"/>
      <c r="AK36" s="72"/>
      <c r="AN36" s="72"/>
      <c r="AQ36" s="72"/>
      <c r="AT36" s="72"/>
      <c r="AW36" s="72"/>
      <c r="AZ36" s="72"/>
    </row>
    <row r="37" spans="1:52">
      <c r="A37" s="131"/>
      <c r="B37" s="72"/>
      <c r="D37" s="72"/>
      <c r="G37" s="72"/>
      <c r="J37" s="72"/>
      <c r="M37" s="72"/>
      <c r="P37" s="72"/>
      <c r="S37" s="72"/>
      <c r="V37" s="72"/>
      <c r="Y37" s="72"/>
      <c r="AB37" s="72"/>
      <c r="AE37" s="72"/>
      <c r="AH37" s="72"/>
      <c r="AK37" s="72"/>
      <c r="AN37" s="72"/>
      <c r="AQ37" s="72"/>
      <c r="AT37" s="72"/>
      <c r="AW37" s="72"/>
      <c r="AZ37" s="72"/>
    </row>
    <row r="38" spans="1:52">
      <c r="A38" s="131"/>
      <c r="B38" s="72"/>
      <c r="D38" s="72"/>
      <c r="G38" s="72"/>
      <c r="J38" s="72"/>
      <c r="M38" s="72"/>
      <c r="P38" s="72"/>
      <c r="S38" s="72"/>
      <c r="V38" s="72"/>
      <c r="Y38" s="72"/>
      <c r="AB38" s="72"/>
      <c r="AE38" s="72"/>
      <c r="AH38" s="72"/>
      <c r="AK38" s="72"/>
      <c r="AN38" s="72"/>
      <c r="AQ38" s="72"/>
      <c r="AT38" s="72"/>
      <c r="AW38" s="72"/>
      <c r="AZ38" s="72"/>
    </row>
    <row r="39" spans="1:52">
      <c r="A39" s="131"/>
      <c r="B39" s="72"/>
      <c r="D39" s="72"/>
      <c r="G39" s="72"/>
      <c r="J39" s="72"/>
      <c r="M39" s="72"/>
      <c r="P39" s="72"/>
      <c r="S39" s="72"/>
      <c r="V39" s="72"/>
      <c r="Y39" s="72"/>
      <c r="AB39" s="72"/>
      <c r="AE39" s="72"/>
      <c r="AH39" s="72"/>
      <c r="AK39" s="72"/>
      <c r="AN39" s="72"/>
      <c r="AQ39" s="72"/>
      <c r="AT39" s="72"/>
      <c r="AW39" s="72"/>
      <c r="AZ39" s="72"/>
    </row>
    <row r="40" spans="1:52">
      <c r="A40" s="131"/>
      <c r="B40" s="72"/>
      <c r="D40" s="72"/>
      <c r="G40" s="72"/>
      <c r="J40" s="72"/>
      <c r="M40" s="72"/>
      <c r="P40" s="72"/>
      <c r="S40" s="72"/>
      <c r="V40" s="72"/>
      <c r="Y40" s="72"/>
      <c r="AB40" s="72"/>
      <c r="AE40" s="72"/>
      <c r="AH40" s="72"/>
      <c r="AK40" s="72"/>
      <c r="AN40" s="72"/>
      <c r="AQ40" s="72"/>
      <c r="AT40" s="72"/>
      <c r="AW40" s="72"/>
      <c r="AZ40" s="72"/>
    </row>
    <row r="41" spans="1:52">
      <c r="A41" s="131"/>
      <c r="B41" s="72"/>
      <c r="D41" s="72"/>
      <c r="G41" s="72"/>
      <c r="J41" s="72"/>
      <c r="M41" s="72"/>
      <c r="P41" s="72"/>
      <c r="S41" s="72"/>
      <c r="V41" s="72"/>
      <c r="Y41" s="72"/>
      <c r="AB41" s="72"/>
      <c r="AE41" s="72"/>
      <c r="AH41" s="72"/>
      <c r="AK41" s="72"/>
      <c r="AN41" s="72"/>
      <c r="AQ41" s="72"/>
      <c r="AT41" s="72"/>
      <c r="AW41" s="72"/>
      <c r="AZ41" s="72"/>
    </row>
    <row r="42" spans="1:52">
      <c r="A42" s="131"/>
      <c r="B42" s="72"/>
      <c r="D42" s="72"/>
      <c r="G42" s="72"/>
      <c r="J42" s="72"/>
      <c r="M42" s="72"/>
      <c r="P42" s="72"/>
      <c r="S42" s="72"/>
      <c r="V42" s="72"/>
      <c r="Y42" s="72"/>
      <c r="AB42" s="72"/>
      <c r="AE42" s="72"/>
      <c r="AH42" s="72"/>
      <c r="AK42" s="72"/>
      <c r="AN42" s="72"/>
      <c r="AQ42" s="72"/>
      <c r="AT42" s="72"/>
      <c r="AW42" s="72"/>
      <c r="AZ42" s="72"/>
    </row>
    <row r="43" spans="1:52">
      <c r="A43" s="131"/>
      <c r="B43" s="72"/>
      <c r="D43" s="72"/>
      <c r="G43" s="72"/>
      <c r="J43" s="72"/>
      <c r="M43" s="72"/>
      <c r="P43" s="72"/>
      <c r="S43" s="72"/>
      <c r="V43" s="72"/>
      <c r="Y43" s="72"/>
      <c r="AB43" s="72"/>
      <c r="AE43" s="72"/>
      <c r="AH43" s="72"/>
      <c r="AK43" s="72"/>
      <c r="AN43" s="72"/>
      <c r="AQ43" s="72"/>
      <c r="AT43" s="72"/>
      <c r="AW43" s="72"/>
      <c r="AZ43" s="72"/>
    </row>
    <row r="44" spans="1:52">
      <c r="A44" s="131"/>
      <c r="B44" s="72"/>
      <c r="D44" s="72"/>
      <c r="G44" s="72"/>
      <c r="J44" s="72"/>
      <c r="M44" s="72"/>
      <c r="P44" s="72"/>
      <c r="S44" s="72"/>
      <c r="V44" s="72"/>
      <c r="Y44" s="72"/>
      <c r="AB44" s="72"/>
      <c r="AE44" s="72"/>
      <c r="AH44" s="72"/>
      <c r="AK44" s="72"/>
      <c r="AN44" s="72"/>
      <c r="AQ44" s="72"/>
      <c r="AT44" s="72"/>
      <c r="AW44" s="72"/>
      <c r="AZ44" s="72"/>
    </row>
    <row r="45" spans="1:52">
      <c r="A45" s="131"/>
      <c r="B45" s="72"/>
      <c r="D45" s="72"/>
      <c r="G45" s="72"/>
      <c r="J45" s="72"/>
      <c r="M45" s="72"/>
      <c r="P45" s="72"/>
      <c r="S45" s="72"/>
      <c r="V45" s="72"/>
      <c r="Y45" s="72"/>
      <c r="AB45" s="72"/>
      <c r="AE45" s="72"/>
      <c r="AH45" s="72"/>
      <c r="AK45" s="72"/>
      <c r="AN45" s="72"/>
      <c r="AQ45" s="72"/>
      <c r="AT45" s="72"/>
      <c r="AW45" s="72"/>
      <c r="AZ45" s="72"/>
    </row>
    <row r="46" spans="1:52">
      <c r="A46" s="131"/>
      <c r="B46" s="72"/>
      <c r="D46" s="72"/>
      <c r="G46" s="72"/>
      <c r="J46" s="72"/>
      <c r="M46" s="72"/>
      <c r="P46" s="72"/>
      <c r="S46" s="72"/>
      <c r="V46" s="72"/>
      <c r="Y46" s="72"/>
      <c r="AB46" s="72"/>
      <c r="AE46" s="72"/>
      <c r="AH46" s="72"/>
      <c r="AK46" s="72"/>
      <c r="AN46" s="72"/>
      <c r="AQ46" s="72"/>
      <c r="AT46" s="72"/>
      <c r="AW46" s="72"/>
      <c r="AZ46" s="72"/>
    </row>
    <row r="47" spans="1:52">
      <c r="A47" s="131"/>
      <c r="B47" s="72"/>
      <c r="D47" s="72"/>
      <c r="G47" s="72"/>
      <c r="J47" s="72"/>
      <c r="M47" s="72"/>
      <c r="P47" s="72"/>
      <c r="S47" s="72"/>
      <c r="V47" s="72"/>
      <c r="Y47" s="72"/>
      <c r="AB47" s="72"/>
      <c r="AE47" s="72"/>
      <c r="AH47" s="72"/>
      <c r="AK47" s="72"/>
      <c r="AN47" s="72"/>
      <c r="AQ47" s="72"/>
      <c r="AT47" s="72"/>
      <c r="AW47" s="72"/>
      <c r="AZ47" s="72"/>
    </row>
    <row r="48" spans="1:52">
      <c r="A48" s="131"/>
      <c r="B48" s="72"/>
      <c r="D48" s="72"/>
      <c r="G48" s="72"/>
      <c r="J48" s="72"/>
      <c r="M48" s="72"/>
      <c r="P48" s="72"/>
      <c r="S48" s="72"/>
      <c r="V48" s="72"/>
      <c r="Y48" s="72"/>
      <c r="AB48" s="72"/>
      <c r="AE48" s="72"/>
      <c r="AH48" s="72"/>
      <c r="AK48" s="72"/>
      <c r="AN48" s="72"/>
      <c r="AQ48" s="72"/>
      <c r="AT48" s="72"/>
      <c r="AW48" s="72"/>
      <c r="AZ48" s="72"/>
    </row>
    <row r="49" spans="1:52">
      <c r="A49" s="131"/>
      <c r="B49" s="72"/>
      <c r="D49" s="72"/>
      <c r="G49" s="72"/>
      <c r="J49" s="72"/>
      <c r="M49" s="72"/>
      <c r="P49" s="72"/>
      <c r="S49" s="72"/>
      <c r="V49" s="72"/>
      <c r="Y49" s="72"/>
      <c r="AB49" s="72"/>
      <c r="AE49" s="72"/>
      <c r="AH49" s="72"/>
      <c r="AK49" s="72"/>
      <c r="AN49" s="72"/>
      <c r="AQ49" s="72"/>
      <c r="AT49" s="72"/>
      <c r="AW49" s="72"/>
      <c r="AZ49" s="72"/>
    </row>
    <row r="50" spans="1:52">
      <c r="A50" s="131"/>
      <c r="B50" s="72"/>
      <c r="D50" s="72"/>
      <c r="G50" s="72"/>
      <c r="J50" s="72"/>
      <c r="M50" s="72"/>
      <c r="P50" s="72"/>
      <c r="S50" s="72"/>
      <c r="V50" s="72"/>
      <c r="Y50" s="72"/>
      <c r="AB50" s="72"/>
      <c r="AE50" s="72"/>
      <c r="AH50" s="72"/>
      <c r="AK50" s="72"/>
      <c r="AN50" s="72"/>
      <c r="AQ50" s="72"/>
      <c r="AT50" s="72"/>
      <c r="AW50" s="72"/>
      <c r="AZ50" s="72"/>
    </row>
    <row r="51" spans="1:52">
      <c r="A51" s="131"/>
      <c r="B51" s="72"/>
      <c r="D51" s="72"/>
      <c r="G51" s="72"/>
      <c r="J51" s="72"/>
      <c r="M51" s="72"/>
      <c r="P51" s="72"/>
      <c r="S51" s="72"/>
      <c r="V51" s="72"/>
      <c r="Y51" s="72"/>
      <c r="AB51" s="72"/>
      <c r="AE51" s="72"/>
      <c r="AH51" s="72"/>
      <c r="AK51" s="72"/>
      <c r="AN51" s="72"/>
      <c r="AQ51" s="72"/>
      <c r="AT51" s="72"/>
      <c r="AW51" s="72"/>
      <c r="AZ51" s="72"/>
    </row>
    <row r="52" spans="1:52">
      <c r="A52" s="131"/>
      <c r="B52" s="72"/>
      <c r="D52" s="72"/>
      <c r="G52" s="72"/>
      <c r="J52" s="72"/>
      <c r="M52" s="72"/>
      <c r="P52" s="72"/>
      <c r="S52" s="72"/>
      <c r="V52" s="72"/>
      <c r="Y52" s="72"/>
      <c r="AB52" s="72"/>
      <c r="AE52" s="72"/>
      <c r="AH52" s="72"/>
      <c r="AK52" s="72"/>
      <c r="AN52" s="72"/>
      <c r="AQ52" s="72"/>
      <c r="AT52" s="72"/>
      <c r="AW52" s="72"/>
      <c r="AZ52" s="72"/>
    </row>
    <row r="53" spans="1:52">
      <c r="A53" s="131"/>
      <c r="B53" s="72"/>
      <c r="D53" s="72"/>
      <c r="G53" s="72"/>
      <c r="J53" s="72"/>
      <c r="M53" s="72"/>
      <c r="P53" s="72"/>
      <c r="S53" s="72"/>
      <c r="V53" s="72"/>
      <c r="Y53" s="72"/>
      <c r="AB53" s="72"/>
      <c r="AE53" s="72"/>
      <c r="AH53" s="72"/>
      <c r="AK53" s="72"/>
      <c r="AN53" s="72"/>
      <c r="AQ53" s="72"/>
      <c r="AT53" s="72"/>
      <c r="AW53" s="72"/>
      <c r="AZ53" s="72"/>
    </row>
    <row r="54" spans="1:52">
      <c r="A54" s="131"/>
      <c r="B54" s="72"/>
      <c r="D54" s="72"/>
      <c r="G54" s="72"/>
      <c r="J54" s="72"/>
      <c r="M54" s="72"/>
      <c r="P54" s="72"/>
      <c r="S54" s="72"/>
      <c r="V54" s="72"/>
      <c r="Y54" s="72"/>
      <c r="AB54" s="72"/>
      <c r="AE54" s="72"/>
      <c r="AH54" s="72"/>
      <c r="AK54" s="72"/>
      <c r="AN54" s="72"/>
      <c r="AQ54" s="72"/>
      <c r="AT54" s="72"/>
      <c r="AW54" s="72"/>
      <c r="AZ54" s="72"/>
    </row>
    <row r="55" spans="1:52">
      <c r="A55" s="131"/>
      <c r="B55" s="72"/>
      <c r="D55" s="72"/>
      <c r="G55" s="72"/>
      <c r="J55" s="72"/>
      <c r="M55" s="72"/>
      <c r="P55" s="72"/>
      <c r="S55" s="72"/>
      <c r="V55" s="72"/>
      <c r="Y55" s="72"/>
      <c r="AB55" s="72"/>
      <c r="AE55" s="72"/>
      <c r="AH55" s="72"/>
      <c r="AK55" s="72"/>
      <c r="AN55" s="72"/>
      <c r="AQ55" s="72"/>
      <c r="AT55" s="72"/>
      <c r="AW55" s="72"/>
      <c r="AZ55" s="72"/>
    </row>
    <row r="56" spans="1:52">
      <c r="A56" s="131"/>
      <c r="B56" s="72"/>
      <c r="D56" s="72"/>
      <c r="G56" s="72"/>
      <c r="J56" s="72"/>
      <c r="M56" s="72"/>
      <c r="P56" s="72"/>
      <c r="S56" s="72"/>
      <c r="V56" s="72"/>
      <c r="Y56" s="72"/>
      <c r="AB56" s="72"/>
      <c r="AE56" s="72"/>
      <c r="AH56" s="72"/>
      <c r="AK56" s="72"/>
      <c r="AN56" s="72"/>
      <c r="AQ56" s="72"/>
      <c r="AT56" s="72"/>
      <c r="AW56" s="72"/>
      <c r="AZ56" s="72"/>
    </row>
    <row r="57" spans="1:52">
      <c r="A57" s="131"/>
      <c r="B57" s="72"/>
      <c r="D57" s="72"/>
      <c r="G57" s="72"/>
      <c r="J57" s="72"/>
      <c r="M57" s="72"/>
      <c r="P57" s="72"/>
      <c r="S57" s="72"/>
      <c r="V57" s="72"/>
      <c r="Y57" s="72"/>
      <c r="AB57" s="72"/>
      <c r="AE57" s="72"/>
      <c r="AH57" s="72"/>
      <c r="AK57" s="72"/>
      <c r="AN57" s="72"/>
      <c r="AQ57" s="72"/>
      <c r="AT57" s="72"/>
      <c r="AW57" s="72"/>
      <c r="AZ57" s="72"/>
    </row>
    <row r="58" spans="1:52">
      <c r="A58" s="131"/>
      <c r="B58" s="72"/>
      <c r="D58" s="72"/>
      <c r="G58" s="72"/>
      <c r="J58" s="72"/>
      <c r="M58" s="72"/>
      <c r="P58" s="72"/>
      <c r="S58" s="72"/>
      <c r="V58" s="72"/>
      <c r="Y58" s="72"/>
      <c r="AB58" s="72"/>
      <c r="AE58" s="72"/>
      <c r="AH58" s="72"/>
      <c r="AK58" s="72"/>
      <c r="AN58" s="72"/>
      <c r="AQ58" s="72"/>
      <c r="AT58" s="72"/>
      <c r="AW58" s="72"/>
      <c r="AZ58" s="72"/>
    </row>
    <row r="59" spans="1:52">
      <c r="A59" s="131"/>
      <c r="B59" s="72"/>
      <c r="D59" s="72"/>
      <c r="G59" s="72"/>
      <c r="J59" s="72"/>
      <c r="M59" s="72"/>
      <c r="P59" s="72"/>
      <c r="S59" s="72"/>
      <c r="V59" s="72"/>
      <c r="Y59" s="72"/>
      <c r="AB59" s="72"/>
      <c r="AE59" s="72"/>
      <c r="AH59" s="72"/>
      <c r="AK59" s="72"/>
      <c r="AN59" s="72"/>
      <c r="AQ59" s="72"/>
      <c r="AT59" s="72"/>
      <c r="AW59" s="72"/>
      <c r="AZ59" s="72"/>
    </row>
    <row r="60" spans="1:52">
      <c r="A60" s="131"/>
      <c r="B60" s="72"/>
      <c r="D60" s="72"/>
      <c r="G60" s="72"/>
      <c r="J60" s="72"/>
      <c r="M60" s="72"/>
      <c r="P60" s="72"/>
      <c r="S60" s="72"/>
      <c r="V60" s="72"/>
      <c r="Y60" s="72"/>
      <c r="AB60" s="72"/>
      <c r="AE60" s="72"/>
      <c r="AH60" s="72"/>
      <c r="AK60" s="72"/>
      <c r="AN60" s="72"/>
      <c r="AQ60" s="72"/>
      <c r="AT60" s="72"/>
      <c r="AW60" s="72"/>
      <c r="AZ60" s="72"/>
    </row>
    <row r="61" spans="1:52">
      <c r="A61" s="131"/>
      <c r="B61" s="72"/>
      <c r="D61" s="72"/>
      <c r="G61" s="72"/>
      <c r="J61" s="72"/>
      <c r="M61" s="72"/>
      <c r="P61" s="72"/>
      <c r="S61" s="72"/>
      <c r="V61" s="72"/>
      <c r="Y61" s="72"/>
      <c r="AB61" s="72"/>
      <c r="AE61" s="72"/>
      <c r="AH61" s="72"/>
      <c r="AK61" s="72"/>
      <c r="AN61" s="72"/>
      <c r="AQ61" s="72"/>
      <c r="AT61" s="72"/>
      <c r="AW61" s="72"/>
      <c r="AZ61" s="72"/>
    </row>
    <row r="62" spans="1:52">
      <c r="A62" s="131"/>
      <c r="B62" s="72"/>
      <c r="D62" s="72"/>
      <c r="G62" s="72"/>
      <c r="J62" s="72"/>
      <c r="M62" s="72"/>
      <c r="P62" s="72"/>
      <c r="S62" s="72"/>
      <c r="V62" s="72"/>
      <c r="Y62" s="72"/>
      <c r="AB62" s="72"/>
      <c r="AE62" s="72"/>
      <c r="AH62" s="72"/>
      <c r="AK62" s="72"/>
      <c r="AN62" s="72"/>
      <c r="AQ62" s="72"/>
      <c r="AT62" s="72"/>
      <c r="AW62" s="72"/>
      <c r="AZ62" s="72"/>
    </row>
    <row r="63" spans="1:52">
      <c r="A63" s="131"/>
      <c r="B63" s="72"/>
      <c r="D63" s="72"/>
      <c r="G63" s="72"/>
      <c r="J63" s="72"/>
      <c r="M63" s="72"/>
      <c r="P63" s="72"/>
      <c r="S63" s="72"/>
      <c r="V63" s="72"/>
      <c r="Y63" s="72"/>
      <c r="AB63" s="72"/>
      <c r="AE63" s="72"/>
      <c r="AH63" s="72"/>
      <c r="AK63" s="72"/>
      <c r="AN63" s="72"/>
      <c r="AQ63" s="72"/>
      <c r="AT63" s="72"/>
      <c r="AW63" s="72"/>
      <c r="AZ63" s="72"/>
    </row>
    <row r="64" spans="1:52">
      <c r="A64" s="131"/>
      <c r="B64" s="72"/>
      <c r="D64" s="72"/>
      <c r="G64" s="72"/>
      <c r="J64" s="72"/>
      <c r="M64" s="72"/>
      <c r="P64" s="72"/>
      <c r="S64" s="72"/>
      <c r="V64" s="72"/>
      <c r="Y64" s="72"/>
      <c r="AB64" s="72"/>
      <c r="AE64" s="72"/>
      <c r="AH64" s="72"/>
      <c r="AK64" s="72"/>
      <c r="AN64" s="72"/>
      <c r="AQ64" s="72"/>
      <c r="AT64" s="72"/>
      <c r="AW64" s="72"/>
      <c r="AZ64" s="72"/>
    </row>
    <row r="65" spans="1:52">
      <c r="A65" s="131"/>
      <c r="B65" s="72"/>
      <c r="D65" s="72"/>
      <c r="G65" s="72"/>
      <c r="J65" s="72"/>
      <c r="M65" s="72"/>
      <c r="P65" s="72"/>
      <c r="S65" s="72"/>
      <c r="V65" s="72"/>
      <c r="Y65" s="72"/>
      <c r="AB65" s="72"/>
      <c r="AE65" s="72"/>
      <c r="AH65" s="72"/>
      <c r="AK65" s="72"/>
      <c r="AN65" s="72"/>
      <c r="AQ65" s="72"/>
      <c r="AT65" s="72"/>
      <c r="AW65" s="72"/>
      <c r="AZ65" s="72"/>
    </row>
    <row r="66" spans="1:52">
      <c r="A66" s="131"/>
      <c r="B66" s="72"/>
      <c r="D66" s="72"/>
      <c r="G66" s="72"/>
      <c r="J66" s="72"/>
      <c r="M66" s="72"/>
      <c r="P66" s="72"/>
      <c r="S66" s="72"/>
      <c r="V66" s="72"/>
      <c r="Y66" s="72"/>
      <c r="AB66" s="72"/>
      <c r="AE66" s="72"/>
      <c r="AH66" s="72"/>
      <c r="AK66" s="72"/>
      <c r="AN66" s="72"/>
      <c r="AQ66" s="72"/>
      <c r="AT66" s="72"/>
      <c r="AW66" s="72"/>
      <c r="AZ66" s="72"/>
    </row>
    <row r="67" spans="1:52">
      <c r="A67" s="131"/>
      <c r="B67" s="72"/>
      <c r="D67" s="72"/>
      <c r="G67" s="72"/>
      <c r="J67" s="72"/>
      <c r="M67" s="72"/>
      <c r="P67" s="72"/>
      <c r="S67" s="72"/>
      <c r="V67" s="72"/>
      <c r="Y67" s="72"/>
      <c r="AB67" s="72"/>
      <c r="AE67" s="72"/>
      <c r="AH67" s="72"/>
      <c r="AK67" s="72"/>
      <c r="AN67" s="72"/>
      <c r="AQ67" s="72"/>
      <c r="AT67" s="72"/>
      <c r="AW67" s="72"/>
      <c r="AZ67" s="72"/>
    </row>
    <row r="68" spans="1:52">
      <c r="A68" s="131"/>
      <c r="B68" s="72"/>
      <c r="D68" s="72"/>
      <c r="G68" s="72"/>
      <c r="J68" s="72"/>
      <c r="M68" s="72"/>
      <c r="P68" s="72"/>
      <c r="S68" s="72"/>
      <c r="V68" s="72"/>
      <c r="Y68" s="72"/>
      <c r="AB68" s="72"/>
      <c r="AE68" s="72"/>
      <c r="AH68" s="72"/>
      <c r="AK68" s="72"/>
      <c r="AN68" s="72"/>
      <c r="AQ68" s="72"/>
      <c r="AT68" s="72"/>
      <c r="AW68" s="72"/>
      <c r="AZ68" s="72"/>
    </row>
    <row r="69" spans="1:52">
      <c r="A69" s="131"/>
      <c r="B69" s="72"/>
      <c r="D69" s="72"/>
      <c r="G69" s="72"/>
      <c r="J69" s="72"/>
      <c r="M69" s="72"/>
      <c r="P69" s="72"/>
      <c r="S69" s="72"/>
      <c r="V69" s="72"/>
      <c r="Y69" s="72"/>
      <c r="AB69" s="72"/>
      <c r="AE69" s="72"/>
      <c r="AH69" s="72"/>
      <c r="AK69" s="72"/>
      <c r="AN69" s="72"/>
      <c r="AQ69" s="72"/>
      <c r="AT69" s="72"/>
      <c r="AW69" s="72"/>
      <c r="AZ69" s="72"/>
    </row>
    <row r="70" spans="1:52">
      <c r="A70" s="131"/>
      <c r="B70" s="72"/>
      <c r="D70" s="72"/>
      <c r="G70" s="72"/>
      <c r="J70" s="72"/>
      <c r="M70" s="72"/>
      <c r="P70" s="72"/>
      <c r="S70" s="72"/>
      <c r="V70" s="72"/>
      <c r="Y70" s="72"/>
      <c r="AB70" s="72"/>
      <c r="AE70" s="72"/>
      <c r="AH70" s="72"/>
      <c r="AK70" s="72"/>
      <c r="AN70" s="72"/>
      <c r="AQ70" s="72"/>
      <c r="AT70" s="72"/>
      <c r="AW70" s="72"/>
      <c r="AZ70" s="72"/>
    </row>
    <row r="71" spans="1:52">
      <c r="A71" s="131"/>
      <c r="B71" s="72"/>
      <c r="D71" s="72"/>
      <c r="G71" s="72"/>
      <c r="J71" s="72"/>
      <c r="M71" s="72"/>
      <c r="P71" s="72"/>
      <c r="S71" s="72"/>
      <c r="V71" s="72"/>
      <c r="Y71" s="72"/>
      <c r="AB71" s="72"/>
      <c r="AE71" s="72"/>
      <c r="AH71" s="72"/>
      <c r="AK71" s="72"/>
      <c r="AN71" s="72"/>
      <c r="AQ71" s="72"/>
      <c r="AT71" s="72"/>
      <c r="AW71" s="72"/>
      <c r="AZ71" s="72"/>
    </row>
    <row r="72" spans="1:52">
      <c r="A72" s="131"/>
      <c r="B72" s="72"/>
      <c r="D72" s="72"/>
      <c r="G72" s="72"/>
      <c r="J72" s="72"/>
      <c r="M72" s="72"/>
      <c r="P72" s="72"/>
      <c r="S72" s="72"/>
      <c r="V72" s="72"/>
      <c r="Y72" s="72"/>
      <c r="AB72" s="72"/>
      <c r="AE72" s="72"/>
      <c r="AH72" s="72"/>
      <c r="AK72" s="72"/>
      <c r="AN72" s="72"/>
      <c r="AQ72" s="72"/>
      <c r="AT72" s="72"/>
      <c r="AW72" s="72"/>
      <c r="AZ72" s="72"/>
    </row>
    <row r="73" spans="1:52">
      <c r="A73" s="131"/>
      <c r="B73" s="72"/>
      <c r="D73" s="72"/>
      <c r="G73" s="72"/>
      <c r="J73" s="72"/>
      <c r="M73" s="72"/>
      <c r="P73" s="72"/>
      <c r="S73" s="72"/>
      <c r="V73" s="72"/>
      <c r="Y73" s="72"/>
      <c r="AB73" s="72"/>
      <c r="AE73" s="72"/>
      <c r="AH73" s="72"/>
      <c r="AK73" s="72"/>
      <c r="AN73" s="72"/>
      <c r="AQ73" s="72"/>
      <c r="AT73" s="72"/>
      <c r="AW73" s="72"/>
      <c r="AZ73" s="72"/>
    </row>
    <row r="74" spans="1:52">
      <c r="A74" s="131"/>
      <c r="B74" s="72"/>
      <c r="D74" s="72"/>
      <c r="G74" s="72"/>
      <c r="J74" s="72"/>
      <c r="M74" s="72"/>
      <c r="P74" s="72"/>
      <c r="S74" s="72"/>
      <c r="V74" s="72"/>
      <c r="Y74" s="72"/>
      <c r="AB74" s="72"/>
      <c r="AE74" s="72"/>
      <c r="AH74" s="72"/>
      <c r="AK74" s="72"/>
      <c r="AN74" s="72"/>
      <c r="AQ74" s="72"/>
      <c r="AT74" s="72"/>
      <c r="AW74" s="72"/>
      <c r="AZ74" s="72"/>
    </row>
    <row r="75" spans="1:52">
      <c r="A75" s="131"/>
      <c r="B75" s="72"/>
      <c r="D75" s="72"/>
      <c r="G75" s="72"/>
      <c r="J75" s="72"/>
      <c r="M75" s="72"/>
      <c r="P75" s="72"/>
      <c r="S75" s="72"/>
      <c r="V75" s="72"/>
      <c r="Y75" s="72"/>
      <c r="AB75" s="72"/>
      <c r="AE75" s="72"/>
      <c r="AH75" s="72"/>
      <c r="AK75" s="72"/>
      <c r="AN75" s="72"/>
      <c r="AQ75" s="72"/>
      <c r="AT75" s="72"/>
      <c r="AW75" s="72"/>
      <c r="AZ75" s="72"/>
    </row>
    <row r="76" spans="1:52">
      <c r="A76" s="131"/>
      <c r="B76" s="72"/>
      <c r="D76" s="72"/>
      <c r="G76" s="72"/>
      <c r="J76" s="72"/>
      <c r="M76" s="72"/>
      <c r="P76" s="72"/>
      <c r="S76" s="72"/>
      <c r="V76" s="72"/>
      <c r="Y76" s="72"/>
      <c r="AB76" s="72"/>
      <c r="AE76" s="72"/>
      <c r="AH76" s="72"/>
      <c r="AK76" s="72"/>
      <c r="AN76" s="72"/>
      <c r="AQ76" s="72"/>
      <c r="AT76" s="72"/>
      <c r="AW76" s="72"/>
      <c r="AZ76" s="72"/>
    </row>
    <row r="77" spans="1:52">
      <c r="A77" s="131"/>
      <c r="B77" s="72"/>
      <c r="D77" s="72"/>
      <c r="G77" s="72"/>
      <c r="J77" s="72"/>
      <c r="M77" s="72"/>
      <c r="P77" s="72"/>
      <c r="S77" s="72"/>
      <c r="V77" s="72"/>
      <c r="Y77" s="72"/>
      <c r="AB77" s="72"/>
      <c r="AE77" s="72"/>
      <c r="AH77" s="72"/>
      <c r="AK77" s="72"/>
      <c r="AN77" s="72"/>
      <c r="AQ77" s="72"/>
      <c r="AT77" s="72"/>
      <c r="AW77" s="72"/>
      <c r="AZ77" s="72"/>
    </row>
    <row r="78" spans="1:52">
      <c r="A78" s="131"/>
      <c r="B78" s="72"/>
      <c r="D78" s="72"/>
      <c r="G78" s="72"/>
      <c r="J78" s="72"/>
      <c r="M78" s="72"/>
      <c r="P78" s="72"/>
      <c r="S78" s="72"/>
      <c r="V78" s="72"/>
      <c r="Y78" s="72"/>
      <c r="AB78" s="72"/>
      <c r="AE78" s="72"/>
      <c r="AH78" s="72"/>
      <c r="AK78" s="72"/>
      <c r="AN78" s="72"/>
      <c r="AQ78" s="72"/>
      <c r="AT78" s="72"/>
      <c r="AW78" s="72"/>
      <c r="AZ78" s="72"/>
    </row>
    <row r="79" spans="1:52">
      <c r="A79" s="131"/>
      <c r="B79" s="72"/>
      <c r="D79" s="72"/>
      <c r="G79" s="72"/>
      <c r="J79" s="72"/>
      <c r="M79" s="72"/>
      <c r="P79" s="72"/>
      <c r="S79" s="72"/>
      <c r="V79" s="72"/>
      <c r="Y79" s="72"/>
      <c r="AB79" s="72"/>
      <c r="AE79" s="72"/>
      <c r="AH79" s="72"/>
      <c r="AK79" s="72"/>
      <c r="AN79" s="72"/>
      <c r="AQ79" s="72"/>
      <c r="AT79" s="72"/>
      <c r="AW79" s="72"/>
      <c r="AZ79" s="72"/>
    </row>
    <row r="80" spans="1:52">
      <c r="A80" s="131"/>
      <c r="B80" s="72"/>
      <c r="D80" s="72"/>
      <c r="G80" s="72"/>
      <c r="J80" s="72"/>
      <c r="M80" s="72"/>
      <c r="P80" s="72"/>
      <c r="S80" s="72"/>
      <c r="V80" s="72"/>
      <c r="Y80" s="72"/>
      <c r="AB80" s="72"/>
      <c r="AE80" s="72"/>
      <c r="AH80" s="72"/>
      <c r="AK80" s="72"/>
      <c r="AN80" s="72"/>
      <c r="AQ80" s="72"/>
      <c r="AT80" s="72"/>
      <c r="AW80" s="72"/>
      <c r="AZ80" s="72"/>
    </row>
    <row r="81" spans="1:52">
      <c r="A81" s="131"/>
      <c r="B81" s="72"/>
      <c r="D81" s="72"/>
      <c r="G81" s="72"/>
      <c r="J81" s="72"/>
      <c r="M81" s="72"/>
      <c r="P81" s="72"/>
      <c r="S81" s="72"/>
      <c r="V81" s="72"/>
      <c r="Y81" s="72"/>
      <c r="AB81" s="72"/>
      <c r="AE81" s="72"/>
      <c r="AH81" s="72"/>
      <c r="AK81" s="72"/>
      <c r="AN81" s="72"/>
      <c r="AQ81" s="72"/>
      <c r="AT81" s="72"/>
      <c r="AW81" s="72"/>
      <c r="AZ81" s="72"/>
    </row>
    <row r="82" spans="1:52">
      <c r="A82" s="131"/>
      <c r="B82" s="72"/>
      <c r="D82" s="72"/>
      <c r="G82" s="72"/>
      <c r="J82" s="72"/>
      <c r="M82" s="72"/>
      <c r="P82" s="72"/>
      <c r="S82" s="72"/>
      <c r="V82" s="72"/>
      <c r="Y82" s="72"/>
      <c r="AB82" s="72"/>
      <c r="AE82" s="72"/>
      <c r="AH82" s="72"/>
      <c r="AK82" s="72"/>
      <c r="AN82" s="72"/>
      <c r="AQ82" s="72"/>
      <c r="AT82" s="72"/>
      <c r="AW82" s="72"/>
      <c r="AZ82" s="72"/>
    </row>
    <row r="83" spans="1:52">
      <c r="A83" s="131"/>
      <c r="B83" s="72"/>
      <c r="D83" s="72"/>
      <c r="G83" s="72"/>
      <c r="J83" s="72"/>
      <c r="M83" s="72"/>
      <c r="P83" s="72"/>
      <c r="S83" s="72"/>
      <c r="V83" s="72"/>
      <c r="Y83" s="72"/>
      <c r="AB83" s="72"/>
      <c r="AE83" s="72"/>
      <c r="AH83" s="72"/>
      <c r="AK83" s="72"/>
      <c r="AN83" s="72"/>
      <c r="AQ83" s="72"/>
      <c r="AT83" s="72"/>
      <c r="AW83" s="72"/>
      <c r="AZ83" s="72"/>
    </row>
    <row r="84" spans="1:52">
      <c r="A84" s="131"/>
      <c r="B84" s="72"/>
      <c r="D84" s="72"/>
      <c r="G84" s="72"/>
      <c r="J84" s="72"/>
      <c r="M84" s="72"/>
      <c r="P84" s="72"/>
      <c r="S84" s="72"/>
      <c r="V84" s="72"/>
      <c r="Y84" s="72"/>
      <c r="AB84" s="72"/>
      <c r="AE84" s="72"/>
      <c r="AH84" s="72"/>
      <c r="AK84" s="72"/>
      <c r="AN84" s="72"/>
      <c r="AQ84" s="72"/>
      <c r="AT84" s="72"/>
      <c r="AW84" s="72"/>
      <c r="AZ84" s="72"/>
    </row>
    <row r="85" spans="1:52">
      <c r="A85" s="131"/>
      <c r="B85" s="72"/>
      <c r="D85" s="72"/>
      <c r="G85" s="72"/>
      <c r="J85" s="72"/>
      <c r="M85" s="72"/>
      <c r="P85" s="72"/>
      <c r="S85" s="72"/>
      <c r="V85" s="72"/>
      <c r="Y85" s="72"/>
      <c r="AB85" s="72"/>
      <c r="AE85" s="72"/>
      <c r="AH85" s="72"/>
      <c r="AK85" s="72"/>
      <c r="AN85" s="72"/>
      <c r="AQ85" s="72"/>
      <c r="AT85" s="72"/>
      <c r="AW85" s="72"/>
      <c r="AZ85" s="72"/>
    </row>
    <row r="86" spans="1:52">
      <c r="A86" s="131"/>
      <c r="B86" s="72"/>
      <c r="D86" s="72"/>
      <c r="G86" s="72"/>
      <c r="J86" s="72"/>
      <c r="M86" s="72"/>
      <c r="P86" s="72"/>
      <c r="S86" s="72"/>
      <c r="V86" s="72"/>
      <c r="Y86" s="72"/>
      <c r="AB86" s="72"/>
      <c r="AE86" s="72"/>
      <c r="AH86" s="72"/>
      <c r="AK86" s="72"/>
      <c r="AN86" s="72"/>
      <c r="AQ86" s="72"/>
      <c r="AT86" s="72"/>
      <c r="AW86" s="72"/>
      <c r="AZ86" s="72"/>
    </row>
    <row r="87" spans="1:52">
      <c r="A87" s="131"/>
      <c r="B87" s="72"/>
      <c r="D87" s="72"/>
      <c r="G87" s="72"/>
      <c r="J87" s="72"/>
      <c r="M87" s="72"/>
      <c r="P87" s="72"/>
      <c r="S87" s="72"/>
      <c r="V87" s="72"/>
      <c r="Y87" s="72"/>
      <c r="AB87" s="72"/>
      <c r="AE87" s="72"/>
      <c r="AH87" s="72"/>
      <c r="AK87" s="72"/>
      <c r="AN87" s="72"/>
      <c r="AQ87" s="72"/>
      <c r="AT87" s="72"/>
      <c r="AW87" s="72"/>
      <c r="AZ87" s="72"/>
    </row>
    <row r="88" spans="1:52">
      <c r="A88" s="131"/>
      <c r="B88" s="72"/>
      <c r="D88" s="72"/>
      <c r="G88" s="72"/>
      <c r="J88" s="72"/>
      <c r="M88" s="72"/>
      <c r="P88" s="72"/>
      <c r="S88" s="72"/>
      <c r="V88" s="72"/>
      <c r="Y88" s="72"/>
      <c r="AB88" s="72"/>
      <c r="AE88" s="72"/>
      <c r="AH88" s="72"/>
      <c r="AK88" s="72"/>
      <c r="AN88" s="72"/>
      <c r="AQ88" s="72"/>
      <c r="AT88" s="72"/>
      <c r="AW88" s="72"/>
      <c r="AZ88" s="72"/>
    </row>
    <row r="89" spans="1:52">
      <c r="A89" s="131"/>
      <c r="B89" s="72"/>
      <c r="D89" s="72"/>
      <c r="G89" s="72"/>
      <c r="J89" s="72"/>
      <c r="M89" s="72"/>
      <c r="P89" s="72"/>
      <c r="S89" s="72"/>
      <c r="V89" s="72"/>
      <c r="Y89" s="72"/>
      <c r="AB89" s="72"/>
      <c r="AE89" s="72"/>
      <c r="AH89" s="72"/>
      <c r="AK89" s="72"/>
      <c r="AN89" s="72"/>
      <c r="AQ89" s="72"/>
      <c r="AT89" s="72"/>
      <c r="AW89" s="72"/>
      <c r="AZ89" s="72"/>
    </row>
    <row r="90" spans="1:52">
      <c r="A90" s="131"/>
      <c r="B90" s="72"/>
      <c r="D90" s="72"/>
      <c r="G90" s="72"/>
      <c r="J90" s="72"/>
      <c r="M90" s="72"/>
      <c r="P90" s="72"/>
      <c r="S90" s="72"/>
      <c r="V90" s="72"/>
      <c r="Y90" s="72"/>
      <c r="AB90" s="72"/>
      <c r="AE90" s="72"/>
      <c r="AH90" s="72"/>
      <c r="AK90" s="72"/>
      <c r="AN90" s="72"/>
      <c r="AQ90" s="72"/>
      <c r="AT90" s="72"/>
      <c r="AW90" s="72"/>
      <c r="AZ90" s="72"/>
    </row>
    <row r="91" spans="1:52">
      <c r="A91" s="131"/>
      <c r="B91" s="72"/>
      <c r="D91" s="72"/>
      <c r="G91" s="72"/>
      <c r="J91" s="72"/>
      <c r="M91" s="72"/>
      <c r="P91" s="72"/>
      <c r="S91" s="72"/>
      <c r="V91" s="72"/>
      <c r="Y91" s="72"/>
      <c r="AB91" s="72"/>
      <c r="AE91" s="72"/>
      <c r="AH91" s="72"/>
      <c r="AK91" s="72"/>
      <c r="AN91" s="72"/>
      <c r="AQ91" s="72"/>
      <c r="AT91" s="72"/>
      <c r="AW91" s="72"/>
      <c r="AZ91" s="72"/>
    </row>
    <row r="92" spans="1:52">
      <c r="A92" s="131"/>
      <c r="B92" s="72"/>
      <c r="D92" s="72"/>
      <c r="G92" s="72"/>
      <c r="J92" s="72"/>
      <c r="M92" s="72"/>
      <c r="P92" s="72"/>
      <c r="S92" s="72"/>
      <c r="V92" s="72"/>
      <c r="Y92" s="72"/>
      <c r="AB92" s="72"/>
      <c r="AE92" s="72"/>
      <c r="AH92" s="72"/>
      <c r="AK92" s="72"/>
      <c r="AN92" s="72"/>
      <c r="AQ92" s="72"/>
      <c r="AT92" s="72"/>
      <c r="AW92" s="72"/>
      <c r="AZ92" s="72"/>
    </row>
    <row r="93" spans="1:52">
      <c r="A93" s="131"/>
      <c r="B93" s="72"/>
      <c r="D93" s="72"/>
      <c r="G93" s="72"/>
      <c r="J93" s="72"/>
      <c r="M93" s="72"/>
      <c r="P93" s="72"/>
      <c r="S93" s="72"/>
      <c r="V93" s="72"/>
      <c r="Y93" s="72"/>
      <c r="AB93" s="72"/>
      <c r="AE93" s="72"/>
      <c r="AH93" s="72"/>
      <c r="AK93" s="72"/>
      <c r="AN93" s="72"/>
      <c r="AQ93" s="72"/>
      <c r="AT93" s="72"/>
      <c r="AW93" s="72"/>
      <c r="AZ93" s="72"/>
    </row>
    <row r="94" spans="1:52">
      <c r="A94" s="131"/>
      <c r="B94" s="72"/>
      <c r="D94" s="72"/>
      <c r="G94" s="72"/>
      <c r="J94" s="72"/>
      <c r="M94" s="72"/>
      <c r="P94" s="72"/>
      <c r="S94" s="72"/>
      <c r="V94" s="72"/>
      <c r="Y94" s="72"/>
      <c r="AB94" s="72"/>
      <c r="AE94" s="72"/>
      <c r="AH94" s="72"/>
      <c r="AK94" s="72"/>
      <c r="AN94" s="72"/>
      <c r="AQ94" s="72"/>
      <c r="AT94" s="72"/>
      <c r="AW94" s="72"/>
      <c r="AZ94" s="72"/>
    </row>
    <row r="95" spans="1:52">
      <c r="A95" s="131"/>
      <c r="B95" s="72"/>
      <c r="D95" s="72"/>
      <c r="G95" s="72"/>
      <c r="J95" s="72"/>
      <c r="M95" s="72"/>
      <c r="P95" s="72"/>
      <c r="S95" s="72"/>
      <c r="V95" s="72"/>
      <c r="Y95" s="72"/>
      <c r="AB95" s="72"/>
      <c r="AE95" s="72"/>
      <c r="AH95" s="72"/>
      <c r="AK95" s="72"/>
      <c r="AN95" s="72"/>
      <c r="AQ95" s="72"/>
      <c r="AT95" s="72"/>
      <c r="AW95" s="72"/>
      <c r="AZ95" s="72"/>
    </row>
    <row r="96" spans="1:52">
      <c r="A96" s="131"/>
      <c r="B96" s="72"/>
      <c r="D96" s="72"/>
      <c r="G96" s="72"/>
      <c r="J96" s="72"/>
      <c r="M96" s="72"/>
      <c r="P96" s="72"/>
      <c r="S96" s="72"/>
      <c r="V96" s="72"/>
      <c r="Y96" s="72"/>
      <c r="AB96" s="72"/>
      <c r="AE96" s="72"/>
      <c r="AH96" s="72"/>
      <c r="AK96" s="72"/>
      <c r="AN96" s="72"/>
      <c r="AQ96" s="72"/>
      <c r="AT96" s="72"/>
      <c r="AW96" s="72"/>
      <c r="AZ96" s="72"/>
    </row>
    <row r="97" spans="1:52">
      <c r="A97" s="131"/>
      <c r="B97" s="72"/>
      <c r="D97" s="72"/>
      <c r="G97" s="72"/>
      <c r="J97" s="72"/>
      <c r="M97" s="72"/>
      <c r="P97" s="72"/>
      <c r="S97" s="72"/>
      <c r="V97" s="72"/>
      <c r="Y97" s="72"/>
      <c r="AB97" s="72"/>
      <c r="AE97" s="72"/>
      <c r="AH97" s="72"/>
      <c r="AK97" s="72"/>
      <c r="AN97" s="72"/>
      <c r="AQ97" s="72"/>
      <c r="AT97" s="72"/>
      <c r="AW97" s="72"/>
      <c r="AZ97" s="72"/>
    </row>
    <row r="98" spans="1:52">
      <c r="A98" s="131"/>
      <c r="B98" s="72"/>
      <c r="D98" s="72"/>
      <c r="G98" s="72"/>
      <c r="J98" s="72"/>
      <c r="M98" s="72"/>
      <c r="P98" s="72"/>
      <c r="S98" s="72"/>
      <c r="V98" s="72"/>
      <c r="Y98" s="72"/>
      <c r="AB98" s="72"/>
      <c r="AE98" s="72"/>
      <c r="AH98" s="72"/>
      <c r="AK98" s="72"/>
      <c r="AN98" s="72"/>
      <c r="AQ98" s="72"/>
      <c r="AT98" s="72"/>
      <c r="AW98" s="72"/>
      <c r="AZ98" s="72"/>
    </row>
    <row r="99" spans="1:52">
      <c r="A99" s="131"/>
      <c r="B99" s="72"/>
      <c r="D99" s="72"/>
      <c r="G99" s="72"/>
      <c r="J99" s="72"/>
      <c r="M99" s="72"/>
      <c r="P99" s="72"/>
      <c r="S99" s="72"/>
      <c r="V99" s="72"/>
      <c r="Y99" s="72"/>
      <c r="AB99" s="72"/>
      <c r="AE99" s="72"/>
      <c r="AH99" s="72"/>
      <c r="AK99" s="72"/>
      <c r="AN99" s="72"/>
      <c r="AQ99" s="72"/>
      <c r="AT99" s="72"/>
      <c r="AW99" s="72"/>
      <c r="AZ99" s="72"/>
    </row>
    <row r="100" spans="1:52">
      <c r="A100" s="131"/>
      <c r="B100" s="72"/>
      <c r="D100" s="72"/>
      <c r="G100" s="72"/>
      <c r="J100" s="72"/>
      <c r="M100" s="72"/>
      <c r="P100" s="72"/>
      <c r="S100" s="72"/>
      <c r="V100" s="72"/>
      <c r="Y100" s="72"/>
      <c r="AB100" s="72"/>
      <c r="AE100" s="72"/>
      <c r="AH100" s="72"/>
      <c r="AK100" s="72"/>
      <c r="AN100" s="72"/>
      <c r="AQ100" s="72"/>
      <c r="AT100" s="72"/>
      <c r="AW100" s="72"/>
      <c r="AZ100" s="72"/>
    </row>
    <row r="101" spans="1:52">
      <c r="A101" s="131"/>
      <c r="B101" s="72"/>
      <c r="D101" s="72"/>
      <c r="G101" s="72"/>
      <c r="J101" s="72"/>
      <c r="M101" s="72"/>
      <c r="P101" s="72"/>
      <c r="S101" s="72"/>
      <c r="V101" s="72"/>
      <c r="Y101" s="72"/>
      <c r="AB101" s="72"/>
      <c r="AE101" s="72"/>
      <c r="AH101" s="72"/>
      <c r="AK101" s="72"/>
      <c r="AN101" s="72"/>
      <c r="AQ101" s="72"/>
      <c r="AT101" s="72"/>
      <c r="AW101" s="72"/>
      <c r="AZ101" s="72"/>
    </row>
    <row r="102" spans="1:52">
      <c r="A102" s="131"/>
      <c r="B102" s="72"/>
      <c r="D102" s="72"/>
      <c r="G102" s="72"/>
      <c r="J102" s="72"/>
      <c r="M102" s="72"/>
      <c r="P102" s="72"/>
      <c r="S102" s="72"/>
      <c r="V102" s="72"/>
      <c r="Y102" s="72"/>
      <c r="AB102" s="72"/>
      <c r="AE102" s="72"/>
      <c r="AH102" s="72"/>
      <c r="AK102" s="72"/>
      <c r="AN102" s="72"/>
      <c r="AQ102" s="72"/>
      <c r="AT102" s="72"/>
      <c r="AW102" s="72"/>
      <c r="AZ102" s="72"/>
    </row>
    <row r="103" spans="1:52">
      <c r="A103" s="131"/>
      <c r="B103" s="72"/>
      <c r="D103" s="72"/>
      <c r="G103" s="72"/>
      <c r="J103" s="72"/>
      <c r="M103" s="72"/>
      <c r="P103" s="72"/>
      <c r="S103" s="72"/>
      <c r="V103" s="72"/>
      <c r="Y103" s="72"/>
      <c r="AB103" s="72"/>
      <c r="AE103" s="72"/>
      <c r="AH103" s="72"/>
      <c r="AK103" s="72"/>
      <c r="AN103" s="72"/>
      <c r="AQ103" s="72"/>
      <c r="AT103" s="72"/>
      <c r="AW103" s="72"/>
      <c r="AZ103" s="72"/>
    </row>
    <row r="104" spans="1:52">
      <c r="A104" s="131"/>
      <c r="B104" s="72"/>
      <c r="D104" s="72"/>
      <c r="G104" s="72"/>
      <c r="J104" s="72"/>
      <c r="M104" s="72"/>
      <c r="P104" s="72"/>
      <c r="S104" s="72"/>
      <c r="V104" s="72"/>
      <c r="Y104" s="72"/>
      <c r="AB104" s="72"/>
      <c r="AE104" s="72"/>
      <c r="AH104" s="72"/>
      <c r="AK104" s="72"/>
      <c r="AN104" s="72"/>
      <c r="AQ104" s="72"/>
      <c r="AT104" s="72"/>
      <c r="AW104" s="72"/>
      <c r="AZ104" s="72"/>
    </row>
    <row r="105" spans="1:52">
      <c r="A105" s="131"/>
      <c r="B105" s="72"/>
      <c r="D105" s="72"/>
      <c r="G105" s="72"/>
      <c r="J105" s="72"/>
      <c r="M105" s="72"/>
      <c r="P105" s="72"/>
      <c r="S105" s="72"/>
      <c r="V105" s="72"/>
      <c r="Y105" s="72"/>
      <c r="AB105" s="72"/>
      <c r="AE105" s="72"/>
      <c r="AH105" s="72"/>
      <c r="AK105" s="72"/>
      <c r="AN105" s="72"/>
      <c r="AQ105" s="72"/>
      <c r="AT105" s="72"/>
      <c r="AW105" s="72"/>
      <c r="AZ105" s="72"/>
    </row>
    <row r="106" spans="1:52">
      <c r="A106" s="131"/>
      <c r="B106" s="72"/>
      <c r="D106" s="72"/>
      <c r="G106" s="72"/>
      <c r="J106" s="72"/>
      <c r="M106" s="72"/>
      <c r="P106" s="72"/>
      <c r="S106" s="72"/>
      <c r="V106" s="72"/>
      <c r="Y106" s="72"/>
      <c r="AB106" s="72"/>
      <c r="AE106" s="72"/>
      <c r="AH106" s="72"/>
      <c r="AK106" s="72"/>
      <c r="AN106" s="72"/>
      <c r="AQ106" s="72"/>
      <c r="AT106" s="72"/>
      <c r="AW106" s="72"/>
      <c r="AZ106" s="72"/>
    </row>
    <row r="107" spans="1:52">
      <c r="A107" s="131"/>
      <c r="B107" s="72"/>
      <c r="D107" s="72"/>
      <c r="G107" s="72"/>
      <c r="J107" s="72"/>
      <c r="M107" s="72"/>
      <c r="P107" s="72"/>
      <c r="S107" s="72"/>
      <c r="V107" s="72"/>
      <c r="Y107" s="72"/>
      <c r="AB107" s="72"/>
      <c r="AE107" s="72"/>
      <c r="AH107" s="72"/>
      <c r="AK107" s="72"/>
      <c r="AN107" s="72"/>
      <c r="AQ107" s="72"/>
      <c r="AT107" s="72"/>
      <c r="AW107" s="72"/>
      <c r="AZ107" s="72"/>
    </row>
    <row r="108" spans="1:52">
      <c r="A108" s="131"/>
      <c r="B108" s="72"/>
      <c r="D108" s="72"/>
      <c r="G108" s="72"/>
      <c r="J108" s="72"/>
      <c r="M108" s="72"/>
      <c r="P108" s="72"/>
      <c r="S108" s="72"/>
      <c r="V108" s="72"/>
      <c r="Y108" s="72"/>
      <c r="AB108" s="72"/>
      <c r="AE108" s="72"/>
      <c r="AH108" s="72"/>
      <c r="AK108" s="72"/>
      <c r="AN108" s="72"/>
      <c r="AQ108" s="72"/>
      <c r="AT108" s="72"/>
      <c r="AW108" s="72"/>
      <c r="AZ108" s="72"/>
    </row>
    <row r="109" spans="1:52">
      <c r="A109" s="131"/>
      <c r="B109" s="72"/>
      <c r="D109" s="72"/>
      <c r="G109" s="72"/>
      <c r="J109" s="72"/>
      <c r="M109" s="72"/>
      <c r="P109" s="72"/>
      <c r="S109" s="72"/>
      <c r="V109" s="72"/>
      <c r="Y109" s="72"/>
      <c r="AB109" s="72"/>
      <c r="AE109" s="72"/>
      <c r="AH109" s="72"/>
      <c r="AK109" s="72"/>
      <c r="AN109" s="72"/>
      <c r="AQ109" s="72"/>
      <c r="AT109" s="72"/>
      <c r="AW109" s="72"/>
      <c r="AZ109" s="72"/>
    </row>
    <row r="110" spans="1:52">
      <c r="A110" s="131"/>
      <c r="B110" s="72"/>
      <c r="D110" s="72"/>
      <c r="G110" s="72"/>
      <c r="J110" s="72"/>
      <c r="M110" s="72"/>
      <c r="P110" s="72"/>
      <c r="S110" s="72"/>
      <c r="V110" s="72"/>
      <c r="Y110" s="72"/>
      <c r="AB110" s="72"/>
      <c r="AE110" s="72"/>
      <c r="AH110" s="72"/>
      <c r="AK110" s="72"/>
      <c r="AN110" s="72"/>
      <c r="AQ110" s="72"/>
      <c r="AT110" s="72"/>
      <c r="AW110" s="72"/>
      <c r="AZ110" s="72"/>
    </row>
    <row r="111" spans="1:52">
      <c r="A111" s="131"/>
      <c r="B111" s="72"/>
      <c r="D111" s="72"/>
      <c r="G111" s="72"/>
      <c r="J111" s="72"/>
      <c r="M111" s="72"/>
      <c r="P111" s="72"/>
      <c r="S111" s="72"/>
      <c r="V111" s="72"/>
      <c r="Y111" s="72"/>
      <c r="AB111" s="72"/>
      <c r="AE111" s="72"/>
      <c r="AH111" s="72"/>
      <c r="AK111" s="72"/>
      <c r="AN111" s="72"/>
      <c r="AQ111" s="72"/>
      <c r="AT111" s="72"/>
      <c r="AW111" s="72"/>
      <c r="AZ111" s="72"/>
    </row>
    <row r="112" spans="1:52">
      <c r="A112" s="131"/>
      <c r="B112" s="72"/>
      <c r="D112" s="72"/>
      <c r="G112" s="72"/>
      <c r="J112" s="72"/>
      <c r="M112" s="72"/>
      <c r="P112" s="72"/>
      <c r="S112" s="72"/>
      <c r="V112" s="72"/>
      <c r="Y112" s="72"/>
      <c r="AB112" s="72"/>
      <c r="AE112" s="72"/>
      <c r="AH112" s="72"/>
      <c r="AK112" s="72"/>
      <c r="AN112" s="72"/>
      <c r="AQ112" s="72"/>
      <c r="AT112" s="72"/>
      <c r="AW112" s="72"/>
      <c r="AZ112" s="72"/>
    </row>
    <row r="113" spans="1:52">
      <c r="A113" s="131"/>
      <c r="B113" s="72"/>
      <c r="D113" s="72"/>
      <c r="G113" s="72"/>
      <c r="J113" s="72"/>
      <c r="M113" s="72"/>
      <c r="P113" s="72"/>
      <c r="S113" s="72"/>
      <c r="V113" s="72"/>
      <c r="Y113" s="72"/>
      <c r="AB113" s="72"/>
      <c r="AE113" s="72"/>
      <c r="AH113" s="72"/>
      <c r="AK113" s="72"/>
      <c r="AN113" s="72"/>
      <c r="AQ113" s="72"/>
      <c r="AT113" s="72"/>
      <c r="AW113" s="72"/>
      <c r="AZ113" s="72"/>
    </row>
    <row r="114" spans="1:52">
      <c r="A114" s="131"/>
      <c r="B114" s="72"/>
      <c r="D114" s="72"/>
      <c r="G114" s="72"/>
      <c r="J114" s="72"/>
      <c r="M114" s="72"/>
      <c r="P114" s="72"/>
      <c r="S114" s="72"/>
      <c r="V114" s="72"/>
      <c r="Y114" s="72"/>
      <c r="AB114" s="72"/>
      <c r="AE114" s="72"/>
      <c r="AH114" s="72"/>
      <c r="AK114" s="72"/>
      <c r="AN114" s="72"/>
      <c r="AQ114" s="72"/>
      <c r="AT114" s="72"/>
      <c r="AW114" s="72"/>
      <c r="AZ114" s="72"/>
    </row>
    <row r="115" spans="1:52">
      <c r="A115" s="131"/>
      <c r="B115" s="72"/>
      <c r="D115" s="72"/>
      <c r="G115" s="72"/>
      <c r="J115" s="72"/>
      <c r="M115" s="72"/>
      <c r="P115" s="72"/>
      <c r="S115" s="72"/>
      <c r="V115" s="72"/>
      <c r="Y115" s="72"/>
      <c r="AB115" s="72"/>
      <c r="AE115" s="72"/>
      <c r="AH115" s="72"/>
      <c r="AK115" s="72"/>
      <c r="AN115" s="72"/>
      <c r="AQ115" s="72"/>
      <c r="AT115" s="72"/>
      <c r="AW115" s="72"/>
      <c r="AZ115" s="72"/>
    </row>
    <row r="116" spans="1:52">
      <c r="A116" s="131"/>
      <c r="B116" s="72"/>
      <c r="D116" s="72"/>
      <c r="G116" s="72"/>
      <c r="J116" s="72"/>
      <c r="M116" s="72"/>
      <c r="P116" s="72"/>
      <c r="S116" s="72"/>
      <c r="V116" s="72"/>
      <c r="Y116" s="72"/>
      <c r="AB116" s="72"/>
      <c r="AE116" s="72"/>
      <c r="AH116" s="72"/>
      <c r="AK116" s="72"/>
      <c r="AN116" s="72"/>
      <c r="AQ116" s="72"/>
      <c r="AT116" s="72"/>
      <c r="AW116" s="72"/>
      <c r="AZ116" s="72"/>
    </row>
    <row r="117" spans="1:52">
      <c r="A117" s="131"/>
      <c r="B117" s="72"/>
      <c r="D117" s="72"/>
      <c r="G117" s="72"/>
      <c r="J117" s="72"/>
      <c r="M117" s="72"/>
      <c r="P117" s="72"/>
      <c r="S117" s="72"/>
      <c r="V117" s="72"/>
      <c r="Y117" s="72"/>
      <c r="AB117" s="72"/>
      <c r="AE117" s="72"/>
      <c r="AH117" s="72"/>
      <c r="AK117" s="72"/>
      <c r="AN117" s="72"/>
      <c r="AQ117" s="72"/>
      <c r="AT117" s="72"/>
      <c r="AW117" s="72"/>
      <c r="AZ117" s="72"/>
    </row>
    <row r="118" spans="1:52">
      <c r="A118" s="131"/>
      <c r="B118" s="72"/>
      <c r="D118" s="72"/>
      <c r="G118" s="72"/>
      <c r="J118" s="72"/>
      <c r="M118" s="72"/>
      <c r="P118" s="72"/>
      <c r="S118" s="72"/>
      <c r="V118" s="72"/>
      <c r="Y118" s="72"/>
      <c r="AB118" s="72"/>
      <c r="AE118" s="72"/>
      <c r="AH118" s="72"/>
      <c r="AK118" s="72"/>
      <c r="AN118" s="72"/>
      <c r="AQ118" s="72"/>
      <c r="AT118" s="72"/>
      <c r="AW118" s="72"/>
      <c r="AZ118" s="72"/>
    </row>
    <row r="119" spans="1:52">
      <c r="A119" s="131"/>
      <c r="B119" s="72"/>
      <c r="D119" s="72"/>
      <c r="G119" s="72"/>
      <c r="J119" s="72"/>
      <c r="M119" s="72"/>
      <c r="P119" s="72"/>
      <c r="S119" s="72"/>
      <c r="V119" s="72"/>
      <c r="Y119" s="72"/>
      <c r="AB119" s="72"/>
      <c r="AE119" s="72"/>
      <c r="AH119" s="72"/>
      <c r="AK119" s="72"/>
      <c r="AN119" s="72"/>
      <c r="AQ119" s="72"/>
      <c r="AT119" s="72"/>
      <c r="AW119" s="72"/>
      <c r="AZ119" s="72"/>
    </row>
    <row r="120" spans="1:52">
      <c r="A120" s="131"/>
      <c r="B120" s="72"/>
      <c r="D120" s="72"/>
      <c r="G120" s="72"/>
      <c r="J120" s="72"/>
      <c r="M120" s="72"/>
      <c r="P120" s="72"/>
      <c r="S120" s="72"/>
      <c r="V120" s="72"/>
      <c r="Y120" s="72"/>
      <c r="AB120" s="72"/>
      <c r="AE120" s="72"/>
      <c r="AH120" s="72"/>
      <c r="AK120" s="72"/>
      <c r="AN120" s="72"/>
      <c r="AQ120" s="72"/>
      <c r="AT120" s="72"/>
      <c r="AW120" s="72"/>
      <c r="AZ120" s="72"/>
    </row>
    <row r="121" spans="1:52">
      <c r="A121" s="131"/>
      <c r="B121" s="72"/>
      <c r="D121" s="72"/>
      <c r="G121" s="72"/>
      <c r="J121" s="72"/>
      <c r="M121" s="72"/>
      <c r="P121" s="72"/>
      <c r="S121" s="72"/>
      <c r="V121" s="72"/>
      <c r="Y121" s="72"/>
      <c r="AB121" s="72"/>
      <c r="AE121" s="72"/>
      <c r="AH121" s="72"/>
      <c r="AK121" s="72"/>
      <c r="AN121" s="72"/>
      <c r="AQ121" s="72"/>
      <c r="AT121" s="72"/>
      <c r="AW121" s="72"/>
      <c r="AZ121" s="72"/>
    </row>
    <row r="122" spans="1:52">
      <c r="A122" s="131"/>
      <c r="B122" s="72"/>
      <c r="D122" s="72"/>
      <c r="G122" s="72"/>
      <c r="J122" s="72"/>
      <c r="M122" s="72"/>
      <c r="P122" s="72"/>
      <c r="S122" s="72"/>
      <c r="V122" s="72"/>
      <c r="Y122" s="72"/>
      <c r="AB122" s="72"/>
      <c r="AE122" s="72"/>
      <c r="AH122" s="72"/>
      <c r="AK122" s="72"/>
      <c r="AN122" s="72"/>
      <c r="AQ122" s="72"/>
      <c r="AT122" s="72"/>
      <c r="AW122" s="72"/>
      <c r="AZ122" s="72"/>
    </row>
    <row r="123" spans="1:52">
      <c r="A123" s="131"/>
      <c r="B123" s="72"/>
      <c r="D123" s="72"/>
      <c r="G123" s="72"/>
      <c r="J123" s="72"/>
      <c r="M123" s="72"/>
      <c r="P123" s="72"/>
      <c r="S123" s="72"/>
      <c r="V123" s="72"/>
      <c r="Y123" s="72"/>
      <c r="AB123" s="72"/>
      <c r="AE123" s="72"/>
      <c r="AH123" s="72"/>
      <c r="AK123" s="72"/>
      <c r="AN123" s="72"/>
      <c r="AQ123" s="72"/>
      <c r="AT123" s="72"/>
      <c r="AW123" s="72"/>
      <c r="AZ123" s="72"/>
    </row>
    <row r="124" spans="1:52">
      <c r="A124" s="131"/>
      <c r="B124" s="72"/>
      <c r="D124" s="72"/>
      <c r="G124" s="72"/>
      <c r="J124" s="72"/>
      <c r="M124" s="72"/>
      <c r="P124" s="72"/>
      <c r="S124" s="72"/>
      <c r="V124" s="72"/>
      <c r="Y124" s="72"/>
      <c r="AB124" s="72"/>
      <c r="AE124" s="72"/>
      <c r="AH124" s="72"/>
      <c r="AK124" s="72"/>
      <c r="AN124" s="72"/>
      <c r="AQ124" s="72"/>
      <c r="AT124" s="72"/>
      <c r="AW124" s="72"/>
      <c r="AZ124" s="72"/>
    </row>
    <row r="125" spans="1:52">
      <c r="A125" s="131"/>
      <c r="B125" s="72"/>
      <c r="D125" s="72"/>
      <c r="G125" s="72"/>
      <c r="J125" s="72"/>
      <c r="M125" s="72"/>
      <c r="P125" s="72"/>
      <c r="S125" s="72"/>
      <c r="V125" s="72"/>
      <c r="Y125" s="72"/>
      <c r="AB125" s="72"/>
      <c r="AE125" s="72"/>
      <c r="AH125" s="72"/>
      <c r="AK125" s="72"/>
      <c r="AN125" s="72"/>
      <c r="AQ125" s="72"/>
      <c r="AT125" s="72"/>
      <c r="AW125" s="72"/>
      <c r="AZ125" s="72"/>
    </row>
    <row r="126" spans="1:52">
      <c r="A126" s="131"/>
      <c r="B126" s="72"/>
      <c r="D126" s="72"/>
      <c r="G126" s="72"/>
      <c r="J126" s="72"/>
      <c r="M126" s="72"/>
      <c r="P126" s="72"/>
      <c r="S126" s="72"/>
      <c r="V126" s="72"/>
      <c r="Y126" s="72"/>
      <c r="AB126" s="72"/>
      <c r="AE126" s="72"/>
      <c r="AH126" s="72"/>
      <c r="AK126" s="72"/>
      <c r="AN126" s="72"/>
      <c r="AQ126" s="72"/>
      <c r="AT126" s="72"/>
      <c r="AW126" s="72"/>
      <c r="AZ126" s="72"/>
    </row>
    <row r="127" spans="1:52">
      <c r="A127" s="131"/>
      <c r="B127" s="72"/>
      <c r="D127" s="72"/>
      <c r="G127" s="72"/>
      <c r="J127" s="72"/>
      <c r="M127" s="72"/>
      <c r="P127" s="72"/>
      <c r="S127" s="72"/>
      <c r="V127" s="72"/>
      <c r="Y127" s="72"/>
      <c r="AB127" s="72"/>
      <c r="AE127" s="72"/>
      <c r="AH127" s="72"/>
      <c r="AK127" s="72"/>
      <c r="AN127" s="72"/>
      <c r="AQ127" s="72"/>
      <c r="AT127" s="72"/>
      <c r="AW127" s="72"/>
      <c r="AZ127" s="72"/>
    </row>
    <row r="128" spans="1:52">
      <c r="A128" s="131"/>
      <c r="B128" s="72"/>
      <c r="D128" s="72"/>
      <c r="G128" s="72"/>
      <c r="J128" s="72"/>
      <c r="M128" s="72"/>
      <c r="P128" s="72"/>
      <c r="S128" s="72"/>
      <c r="V128" s="72"/>
      <c r="Y128" s="72"/>
      <c r="AB128" s="72"/>
      <c r="AE128" s="72"/>
      <c r="AH128" s="72"/>
      <c r="AK128" s="72"/>
      <c r="AN128" s="72"/>
      <c r="AQ128" s="72"/>
      <c r="AT128" s="72"/>
      <c r="AW128" s="72"/>
      <c r="AZ128" s="72"/>
    </row>
    <row r="129" spans="1:52">
      <c r="A129" s="131"/>
      <c r="B129" s="72"/>
      <c r="D129" s="72"/>
      <c r="G129" s="72"/>
      <c r="J129" s="72"/>
      <c r="M129" s="72"/>
      <c r="P129" s="72"/>
      <c r="S129" s="72"/>
      <c r="V129" s="72"/>
      <c r="Y129" s="72"/>
      <c r="AB129" s="72"/>
      <c r="AE129" s="72"/>
      <c r="AH129" s="72"/>
      <c r="AK129" s="72"/>
      <c r="AN129" s="72"/>
      <c r="AQ129" s="72"/>
      <c r="AT129" s="72"/>
      <c r="AW129" s="72"/>
      <c r="AZ129" s="72"/>
    </row>
    <row r="130" spans="1:52">
      <c r="A130" s="131"/>
      <c r="B130" s="72"/>
      <c r="D130" s="72"/>
      <c r="G130" s="72"/>
      <c r="J130" s="72"/>
      <c r="M130" s="72"/>
      <c r="P130" s="72"/>
      <c r="S130" s="72"/>
      <c r="V130" s="72"/>
      <c r="Y130" s="72"/>
      <c r="AB130" s="72"/>
      <c r="AE130" s="72"/>
      <c r="AH130" s="72"/>
      <c r="AK130" s="72"/>
      <c r="AN130" s="72"/>
      <c r="AQ130" s="72"/>
      <c r="AT130" s="72"/>
      <c r="AW130" s="72"/>
      <c r="AZ130" s="72"/>
    </row>
    <row r="131" spans="1:52">
      <c r="A131" s="131"/>
      <c r="B131" s="72"/>
      <c r="D131" s="72"/>
      <c r="G131" s="72"/>
      <c r="J131" s="72"/>
      <c r="M131" s="72"/>
      <c r="P131" s="72"/>
      <c r="S131" s="72"/>
      <c r="V131" s="72"/>
      <c r="Y131" s="72"/>
      <c r="AB131" s="72"/>
      <c r="AE131" s="72"/>
      <c r="AH131" s="72"/>
      <c r="AK131" s="72"/>
      <c r="AN131" s="72"/>
      <c r="AQ131" s="72"/>
      <c r="AT131" s="72"/>
      <c r="AW131" s="72"/>
      <c r="AZ131" s="72"/>
    </row>
    <row r="132" spans="1:52">
      <c r="A132" s="131"/>
      <c r="B132" s="72"/>
      <c r="D132" s="72"/>
      <c r="G132" s="72"/>
      <c r="J132" s="72"/>
      <c r="M132" s="72"/>
      <c r="P132" s="72"/>
      <c r="S132" s="72"/>
      <c r="V132" s="72"/>
      <c r="Y132" s="72"/>
      <c r="AB132" s="72"/>
      <c r="AE132" s="72"/>
      <c r="AH132" s="72"/>
      <c r="AK132" s="72"/>
      <c r="AN132" s="72"/>
      <c r="AQ132" s="72"/>
      <c r="AT132" s="72"/>
      <c r="AW132" s="72"/>
      <c r="AZ132" s="72"/>
    </row>
    <row r="133" spans="1:52">
      <c r="A133" s="131"/>
      <c r="B133" s="72"/>
      <c r="D133" s="72"/>
      <c r="G133" s="72"/>
      <c r="J133" s="72"/>
      <c r="M133" s="72"/>
      <c r="P133" s="72"/>
      <c r="S133" s="72"/>
      <c r="V133" s="72"/>
      <c r="Y133" s="72"/>
      <c r="AB133" s="72"/>
      <c r="AE133" s="72"/>
      <c r="AH133" s="72"/>
      <c r="AK133" s="72"/>
      <c r="AN133" s="72"/>
      <c r="AQ133" s="72"/>
      <c r="AT133" s="72"/>
      <c r="AW133" s="72"/>
      <c r="AZ133" s="72"/>
    </row>
    <row r="134" spans="1:52">
      <c r="A134" s="131"/>
      <c r="B134" s="72"/>
      <c r="D134" s="72"/>
      <c r="G134" s="72"/>
      <c r="J134" s="72"/>
      <c r="M134" s="72"/>
      <c r="P134" s="72"/>
      <c r="S134" s="72"/>
      <c r="V134" s="72"/>
      <c r="Y134" s="72"/>
      <c r="AB134" s="72"/>
      <c r="AE134" s="72"/>
      <c r="AH134" s="72"/>
      <c r="AK134" s="72"/>
      <c r="AN134" s="72"/>
      <c r="AQ134" s="72"/>
      <c r="AT134" s="72"/>
      <c r="AW134" s="72"/>
      <c r="AZ134" s="72"/>
    </row>
    <row r="135" spans="1:52">
      <c r="A135" s="131"/>
      <c r="B135" s="72"/>
      <c r="D135" s="72"/>
      <c r="G135" s="72"/>
      <c r="J135" s="72"/>
      <c r="M135" s="72"/>
      <c r="P135" s="72"/>
      <c r="S135" s="72"/>
      <c r="V135" s="72"/>
      <c r="Y135" s="72"/>
      <c r="AB135" s="72"/>
      <c r="AE135" s="72"/>
      <c r="AH135" s="72"/>
      <c r="AK135" s="72"/>
      <c r="AN135" s="72"/>
      <c r="AQ135" s="72"/>
      <c r="AT135" s="72"/>
      <c r="AW135" s="72"/>
      <c r="AZ135" s="72"/>
    </row>
    <row r="136" spans="1:52">
      <c r="A136" s="131"/>
      <c r="B136" s="72"/>
      <c r="D136" s="72"/>
      <c r="G136" s="72"/>
      <c r="J136" s="72"/>
      <c r="M136" s="72"/>
      <c r="P136" s="72"/>
      <c r="S136" s="72"/>
      <c r="V136" s="72"/>
      <c r="Y136" s="72"/>
      <c r="AB136" s="72"/>
      <c r="AE136" s="72"/>
      <c r="AH136" s="72"/>
      <c r="AK136" s="72"/>
      <c r="AN136" s="72"/>
      <c r="AQ136" s="72"/>
      <c r="AT136" s="72"/>
      <c r="AW136" s="72"/>
      <c r="AZ136" s="72"/>
    </row>
    <row r="137" spans="1:52">
      <c r="A137" s="131"/>
      <c r="B137" s="72"/>
      <c r="D137" s="72"/>
      <c r="G137" s="72"/>
      <c r="J137" s="72"/>
      <c r="M137" s="72"/>
      <c r="P137" s="72"/>
      <c r="S137" s="72"/>
      <c r="V137" s="72"/>
      <c r="Y137" s="72"/>
      <c r="AB137" s="72"/>
      <c r="AE137" s="72"/>
      <c r="AH137" s="72"/>
      <c r="AK137" s="72"/>
      <c r="AN137" s="72"/>
      <c r="AQ137" s="72"/>
      <c r="AT137" s="72"/>
      <c r="AW137" s="72"/>
      <c r="AZ137" s="72"/>
    </row>
    <row r="138" spans="1:52">
      <c r="A138" s="131"/>
      <c r="B138" s="72"/>
      <c r="D138" s="72"/>
      <c r="G138" s="72"/>
      <c r="J138" s="72"/>
      <c r="M138" s="72"/>
      <c r="P138" s="72"/>
      <c r="S138" s="72"/>
      <c r="V138" s="72"/>
      <c r="Y138" s="72"/>
      <c r="AB138" s="72"/>
      <c r="AE138" s="72"/>
      <c r="AH138" s="72"/>
      <c r="AK138" s="72"/>
      <c r="AN138" s="72"/>
      <c r="AQ138" s="72"/>
      <c r="AT138" s="72"/>
      <c r="AW138" s="72"/>
      <c r="AZ138" s="72"/>
    </row>
    <row r="139" spans="1:52">
      <c r="A139" s="131"/>
      <c r="B139" s="72"/>
      <c r="D139" s="72"/>
      <c r="G139" s="72"/>
      <c r="J139" s="72"/>
      <c r="M139" s="72"/>
      <c r="P139" s="72"/>
      <c r="S139" s="72"/>
      <c r="V139" s="72"/>
      <c r="Y139" s="72"/>
      <c r="AB139" s="72"/>
      <c r="AE139" s="72"/>
      <c r="AH139" s="72"/>
      <c r="AK139" s="72"/>
      <c r="AN139" s="72"/>
      <c r="AQ139" s="72"/>
      <c r="AT139" s="72"/>
      <c r="AW139" s="72"/>
      <c r="AZ139" s="72"/>
    </row>
    <row r="140" spans="1:52">
      <c r="A140" s="131"/>
      <c r="B140" s="72"/>
      <c r="D140" s="72"/>
      <c r="G140" s="72"/>
      <c r="J140" s="72"/>
      <c r="M140" s="72"/>
      <c r="P140" s="72"/>
      <c r="S140" s="72"/>
      <c r="V140" s="72"/>
      <c r="Y140" s="72"/>
      <c r="AB140" s="72"/>
      <c r="AE140" s="72"/>
      <c r="AH140" s="72"/>
      <c r="AK140" s="72"/>
      <c r="AN140" s="72"/>
      <c r="AQ140" s="72"/>
      <c r="AT140" s="72"/>
      <c r="AW140" s="72"/>
      <c r="AZ140" s="72"/>
    </row>
    <row r="141" spans="1:52">
      <c r="A141" s="131"/>
      <c r="B141" s="72"/>
      <c r="D141" s="72"/>
      <c r="G141" s="72"/>
      <c r="J141" s="72"/>
      <c r="M141" s="72"/>
      <c r="P141" s="72"/>
      <c r="S141" s="72"/>
      <c r="V141" s="72"/>
      <c r="Y141" s="72"/>
      <c r="AB141" s="72"/>
      <c r="AE141" s="72"/>
      <c r="AH141" s="72"/>
      <c r="AK141" s="72"/>
      <c r="AN141" s="72"/>
      <c r="AQ141" s="72"/>
      <c r="AT141" s="72"/>
      <c r="AW141" s="72"/>
      <c r="AZ141" s="72"/>
    </row>
    <row r="142" spans="1:52">
      <c r="A142" s="131"/>
      <c r="B142" s="72"/>
      <c r="D142" s="72"/>
      <c r="G142" s="72"/>
      <c r="J142" s="72"/>
      <c r="M142" s="72"/>
      <c r="P142" s="72"/>
      <c r="S142" s="72"/>
      <c r="V142" s="72"/>
      <c r="Y142" s="72"/>
      <c r="AB142" s="72"/>
      <c r="AE142" s="72"/>
      <c r="AH142" s="72"/>
      <c r="AK142" s="72"/>
      <c r="AN142" s="72"/>
      <c r="AQ142" s="72"/>
      <c r="AT142" s="72"/>
      <c r="AW142" s="72"/>
      <c r="AZ142" s="72"/>
    </row>
    <row r="143" spans="1:52">
      <c r="A143" s="131"/>
      <c r="B143" s="72"/>
      <c r="D143" s="72"/>
      <c r="G143" s="72"/>
      <c r="J143" s="72"/>
      <c r="M143" s="72"/>
      <c r="P143" s="72"/>
      <c r="S143" s="72"/>
      <c r="V143" s="72"/>
      <c r="Y143" s="72"/>
      <c r="AB143" s="72"/>
      <c r="AE143" s="72"/>
      <c r="AH143" s="72"/>
      <c r="AK143" s="72"/>
      <c r="AN143" s="72"/>
      <c r="AQ143" s="72"/>
      <c r="AT143" s="72"/>
      <c r="AW143" s="72"/>
      <c r="AZ143" s="72"/>
    </row>
    <row r="144" spans="1:52">
      <c r="A144" s="131"/>
      <c r="B144" s="72"/>
      <c r="D144" s="72"/>
      <c r="G144" s="72"/>
      <c r="J144" s="72"/>
      <c r="M144" s="72"/>
      <c r="P144" s="72"/>
      <c r="S144" s="72"/>
      <c r="V144" s="72"/>
      <c r="Y144" s="72"/>
      <c r="AB144" s="72"/>
      <c r="AE144" s="72"/>
      <c r="AH144" s="72"/>
      <c r="AK144" s="72"/>
      <c r="AN144" s="72"/>
      <c r="AQ144" s="72"/>
      <c r="AT144" s="72"/>
      <c r="AW144" s="72"/>
      <c r="AZ144" s="72"/>
    </row>
    <row r="145" spans="1:52">
      <c r="A145" s="131"/>
      <c r="B145" s="72"/>
      <c r="D145" s="72"/>
      <c r="G145" s="72"/>
      <c r="J145" s="72"/>
      <c r="M145" s="72"/>
      <c r="P145" s="72"/>
      <c r="S145" s="72"/>
      <c r="V145" s="72"/>
      <c r="Y145" s="72"/>
      <c r="AB145" s="72"/>
      <c r="AE145" s="72"/>
      <c r="AH145" s="72"/>
      <c r="AK145" s="72"/>
      <c r="AN145" s="72"/>
      <c r="AQ145" s="72"/>
      <c r="AT145" s="72"/>
      <c r="AW145" s="72"/>
      <c r="AZ145" s="72"/>
    </row>
    <row r="146" spans="1:52">
      <c r="A146" s="131"/>
      <c r="B146" s="72"/>
      <c r="D146" s="72"/>
      <c r="G146" s="72"/>
      <c r="J146" s="72"/>
      <c r="M146" s="72"/>
      <c r="P146" s="72"/>
      <c r="S146" s="72"/>
      <c r="V146" s="72"/>
      <c r="Y146" s="72"/>
      <c r="AB146" s="72"/>
      <c r="AE146" s="72"/>
      <c r="AH146" s="72"/>
      <c r="AK146" s="72"/>
      <c r="AN146" s="72"/>
      <c r="AQ146" s="72"/>
      <c r="AT146" s="72"/>
      <c r="AW146" s="72"/>
      <c r="AZ146" s="72"/>
    </row>
    <row r="147" spans="1:52">
      <c r="A147" s="131"/>
      <c r="B147" s="72"/>
      <c r="D147" s="72"/>
      <c r="G147" s="72"/>
      <c r="J147" s="72"/>
      <c r="M147" s="72"/>
      <c r="P147" s="72"/>
      <c r="S147" s="72"/>
      <c r="V147" s="72"/>
      <c r="Y147" s="72"/>
      <c r="AB147" s="72"/>
      <c r="AE147" s="72"/>
      <c r="AH147" s="72"/>
      <c r="AK147" s="72"/>
      <c r="AN147" s="72"/>
      <c r="AQ147" s="72"/>
      <c r="AT147" s="72"/>
      <c r="AW147" s="72"/>
      <c r="AZ147" s="72"/>
    </row>
    <row r="148" spans="1:52">
      <c r="A148" s="131"/>
      <c r="B148" s="72"/>
      <c r="D148" s="72"/>
      <c r="G148" s="72"/>
      <c r="J148" s="72"/>
      <c r="M148" s="72"/>
      <c r="P148" s="72"/>
      <c r="S148" s="72"/>
      <c r="V148" s="72"/>
      <c r="Y148" s="72"/>
      <c r="AB148" s="72"/>
      <c r="AE148" s="72"/>
      <c r="AH148" s="72"/>
      <c r="AK148" s="72"/>
      <c r="AN148" s="72"/>
      <c r="AQ148" s="72"/>
      <c r="AT148" s="72"/>
      <c r="AW148" s="72"/>
      <c r="AZ148" s="72"/>
    </row>
    <row r="149" spans="1:52">
      <c r="A149" s="131"/>
      <c r="B149" s="72"/>
      <c r="D149" s="72"/>
      <c r="G149" s="72"/>
      <c r="J149" s="72"/>
      <c r="M149" s="72"/>
      <c r="P149" s="72"/>
      <c r="S149" s="72"/>
      <c r="V149" s="72"/>
      <c r="Y149" s="72"/>
      <c r="AB149" s="72"/>
      <c r="AE149" s="72"/>
      <c r="AH149" s="72"/>
      <c r="AK149" s="72"/>
      <c r="AN149" s="72"/>
      <c r="AQ149" s="72"/>
      <c r="AT149" s="72"/>
      <c r="AW149" s="72"/>
      <c r="AZ149" s="72"/>
    </row>
    <row r="150" spans="1:52">
      <c r="A150" s="131"/>
      <c r="B150" s="72"/>
      <c r="D150" s="72"/>
      <c r="G150" s="72"/>
      <c r="J150" s="72"/>
      <c r="M150" s="72"/>
      <c r="P150" s="72"/>
      <c r="S150" s="72"/>
      <c r="V150" s="72"/>
      <c r="Y150" s="72"/>
      <c r="AB150" s="72"/>
      <c r="AE150" s="72"/>
      <c r="AH150" s="72"/>
      <c r="AK150" s="72"/>
      <c r="AN150" s="72"/>
      <c r="AQ150" s="72"/>
      <c r="AT150" s="72"/>
      <c r="AW150" s="72"/>
      <c r="AZ150" s="72"/>
    </row>
    <row r="151" spans="1:52">
      <c r="A151" s="131"/>
      <c r="B151" s="72"/>
      <c r="D151" s="72"/>
      <c r="G151" s="72"/>
      <c r="J151" s="72"/>
      <c r="M151" s="72"/>
      <c r="P151" s="72"/>
      <c r="S151" s="72"/>
      <c r="V151" s="72"/>
      <c r="Y151" s="72"/>
      <c r="AB151" s="72"/>
      <c r="AE151" s="72"/>
      <c r="AH151" s="72"/>
      <c r="AK151" s="72"/>
      <c r="AN151" s="72"/>
      <c r="AQ151" s="72"/>
      <c r="AT151" s="72"/>
      <c r="AW151" s="72"/>
      <c r="AZ151" s="72"/>
    </row>
    <row r="152" spans="1:52">
      <c r="A152" s="131"/>
      <c r="B152" s="72"/>
      <c r="D152" s="72"/>
      <c r="G152" s="72"/>
      <c r="J152" s="72"/>
      <c r="M152" s="72"/>
      <c r="P152" s="72"/>
      <c r="S152" s="72"/>
      <c r="V152" s="72"/>
      <c r="Y152" s="72"/>
      <c r="AB152" s="72"/>
      <c r="AE152" s="72"/>
      <c r="AH152" s="72"/>
      <c r="AK152" s="72"/>
      <c r="AN152" s="72"/>
      <c r="AQ152" s="72"/>
      <c r="AT152" s="72"/>
      <c r="AW152" s="72"/>
      <c r="AZ152" s="72"/>
    </row>
    <row r="153" spans="1:52">
      <c r="A153" s="131"/>
      <c r="B153" s="72"/>
      <c r="D153" s="72"/>
      <c r="G153" s="72"/>
      <c r="J153" s="72"/>
      <c r="M153" s="72"/>
      <c r="P153" s="72"/>
      <c r="S153" s="72"/>
      <c r="V153" s="72"/>
      <c r="Y153" s="72"/>
      <c r="AB153" s="72"/>
      <c r="AE153" s="72"/>
      <c r="AH153" s="72"/>
      <c r="AK153" s="72"/>
      <c r="AN153" s="72"/>
      <c r="AQ153" s="72"/>
      <c r="AT153" s="72"/>
      <c r="AW153" s="72"/>
      <c r="AZ153" s="72"/>
    </row>
    <row r="154" spans="1:52">
      <c r="A154" s="131"/>
      <c r="B154" s="72"/>
      <c r="D154" s="72"/>
      <c r="G154" s="72"/>
      <c r="J154" s="72"/>
      <c r="M154" s="72"/>
      <c r="P154" s="72"/>
      <c r="S154" s="72"/>
      <c r="V154" s="72"/>
      <c r="Y154" s="72"/>
      <c r="AB154" s="72"/>
      <c r="AE154" s="72"/>
      <c r="AH154" s="72"/>
      <c r="AK154" s="72"/>
      <c r="AN154" s="72"/>
      <c r="AQ154" s="72"/>
      <c r="AT154" s="72"/>
      <c r="AW154" s="72"/>
      <c r="AZ154" s="72"/>
    </row>
    <row r="155" spans="1:52">
      <c r="A155" s="131"/>
      <c r="B155" s="72"/>
      <c r="D155" s="72"/>
      <c r="G155" s="72"/>
      <c r="J155" s="72"/>
      <c r="M155" s="72"/>
      <c r="P155" s="72"/>
      <c r="S155" s="72"/>
      <c r="V155" s="72"/>
      <c r="Y155" s="72"/>
      <c r="AB155" s="72"/>
      <c r="AE155" s="72"/>
      <c r="AH155" s="72"/>
      <c r="AK155" s="72"/>
      <c r="AN155" s="72"/>
      <c r="AQ155" s="72"/>
      <c r="AT155" s="72"/>
      <c r="AW155" s="72"/>
      <c r="AZ155" s="72"/>
    </row>
    <row r="156" spans="1:52">
      <c r="A156" s="131"/>
      <c r="B156" s="72"/>
      <c r="D156" s="72"/>
      <c r="G156" s="72"/>
      <c r="J156" s="72"/>
      <c r="M156" s="72"/>
      <c r="P156" s="72"/>
      <c r="S156" s="72"/>
      <c r="V156" s="72"/>
      <c r="Y156" s="72"/>
      <c r="AB156" s="72"/>
      <c r="AE156" s="72"/>
      <c r="AH156" s="72"/>
      <c r="AK156" s="72"/>
      <c r="AN156" s="72"/>
      <c r="AQ156" s="72"/>
      <c r="AT156" s="72"/>
      <c r="AW156" s="72"/>
      <c r="AZ156" s="72"/>
    </row>
    <row r="157" spans="1:52">
      <c r="A157" s="131"/>
      <c r="B157" s="72"/>
      <c r="D157" s="72"/>
      <c r="G157" s="72"/>
      <c r="J157" s="72"/>
      <c r="M157" s="72"/>
      <c r="P157" s="72"/>
      <c r="S157" s="72"/>
      <c r="V157" s="72"/>
      <c r="Y157" s="72"/>
      <c r="AB157" s="72"/>
      <c r="AE157" s="72"/>
      <c r="AH157" s="72"/>
      <c r="AK157" s="72"/>
      <c r="AN157" s="72"/>
      <c r="AQ157" s="72"/>
      <c r="AT157" s="72"/>
      <c r="AW157" s="72"/>
      <c r="AZ157" s="72"/>
    </row>
    <row r="158" spans="1:52">
      <c r="A158" s="131"/>
      <c r="B158" s="72"/>
      <c r="D158" s="72"/>
      <c r="G158" s="72"/>
      <c r="J158" s="72"/>
      <c r="M158" s="72"/>
      <c r="P158" s="72"/>
      <c r="S158" s="72"/>
      <c r="V158" s="72"/>
      <c r="Y158" s="72"/>
      <c r="AB158" s="72"/>
      <c r="AE158" s="72"/>
      <c r="AH158" s="72"/>
      <c r="AK158" s="72"/>
      <c r="AN158" s="72"/>
      <c r="AQ158" s="72"/>
      <c r="AT158" s="72"/>
      <c r="AW158" s="72"/>
      <c r="AZ158" s="72"/>
    </row>
    <row r="159" spans="1:52">
      <c r="A159" s="131"/>
      <c r="B159" s="72"/>
      <c r="D159" s="72"/>
      <c r="G159" s="72"/>
      <c r="J159" s="72"/>
      <c r="M159" s="72"/>
      <c r="P159" s="72"/>
      <c r="S159" s="72"/>
      <c r="V159" s="72"/>
      <c r="Y159" s="72"/>
      <c r="AB159" s="72"/>
      <c r="AE159" s="72"/>
      <c r="AH159" s="72"/>
      <c r="AK159" s="72"/>
      <c r="AN159" s="72"/>
      <c r="AQ159" s="72"/>
      <c r="AT159" s="72"/>
      <c r="AW159" s="72"/>
      <c r="AZ159" s="72"/>
    </row>
    <row r="160" spans="1:52">
      <c r="A160" s="131"/>
      <c r="B160" s="72"/>
      <c r="D160" s="72"/>
      <c r="G160" s="72"/>
      <c r="J160" s="72"/>
      <c r="M160" s="72"/>
      <c r="P160" s="72"/>
      <c r="S160" s="72"/>
      <c r="V160" s="72"/>
      <c r="Y160" s="72"/>
      <c r="AB160" s="72"/>
      <c r="AE160" s="72"/>
      <c r="AH160" s="72"/>
      <c r="AK160" s="72"/>
      <c r="AN160" s="72"/>
      <c r="AQ160" s="72"/>
      <c r="AT160" s="72"/>
      <c r="AW160" s="72"/>
      <c r="AZ160" s="72"/>
    </row>
    <row r="161" spans="1:52">
      <c r="A161" s="131"/>
      <c r="B161" s="72"/>
      <c r="D161" s="72"/>
      <c r="G161" s="72"/>
      <c r="J161" s="72"/>
      <c r="M161" s="72"/>
      <c r="P161" s="72"/>
      <c r="S161" s="72"/>
      <c r="V161" s="72"/>
      <c r="Y161" s="72"/>
      <c r="AB161" s="72"/>
      <c r="AE161" s="72"/>
      <c r="AH161" s="72"/>
      <c r="AK161" s="72"/>
      <c r="AN161" s="72"/>
      <c r="AQ161" s="72"/>
      <c r="AT161" s="72"/>
      <c r="AW161" s="72"/>
      <c r="AZ161" s="72"/>
    </row>
    <row r="162" spans="1:52">
      <c r="A162" s="131"/>
      <c r="B162" s="72"/>
      <c r="D162" s="72"/>
      <c r="G162" s="72"/>
      <c r="J162" s="72"/>
      <c r="M162" s="72"/>
      <c r="P162" s="72"/>
      <c r="S162" s="72"/>
      <c r="V162" s="72"/>
      <c r="Y162" s="72"/>
      <c r="AB162" s="72"/>
      <c r="AE162" s="72"/>
      <c r="AH162" s="72"/>
      <c r="AK162" s="72"/>
      <c r="AN162" s="72"/>
      <c r="AQ162" s="72"/>
      <c r="AT162" s="72"/>
      <c r="AW162" s="72"/>
      <c r="AZ162" s="72"/>
    </row>
    <row r="163" spans="1:52">
      <c r="A163" s="131"/>
      <c r="B163" s="72"/>
      <c r="D163" s="72"/>
      <c r="G163" s="72"/>
      <c r="J163" s="72"/>
      <c r="M163" s="72"/>
      <c r="P163" s="72"/>
      <c r="S163" s="72"/>
      <c r="V163" s="72"/>
      <c r="Y163" s="72"/>
      <c r="AB163" s="72"/>
      <c r="AE163" s="72"/>
      <c r="AH163" s="72"/>
      <c r="AK163" s="72"/>
      <c r="AN163" s="72"/>
      <c r="AQ163" s="72"/>
      <c r="AT163" s="72"/>
      <c r="AW163" s="72"/>
      <c r="AZ163" s="72"/>
    </row>
    <row r="164" spans="1:52">
      <c r="A164" s="131"/>
      <c r="B164" s="72"/>
      <c r="D164" s="72"/>
      <c r="G164" s="72"/>
      <c r="J164" s="72"/>
      <c r="M164" s="72"/>
      <c r="P164" s="72"/>
      <c r="S164" s="72"/>
      <c r="V164" s="72"/>
      <c r="Y164" s="72"/>
      <c r="AB164" s="72"/>
      <c r="AE164" s="72"/>
      <c r="AH164" s="72"/>
      <c r="AK164" s="72"/>
      <c r="AN164" s="72"/>
      <c r="AQ164" s="72"/>
      <c r="AT164" s="72"/>
      <c r="AW164" s="72"/>
      <c r="AZ164" s="72"/>
    </row>
    <row r="165" spans="1:52">
      <c r="A165" s="131"/>
      <c r="B165" s="72"/>
      <c r="D165" s="72"/>
      <c r="G165" s="72"/>
      <c r="J165" s="72"/>
      <c r="M165" s="72"/>
      <c r="P165" s="72"/>
      <c r="S165" s="72"/>
      <c r="V165" s="72"/>
      <c r="Y165" s="72"/>
      <c r="AB165" s="72"/>
      <c r="AE165" s="72"/>
      <c r="AH165" s="72"/>
      <c r="AK165" s="72"/>
      <c r="AN165" s="72"/>
      <c r="AQ165" s="72"/>
      <c r="AT165" s="72"/>
      <c r="AW165" s="72"/>
      <c r="AZ165" s="72"/>
    </row>
    <row r="166" spans="1:52">
      <c r="A166" s="131"/>
      <c r="B166" s="72"/>
      <c r="D166" s="72"/>
      <c r="G166" s="72"/>
      <c r="J166" s="72"/>
      <c r="M166" s="72"/>
      <c r="P166" s="72"/>
      <c r="S166" s="72"/>
      <c r="V166" s="72"/>
      <c r="Y166" s="72"/>
      <c r="AB166" s="72"/>
      <c r="AE166" s="72"/>
      <c r="AH166" s="72"/>
      <c r="AK166" s="72"/>
      <c r="AN166" s="72"/>
      <c r="AQ166" s="72"/>
      <c r="AT166" s="72"/>
      <c r="AW166" s="72"/>
      <c r="AZ166" s="72"/>
    </row>
    <row r="167" spans="1:52">
      <c r="A167" s="131"/>
      <c r="B167" s="72"/>
      <c r="D167" s="72"/>
      <c r="G167" s="72"/>
      <c r="J167" s="72"/>
      <c r="M167" s="72"/>
      <c r="P167" s="72"/>
      <c r="S167" s="72"/>
      <c r="V167" s="72"/>
      <c r="Y167" s="72"/>
      <c r="AB167" s="72"/>
      <c r="AE167" s="72"/>
      <c r="AH167" s="72"/>
      <c r="AK167" s="72"/>
      <c r="AN167" s="72"/>
      <c r="AQ167" s="72"/>
      <c r="AT167" s="72"/>
      <c r="AW167" s="72"/>
      <c r="AZ167" s="72"/>
    </row>
    <row r="168" spans="1:52">
      <c r="A168" s="131"/>
      <c r="B168" s="72"/>
      <c r="D168" s="72"/>
      <c r="G168" s="72"/>
      <c r="J168" s="72"/>
      <c r="M168" s="72"/>
      <c r="P168" s="72"/>
      <c r="S168" s="72"/>
      <c r="V168" s="72"/>
      <c r="Y168" s="72"/>
      <c r="AB168" s="72"/>
      <c r="AE168" s="72"/>
      <c r="AH168" s="72"/>
      <c r="AK168" s="72"/>
      <c r="AN168" s="72"/>
      <c r="AQ168" s="72"/>
      <c r="AT168" s="72"/>
      <c r="AW168" s="72"/>
      <c r="AZ168" s="72"/>
    </row>
    <row r="169" spans="1:52">
      <c r="A169" s="131"/>
      <c r="B169" s="72"/>
      <c r="D169" s="72"/>
      <c r="G169" s="72"/>
      <c r="J169" s="72"/>
      <c r="M169" s="72"/>
      <c r="P169" s="72"/>
      <c r="S169" s="72"/>
      <c r="V169" s="72"/>
      <c r="Y169" s="72"/>
      <c r="AB169" s="72"/>
      <c r="AE169" s="72"/>
      <c r="AH169" s="72"/>
      <c r="AK169" s="72"/>
      <c r="AN169" s="72"/>
      <c r="AQ169" s="72"/>
      <c r="AT169" s="72"/>
      <c r="AW169" s="72"/>
      <c r="AZ169" s="72"/>
    </row>
    <row r="170" spans="1:52">
      <c r="A170" s="131"/>
      <c r="B170" s="72"/>
      <c r="D170" s="72"/>
      <c r="G170" s="72"/>
      <c r="J170" s="72"/>
      <c r="M170" s="72"/>
      <c r="P170" s="72"/>
      <c r="S170" s="72"/>
      <c r="V170" s="72"/>
      <c r="Y170" s="72"/>
      <c r="AB170" s="72"/>
      <c r="AE170" s="72"/>
      <c r="AH170" s="72"/>
      <c r="AK170" s="72"/>
      <c r="AN170" s="72"/>
      <c r="AQ170" s="72"/>
      <c r="AT170" s="72"/>
      <c r="AW170" s="72"/>
      <c r="AZ170" s="72"/>
    </row>
    <row r="171" spans="1:52">
      <c r="A171" s="131"/>
      <c r="B171" s="72"/>
      <c r="D171" s="72"/>
      <c r="G171" s="72"/>
      <c r="J171" s="72"/>
      <c r="M171" s="72"/>
      <c r="P171" s="72"/>
      <c r="S171" s="72"/>
      <c r="V171" s="72"/>
      <c r="Y171" s="72"/>
      <c r="AB171" s="72"/>
      <c r="AE171" s="72"/>
      <c r="AH171" s="72"/>
      <c r="AK171" s="72"/>
      <c r="AN171" s="72"/>
      <c r="AQ171" s="72"/>
      <c r="AT171" s="72"/>
      <c r="AW171" s="72"/>
      <c r="AZ171" s="72"/>
    </row>
    <row r="172" spans="1:52">
      <c r="A172" s="131"/>
      <c r="B172" s="72"/>
      <c r="D172" s="72"/>
      <c r="G172" s="72"/>
      <c r="J172" s="72"/>
      <c r="M172" s="72"/>
      <c r="P172" s="72"/>
      <c r="S172" s="72"/>
      <c r="V172" s="72"/>
      <c r="Y172" s="72"/>
      <c r="AB172" s="72"/>
      <c r="AE172" s="72"/>
      <c r="AH172" s="72"/>
      <c r="AK172" s="72"/>
      <c r="AN172" s="72"/>
      <c r="AQ172" s="72"/>
      <c r="AT172" s="72"/>
      <c r="AW172" s="72"/>
      <c r="AZ172" s="72"/>
    </row>
    <row r="173" spans="1:52">
      <c r="A173" s="131"/>
      <c r="B173" s="72"/>
      <c r="D173" s="72"/>
      <c r="G173" s="72"/>
      <c r="J173" s="72"/>
      <c r="M173" s="72"/>
      <c r="P173" s="72"/>
      <c r="S173" s="72"/>
      <c r="V173" s="72"/>
      <c r="Y173" s="72"/>
      <c r="AB173" s="72"/>
      <c r="AE173" s="72"/>
      <c r="AH173" s="72"/>
      <c r="AK173" s="72"/>
      <c r="AN173" s="72"/>
      <c r="AQ173" s="72"/>
      <c r="AT173" s="72"/>
      <c r="AW173" s="72"/>
      <c r="AZ173" s="72"/>
    </row>
    <row r="174" spans="1:52">
      <c r="A174" s="131"/>
      <c r="B174" s="72"/>
      <c r="D174" s="72"/>
      <c r="G174" s="72"/>
      <c r="J174" s="72"/>
      <c r="M174" s="72"/>
      <c r="P174" s="72"/>
      <c r="S174" s="72"/>
      <c r="V174" s="72"/>
      <c r="Y174" s="72"/>
      <c r="AB174" s="72"/>
      <c r="AE174" s="72"/>
      <c r="AH174" s="72"/>
      <c r="AK174" s="72"/>
      <c r="AN174" s="72"/>
      <c r="AQ174" s="72"/>
      <c r="AT174" s="72"/>
      <c r="AW174" s="72"/>
      <c r="AZ174" s="72"/>
    </row>
    <row r="175" spans="1:52">
      <c r="A175" s="131"/>
      <c r="B175" s="72"/>
      <c r="D175" s="72"/>
      <c r="G175" s="72"/>
      <c r="J175" s="72"/>
      <c r="M175" s="72"/>
      <c r="P175" s="72"/>
      <c r="S175" s="72"/>
      <c r="V175" s="72"/>
      <c r="Y175" s="72"/>
      <c r="AB175" s="72"/>
      <c r="AE175" s="72"/>
      <c r="AH175" s="72"/>
      <c r="AK175" s="72"/>
      <c r="AN175" s="72"/>
      <c r="AQ175" s="72"/>
      <c r="AT175" s="72"/>
      <c r="AW175" s="72"/>
      <c r="AZ175" s="72"/>
    </row>
    <row r="176" spans="1:52">
      <c r="A176" s="131"/>
      <c r="B176" s="72"/>
      <c r="D176" s="72"/>
      <c r="G176" s="72"/>
      <c r="J176" s="72"/>
      <c r="M176" s="72"/>
      <c r="P176" s="72"/>
      <c r="S176" s="72"/>
      <c r="V176" s="72"/>
      <c r="Y176" s="72"/>
      <c r="AB176" s="72"/>
      <c r="AE176" s="72"/>
      <c r="AH176" s="72"/>
      <c r="AK176" s="72"/>
      <c r="AN176" s="72"/>
      <c r="AQ176" s="72"/>
      <c r="AT176" s="72"/>
      <c r="AW176" s="72"/>
      <c r="AZ176" s="72"/>
    </row>
    <row r="177" spans="1:52">
      <c r="A177" s="131"/>
      <c r="B177" s="72"/>
      <c r="D177" s="72"/>
      <c r="G177" s="72"/>
      <c r="J177" s="72"/>
      <c r="M177" s="72"/>
      <c r="P177" s="72"/>
      <c r="S177" s="72"/>
      <c r="V177" s="72"/>
      <c r="Y177" s="72"/>
      <c r="AB177" s="72"/>
      <c r="AE177" s="72"/>
      <c r="AH177" s="72"/>
      <c r="AK177" s="72"/>
      <c r="AN177" s="72"/>
      <c r="AQ177" s="72"/>
      <c r="AT177" s="72"/>
      <c r="AW177" s="72"/>
      <c r="AZ177" s="72"/>
    </row>
    <row r="178" spans="1:52">
      <c r="A178" s="131"/>
      <c r="B178" s="72"/>
      <c r="D178" s="72"/>
      <c r="G178" s="72"/>
      <c r="J178" s="72"/>
      <c r="M178" s="72"/>
      <c r="P178" s="72"/>
      <c r="S178" s="72"/>
      <c r="V178" s="72"/>
      <c r="Y178" s="72"/>
      <c r="AB178" s="72"/>
      <c r="AE178" s="72"/>
      <c r="AH178" s="72"/>
      <c r="AK178" s="72"/>
      <c r="AN178" s="72"/>
      <c r="AQ178" s="72"/>
      <c r="AT178" s="72"/>
      <c r="AW178" s="72"/>
      <c r="AZ178" s="72"/>
    </row>
    <row r="179" spans="1:52">
      <c r="A179" s="131"/>
      <c r="B179" s="72"/>
      <c r="D179" s="72"/>
      <c r="G179" s="72"/>
      <c r="J179" s="72"/>
      <c r="M179" s="72"/>
      <c r="P179" s="72"/>
      <c r="S179" s="72"/>
      <c r="V179" s="72"/>
      <c r="Y179" s="72"/>
      <c r="AB179" s="72"/>
      <c r="AE179" s="72"/>
      <c r="AH179" s="72"/>
      <c r="AK179" s="72"/>
      <c r="AN179" s="72"/>
      <c r="AQ179" s="72"/>
      <c r="AT179" s="72"/>
      <c r="AW179" s="72"/>
      <c r="AZ179" s="72"/>
    </row>
    <row r="180" spans="1:52">
      <c r="A180" s="131"/>
      <c r="B180" s="72"/>
      <c r="D180" s="72"/>
      <c r="G180" s="72"/>
      <c r="J180" s="72"/>
      <c r="M180" s="72"/>
      <c r="P180" s="72"/>
      <c r="S180" s="72"/>
      <c r="V180" s="72"/>
      <c r="Y180" s="72"/>
      <c r="AB180" s="72"/>
      <c r="AE180" s="72"/>
      <c r="AH180" s="72"/>
      <c r="AK180" s="72"/>
      <c r="AN180" s="72"/>
      <c r="AQ180" s="72"/>
      <c r="AT180" s="72"/>
      <c r="AW180" s="72"/>
      <c r="AZ180" s="72"/>
    </row>
    <row r="181" spans="1:52">
      <c r="A181" s="131"/>
      <c r="B181" s="72"/>
      <c r="D181" s="72"/>
      <c r="G181" s="72"/>
      <c r="J181" s="72"/>
      <c r="M181" s="72"/>
      <c r="P181" s="72"/>
      <c r="S181" s="72"/>
      <c r="V181" s="72"/>
      <c r="Y181" s="72"/>
      <c r="AB181" s="72"/>
      <c r="AE181" s="72"/>
      <c r="AH181" s="72"/>
      <c r="AK181" s="72"/>
      <c r="AN181" s="72"/>
      <c r="AQ181" s="72"/>
      <c r="AT181" s="72"/>
      <c r="AW181" s="72"/>
      <c r="AZ181" s="72"/>
    </row>
    <row r="182" spans="1:52">
      <c r="A182" s="131"/>
      <c r="B182" s="72"/>
      <c r="D182" s="72"/>
      <c r="G182" s="72"/>
      <c r="J182" s="72"/>
      <c r="M182" s="72"/>
      <c r="P182" s="72"/>
      <c r="S182" s="72"/>
      <c r="V182" s="72"/>
      <c r="Y182" s="72"/>
      <c r="AB182" s="72"/>
      <c r="AE182" s="72"/>
      <c r="AH182" s="72"/>
      <c r="AK182" s="72"/>
      <c r="AN182" s="72"/>
      <c r="AQ182" s="72"/>
      <c r="AT182" s="72"/>
      <c r="AW182" s="72"/>
      <c r="AZ182" s="72"/>
    </row>
    <row r="183" spans="1:52">
      <c r="A183" s="131"/>
      <c r="B183" s="72"/>
      <c r="D183" s="72"/>
      <c r="G183" s="72"/>
      <c r="J183" s="72"/>
      <c r="M183" s="72"/>
      <c r="P183" s="72"/>
      <c r="S183" s="72"/>
      <c r="V183" s="72"/>
      <c r="Y183" s="72"/>
      <c r="AB183" s="72"/>
      <c r="AE183" s="72"/>
      <c r="AH183" s="72"/>
      <c r="AK183" s="72"/>
      <c r="AN183" s="72"/>
      <c r="AQ183" s="72"/>
      <c r="AT183" s="72"/>
      <c r="AW183" s="72"/>
      <c r="AZ183" s="72"/>
    </row>
    <row r="184" spans="1:52">
      <c r="A184" s="131"/>
      <c r="B184" s="72"/>
      <c r="D184" s="72"/>
      <c r="G184" s="72"/>
      <c r="J184" s="72"/>
      <c r="M184" s="72"/>
      <c r="P184" s="72"/>
      <c r="S184" s="72"/>
      <c r="V184" s="72"/>
      <c r="Y184" s="72"/>
      <c r="AB184" s="72"/>
      <c r="AE184" s="72"/>
      <c r="AH184" s="72"/>
      <c r="AK184" s="72"/>
      <c r="AN184" s="72"/>
      <c r="AQ184" s="72"/>
      <c r="AT184" s="72"/>
      <c r="AW184" s="72"/>
      <c r="AZ184" s="72"/>
    </row>
    <row r="185" spans="1:52">
      <c r="A185" s="131"/>
      <c r="B185" s="72"/>
      <c r="D185" s="72"/>
      <c r="G185" s="72"/>
      <c r="J185" s="72"/>
      <c r="M185" s="72"/>
      <c r="P185" s="72"/>
      <c r="S185" s="72"/>
      <c r="V185" s="72"/>
      <c r="Y185" s="72"/>
      <c r="AB185" s="72"/>
      <c r="AE185" s="72"/>
      <c r="AH185" s="72"/>
      <c r="AK185" s="72"/>
      <c r="AN185" s="72"/>
      <c r="AQ185" s="72"/>
      <c r="AT185" s="72"/>
      <c r="AW185" s="72"/>
      <c r="AZ185" s="72"/>
    </row>
    <row r="186" spans="1:52">
      <c r="A186" s="131"/>
      <c r="B186" s="72"/>
      <c r="D186" s="72"/>
      <c r="G186" s="72"/>
      <c r="J186" s="72"/>
      <c r="M186" s="72"/>
      <c r="P186" s="72"/>
      <c r="S186" s="72"/>
      <c r="V186" s="72"/>
      <c r="Y186" s="72"/>
      <c r="AB186" s="72"/>
      <c r="AE186" s="72"/>
      <c r="AH186" s="72"/>
      <c r="AK186" s="72"/>
      <c r="AN186" s="72"/>
      <c r="AQ186" s="72"/>
      <c r="AT186" s="72"/>
      <c r="AW186" s="72"/>
      <c r="AZ186" s="72"/>
    </row>
    <row r="187" spans="1:52">
      <c r="A187" s="131"/>
      <c r="B187" s="72"/>
      <c r="D187" s="72"/>
      <c r="G187" s="72"/>
      <c r="J187" s="72"/>
      <c r="M187" s="72"/>
      <c r="P187" s="72"/>
      <c r="S187" s="72"/>
      <c r="V187" s="72"/>
      <c r="Y187" s="72"/>
      <c r="AB187" s="72"/>
      <c r="AE187" s="72"/>
      <c r="AH187" s="72"/>
      <c r="AK187" s="72"/>
      <c r="AN187" s="72"/>
      <c r="AQ187" s="72"/>
      <c r="AT187" s="72"/>
      <c r="AW187" s="72"/>
      <c r="AZ187" s="72"/>
    </row>
    <row r="188" spans="1:52">
      <c r="A188" s="131"/>
      <c r="B188" s="72"/>
      <c r="D188" s="72"/>
      <c r="G188" s="72"/>
      <c r="J188" s="72"/>
      <c r="M188" s="72"/>
      <c r="P188" s="72"/>
      <c r="S188" s="72"/>
      <c r="V188" s="72"/>
      <c r="Y188" s="72"/>
      <c r="AB188" s="72"/>
      <c r="AE188" s="72"/>
      <c r="AH188" s="72"/>
      <c r="AK188" s="72"/>
      <c r="AN188" s="72"/>
      <c r="AQ188" s="72"/>
      <c r="AT188" s="72"/>
      <c r="AW188" s="72"/>
      <c r="AZ188" s="72"/>
    </row>
    <row r="189" spans="1:52">
      <c r="A189" s="131"/>
      <c r="B189" s="72"/>
      <c r="D189" s="72"/>
      <c r="G189" s="72"/>
      <c r="J189" s="72"/>
      <c r="M189" s="72"/>
      <c r="P189" s="72"/>
      <c r="S189" s="72"/>
      <c r="V189" s="72"/>
      <c r="Y189" s="72"/>
      <c r="AB189" s="72"/>
      <c r="AE189" s="72"/>
      <c r="AH189" s="72"/>
      <c r="AK189" s="72"/>
      <c r="AN189" s="72"/>
      <c r="AQ189" s="72"/>
      <c r="AT189" s="72"/>
      <c r="AW189" s="72"/>
      <c r="AZ189" s="72"/>
    </row>
    <row r="190" spans="1:52">
      <c r="A190" s="131"/>
      <c r="B190" s="72"/>
      <c r="D190" s="72"/>
      <c r="G190" s="72"/>
      <c r="J190" s="72"/>
      <c r="M190" s="72"/>
      <c r="P190" s="72"/>
      <c r="S190" s="72"/>
      <c r="V190" s="72"/>
      <c r="Y190" s="72"/>
      <c r="AB190" s="72"/>
      <c r="AE190" s="72"/>
      <c r="AH190" s="72"/>
      <c r="AK190" s="72"/>
      <c r="AN190" s="72"/>
      <c r="AQ190" s="72"/>
      <c r="AT190" s="72"/>
      <c r="AW190" s="72"/>
      <c r="AZ190" s="72"/>
    </row>
    <row r="191" spans="1:52">
      <c r="A191" s="131"/>
      <c r="B191" s="72"/>
      <c r="D191" s="72"/>
      <c r="G191" s="72"/>
      <c r="J191" s="72"/>
      <c r="M191" s="72"/>
      <c r="P191" s="72"/>
      <c r="S191" s="72"/>
      <c r="V191" s="72"/>
      <c r="Y191" s="72"/>
      <c r="AB191" s="72"/>
      <c r="AE191" s="72"/>
      <c r="AH191" s="72"/>
      <c r="AK191" s="72"/>
      <c r="AN191" s="72"/>
      <c r="AQ191" s="72"/>
      <c r="AT191" s="72"/>
      <c r="AW191" s="72"/>
      <c r="AZ191" s="72"/>
    </row>
    <row r="192" spans="1:52">
      <c r="A192" s="131"/>
      <c r="B192" s="72"/>
      <c r="D192" s="72"/>
      <c r="G192" s="72"/>
      <c r="J192" s="72"/>
      <c r="M192" s="72"/>
      <c r="P192" s="72"/>
      <c r="S192" s="72"/>
      <c r="V192" s="72"/>
      <c r="Y192" s="72"/>
      <c r="AB192" s="72"/>
      <c r="AE192" s="72"/>
      <c r="AH192" s="72"/>
      <c r="AK192" s="72"/>
      <c r="AN192" s="72"/>
      <c r="AQ192" s="72"/>
      <c r="AT192" s="72"/>
      <c r="AW192" s="72"/>
      <c r="AZ192" s="72"/>
    </row>
    <row r="193" spans="1:52">
      <c r="A193" s="131"/>
      <c r="B193" s="72"/>
      <c r="D193" s="72"/>
      <c r="G193" s="72"/>
      <c r="J193" s="72"/>
      <c r="M193" s="72"/>
      <c r="P193" s="72"/>
      <c r="S193" s="72"/>
      <c r="V193" s="72"/>
      <c r="Y193" s="72"/>
      <c r="AB193" s="72"/>
      <c r="AE193" s="72"/>
      <c r="AH193" s="72"/>
      <c r="AK193" s="72"/>
      <c r="AN193" s="72"/>
      <c r="AQ193" s="72"/>
      <c r="AT193" s="72"/>
      <c r="AW193" s="72"/>
      <c r="AZ193" s="72"/>
    </row>
    <row r="194" spans="1:52">
      <c r="A194" s="131"/>
      <c r="B194" s="72"/>
      <c r="D194" s="72"/>
      <c r="G194" s="72"/>
      <c r="J194" s="72"/>
      <c r="M194" s="72"/>
      <c r="P194" s="72"/>
      <c r="S194" s="72"/>
      <c r="V194" s="72"/>
      <c r="Y194" s="72"/>
      <c r="AB194" s="72"/>
      <c r="AE194" s="72"/>
      <c r="AH194" s="72"/>
      <c r="AK194" s="72"/>
      <c r="AN194" s="72"/>
      <c r="AQ194" s="72"/>
      <c r="AT194" s="72"/>
      <c r="AW194" s="72"/>
      <c r="AZ194" s="72"/>
    </row>
    <row r="195" spans="1:52">
      <c r="A195" s="131"/>
      <c r="B195" s="72"/>
      <c r="D195" s="72"/>
      <c r="G195" s="72"/>
      <c r="J195" s="72"/>
      <c r="M195" s="72"/>
      <c r="P195" s="72"/>
      <c r="S195" s="72"/>
      <c r="V195" s="72"/>
      <c r="Y195" s="72"/>
      <c r="AB195" s="72"/>
      <c r="AE195" s="72"/>
      <c r="AH195" s="72"/>
      <c r="AK195" s="72"/>
      <c r="AN195" s="72"/>
      <c r="AQ195" s="72"/>
      <c r="AT195" s="72"/>
      <c r="AW195" s="72"/>
      <c r="AZ195" s="72"/>
    </row>
    <row r="196" spans="1:52">
      <c r="A196" s="131"/>
      <c r="B196" s="72"/>
      <c r="D196" s="72"/>
      <c r="G196" s="72"/>
      <c r="J196" s="72"/>
      <c r="M196" s="72"/>
      <c r="P196" s="72"/>
      <c r="S196" s="72"/>
      <c r="V196" s="72"/>
      <c r="Y196" s="72"/>
      <c r="AB196" s="72"/>
      <c r="AE196" s="72"/>
      <c r="AH196" s="72"/>
      <c r="AK196" s="72"/>
      <c r="AN196" s="72"/>
      <c r="AQ196" s="72"/>
      <c r="AT196" s="72"/>
      <c r="AW196" s="72"/>
      <c r="AZ196" s="72"/>
    </row>
    <row r="197" spans="1:52">
      <c r="A197" s="131"/>
      <c r="B197" s="72"/>
      <c r="D197" s="72"/>
      <c r="G197" s="72"/>
      <c r="J197" s="72"/>
      <c r="M197" s="72"/>
      <c r="P197" s="72"/>
      <c r="S197" s="72"/>
      <c r="V197" s="72"/>
      <c r="Y197" s="72"/>
      <c r="AB197" s="72"/>
      <c r="AE197" s="72"/>
      <c r="AH197" s="72"/>
      <c r="AK197" s="72"/>
      <c r="AN197" s="72"/>
      <c r="AQ197" s="72"/>
      <c r="AT197" s="72"/>
      <c r="AW197" s="72"/>
      <c r="AZ197" s="72"/>
    </row>
    <row r="198" spans="1:52">
      <c r="A198" s="131"/>
      <c r="B198" s="72"/>
      <c r="D198" s="72"/>
      <c r="G198" s="72"/>
      <c r="J198" s="72"/>
      <c r="M198" s="72"/>
      <c r="P198" s="72"/>
      <c r="S198" s="72"/>
      <c r="V198" s="72"/>
      <c r="Y198" s="72"/>
      <c r="AB198" s="72"/>
      <c r="AE198" s="72"/>
      <c r="AH198" s="72"/>
      <c r="AK198" s="72"/>
      <c r="AN198" s="72"/>
      <c r="AQ198" s="72"/>
      <c r="AT198" s="72"/>
      <c r="AW198" s="72"/>
      <c r="AZ198" s="72"/>
    </row>
    <row r="199" spans="1:52">
      <c r="A199" s="131"/>
      <c r="B199" s="72"/>
      <c r="D199" s="72"/>
      <c r="G199" s="72"/>
      <c r="J199" s="72"/>
      <c r="M199" s="72"/>
      <c r="P199" s="72"/>
      <c r="S199" s="72"/>
      <c r="V199" s="72"/>
      <c r="Y199" s="72"/>
      <c r="AB199" s="72"/>
      <c r="AE199" s="72"/>
      <c r="AH199" s="72"/>
      <c r="AK199" s="72"/>
      <c r="AN199" s="72"/>
      <c r="AQ199" s="72"/>
      <c r="AT199" s="72"/>
      <c r="AW199" s="72"/>
      <c r="AZ199" s="72"/>
    </row>
    <row r="200" spans="1:52">
      <c r="A200" s="131"/>
      <c r="B200" s="72"/>
      <c r="D200" s="72"/>
      <c r="G200" s="72"/>
      <c r="J200" s="72"/>
      <c r="M200" s="72"/>
      <c r="P200" s="72"/>
      <c r="S200" s="72"/>
      <c r="V200" s="72"/>
      <c r="Y200" s="72"/>
      <c r="AB200" s="72"/>
      <c r="AE200" s="72"/>
      <c r="AH200" s="72"/>
      <c r="AK200" s="72"/>
      <c r="AN200" s="72"/>
      <c r="AQ200" s="72"/>
      <c r="AT200" s="72"/>
      <c r="AW200" s="72"/>
      <c r="AZ200" s="72"/>
    </row>
    <row r="201" spans="1:52">
      <c r="A201" s="131"/>
      <c r="B201" s="72"/>
      <c r="D201" s="72"/>
      <c r="G201" s="72"/>
      <c r="J201" s="72"/>
      <c r="M201" s="72"/>
      <c r="P201" s="72"/>
      <c r="S201" s="72"/>
      <c r="V201" s="72"/>
      <c r="Y201" s="72"/>
      <c r="AB201" s="72"/>
      <c r="AE201" s="72"/>
      <c r="AH201" s="72"/>
      <c r="AK201" s="72"/>
      <c r="AN201" s="72"/>
      <c r="AQ201" s="72"/>
      <c r="AT201" s="72"/>
      <c r="AW201" s="72"/>
      <c r="AZ201" s="72"/>
    </row>
    <row r="202" spans="1:52">
      <c r="A202" s="131"/>
      <c r="B202" s="72"/>
      <c r="D202" s="72"/>
      <c r="G202" s="72"/>
      <c r="J202" s="72"/>
      <c r="M202" s="72"/>
      <c r="P202" s="72"/>
      <c r="S202" s="72"/>
      <c r="V202" s="72"/>
      <c r="Y202" s="72"/>
      <c r="AB202" s="72"/>
      <c r="AE202" s="72"/>
      <c r="AH202" s="72"/>
      <c r="AK202" s="72"/>
      <c r="AN202" s="72"/>
      <c r="AQ202" s="72"/>
      <c r="AT202" s="72"/>
      <c r="AW202" s="72"/>
      <c r="AZ202" s="72"/>
    </row>
    <row r="203" spans="1:52">
      <c r="A203" s="131"/>
      <c r="B203" s="72"/>
      <c r="D203" s="72"/>
      <c r="G203" s="72"/>
      <c r="J203" s="72"/>
      <c r="M203" s="72"/>
      <c r="P203" s="72"/>
      <c r="S203" s="72"/>
      <c r="V203" s="72"/>
      <c r="Y203" s="72"/>
      <c r="AB203" s="72"/>
      <c r="AE203" s="72"/>
      <c r="AH203" s="72"/>
      <c r="AK203" s="72"/>
      <c r="AN203" s="72"/>
      <c r="AQ203" s="72"/>
      <c r="AT203" s="72"/>
      <c r="AW203" s="72"/>
      <c r="AZ203" s="72"/>
    </row>
    <row r="204" spans="1:52">
      <c r="A204" s="131"/>
      <c r="B204" s="72"/>
      <c r="D204" s="72"/>
      <c r="G204" s="72"/>
      <c r="J204" s="72"/>
      <c r="M204" s="72"/>
      <c r="P204" s="72"/>
      <c r="S204" s="72"/>
      <c r="V204" s="72"/>
      <c r="Y204" s="72"/>
      <c r="AB204" s="72"/>
      <c r="AE204" s="72"/>
      <c r="AH204" s="72"/>
      <c r="AK204" s="72"/>
      <c r="AN204" s="72"/>
      <c r="AQ204" s="72"/>
      <c r="AT204" s="72"/>
      <c r="AW204" s="72"/>
      <c r="AZ204" s="72"/>
    </row>
    <row r="205" spans="1:52">
      <c r="A205" s="131"/>
      <c r="B205" s="72"/>
      <c r="D205" s="72"/>
      <c r="G205" s="72"/>
      <c r="J205" s="72"/>
      <c r="M205" s="72"/>
      <c r="P205" s="72"/>
      <c r="S205" s="72"/>
      <c r="V205" s="72"/>
      <c r="Y205" s="72"/>
      <c r="AB205" s="72"/>
      <c r="AE205" s="72"/>
      <c r="AH205" s="72"/>
      <c r="AK205" s="72"/>
      <c r="AN205" s="72"/>
      <c r="AQ205" s="72"/>
      <c r="AT205" s="72"/>
      <c r="AW205" s="72"/>
      <c r="AZ205" s="72"/>
    </row>
    <row r="206" spans="1:52">
      <c r="A206" s="131"/>
      <c r="B206" s="72"/>
      <c r="D206" s="72"/>
      <c r="G206" s="72"/>
      <c r="J206" s="72"/>
      <c r="M206" s="72"/>
      <c r="P206" s="72"/>
      <c r="S206" s="72"/>
      <c r="V206" s="72"/>
      <c r="Y206" s="72"/>
      <c r="AB206" s="72"/>
      <c r="AE206" s="72"/>
      <c r="AH206" s="72"/>
      <c r="AK206" s="72"/>
      <c r="AN206" s="72"/>
      <c r="AQ206" s="72"/>
      <c r="AT206" s="72"/>
      <c r="AW206" s="72"/>
      <c r="AZ206" s="72"/>
    </row>
    <row r="207" spans="1:52">
      <c r="A207" s="131"/>
      <c r="B207" s="72"/>
      <c r="D207" s="72"/>
      <c r="G207" s="72"/>
      <c r="J207" s="72"/>
      <c r="M207" s="72"/>
      <c r="P207" s="72"/>
      <c r="S207" s="72"/>
      <c r="V207" s="72"/>
      <c r="Y207" s="72"/>
      <c r="AB207" s="72"/>
      <c r="AE207" s="72"/>
      <c r="AH207" s="72"/>
      <c r="AK207" s="72"/>
      <c r="AN207" s="72"/>
      <c r="AQ207" s="72"/>
      <c r="AT207" s="72"/>
      <c r="AW207" s="72"/>
      <c r="AZ207" s="72"/>
    </row>
    <row r="208" spans="1:52">
      <c r="A208" s="131"/>
      <c r="B208" s="72"/>
      <c r="D208" s="72"/>
      <c r="G208" s="72"/>
      <c r="J208" s="72"/>
      <c r="M208" s="72"/>
      <c r="P208" s="72"/>
      <c r="S208" s="72"/>
      <c r="V208" s="72"/>
      <c r="Y208" s="72"/>
      <c r="AB208" s="72"/>
      <c r="AE208" s="72"/>
      <c r="AH208" s="72"/>
      <c r="AK208" s="72"/>
      <c r="AN208" s="72"/>
      <c r="AQ208" s="72"/>
      <c r="AT208" s="72"/>
      <c r="AW208" s="72"/>
      <c r="AZ208" s="72"/>
    </row>
    <row r="209" spans="1:52">
      <c r="A209" s="131"/>
      <c r="B209" s="72"/>
      <c r="D209" s="72"/>
      <c r="G209" s="72"/>
      <c r="J209" s="72"/>
      <c r="M209" s="72"/>
      <c r="P209" s="72"/>
      <c r="S209" s="72"/>
      <c r="V209" s="72"/>
      <c r="Y209" s="72"/>
      <c r="AB209" s="72"/>
      <c r="AE209" s="72"/>
      <c r="AH209" s="72"/>
      <c r="AK209" s="72"/>
      <c r="AN209" s="72"/>
      <c r="AQ209" s="72"/>
      <c r="AT209" s="72"/>
      <c r="AW209" s="72"/>
      <c r="AZ209" s="72"/>
    </row>
    <row r="210" spans="1:52">
      <c r="A210" s="131"/>
      <c r="B210" s="72"/>
      <c r="D210" s="72"/>
      <c r="G210" s="72"/>
      <c r="J210" s="72"/>
      <c r="M210" s="72"/>
      <c r="P210" s="72"/>
      <c r="S210" s="72"/>
      <c r="V210" s="72"/>
      <c r="Y210" s="72"/>
      <c r="AB210" s="72"/>
      <c r="AE210" s="72"/>
      <c r="AH210" s="72"/>
      <c r="AK210" s="72"/>
      <c r="AN210" s="72"/>
      <c r="AQ210" s="72"/>
      <c r="AT210" s="72"/>
      <c r="AW210" s="72"/>
      <c r="AZ210" s="72"/>
    </row>
    <row r="211" spans="1:52">
      <c r="A211" s="131"/>
      <c r="B211" s="72"/>
      <c r="D211" s="72"/>
      <c r="G211" s="72"/>
      <c r="J211" s="72"/>
      <c r="M211" s="72"/>
      <c r="P211" s="72"/>
      <c r="S211" s="72"/>
      <c r="V211" s="72"/>
      <c r="Y211" s="72"/>
      <c r="AB211" s="72"/>
      <c r="AE211" s="72"/>
      <c r="AH211" s="72"/>
      <c r="AK211" s="72"/>
      <c r="AN211" s="72"/>
      <c r="AQ211" s="72"/>
      <c r="AT211" s="72"/>
      <c r="AW211" s="72"/>
      <c r="AZ211" s="72"/>
    </row>
    <row r="212" spans="1:52">
      <c r="A212" s="131"/>
      <c r="B212" s="72"/>
      <c r="D212" s="72"/>
      <c r="G212" s="72"/>
      <c r="J212" s="72"/>
      <c r="M212" s="72"/>
      <c r="P212" s="72"/>
      <c r="S212" s="72"/>
      <c r="V212" s="72"/>
      <c r="Y212" s="72"/>
      <c r="AB212" s="72"/>
      <c r="AE212" s="72"/>
      <c r="AH212" s="72"/>
      <c r="AK212" s="72"/>
      <c r="AN212" s="72"/>
      <c r="AQ212" s="72"/>
      <c r="AT212" s="72"/>
      <c r="AW212" s="72"/>
      <c r="AZ212" s="72"/>
    </row>
    <row r="213" spans="1:52">
      <c r="A213" s="131"/>
      <c r="B213" s="72"/>
      <c r="D213" s="72"/>
      <c r="G213" s="72"/>
      <c r="J213" s="72"/>
      <c r="M213" s="72"/>
      <c r="P213" s="72"/>
      <c r="S213" s="72"/>
      <c r="V213" s="72"/>
      <c r="Y213" s="72"/>
      <c r="AB213" s="72"/>
      <c r="AE213" s="72"/>
      <c r="AH213" s="72"/>
      <c r="AK213" s="72"/>
      <c r="AN213" s="72"/>
      <c r="AQ213" s="72"/>
      <c r="AT213" s="72"/>
      <c r="AW213" s="72"/>
      <c r="AZ213" s="72"/>
    </row>
    <row r="214" spans="1:52">
      <c r="A214" s="131"/>
      <c r="B214" s="72"/>
      <c r="D214" s="72"/>
      <c r="G214" s="72"/>
      <c r="J214" s="72"/>
      <c r="M214" s="72"/>
      <c r="P214" s="72"/>
      <c r="S214" s="72"/>
      <c r="V214" s="72"/>
      <c r="Y214" s="72"/>
      <c r="AB214" s="72"/>
      <c r="AE214" s="72"/>
      <c r="AH214" s="72"/>
      <c r="AK214" s="72"/>
      <c r="AN214" s="72"/>
      <c r="AQ214" s="72"/>
      <c r="AT214" s="72"/>
      <c r="AW214" s="72"/>
      <c r="AZ214" s="72"/>
    </row>
    <row r="215" spans="1:52">
      <c r="A215" s="131"/>
      <c r="B215" s="72"/>
      <c r="D215" s="72"/>
      <c r="G215" s="72"/>
      <c r="J215" s="72"/>
      <c r="M215" s="72"/>
      <c r="P215" s="72"/>
      <c r="S215" s="72"/>
      <c r="V215" s="72"/>
      <c r="Y215" s="72"/>
      <c r="AB215" s="72"/>
      <c r="AE215" s="72"/>
      <c r="AH215" s="72"/>
      <c r="AK215" s="72"/>
      <c r="AN215" s="72"/>
      <c r="AQ215" s="72"/>
      <c r="AT215" s="72"/>
      <c r="AW215" s="72"/>
      <c r="AZ215" s="72"/>
    </row>
    <row r="216" spans="1:52">
      <c r="A216" s="131"/>
      <c r="B216" s="72"/>
      <c r="D216" s="72"/>
      <c r="G216" s="72"/>
      <c r="J216" s="72"/>
      <c r="M216" s="72"/>
      <c r="P216" s="72"/>
      <c r="S216" s="72"/>
      <c r="V216" s="72"/>
      <c r="Y216" s="72"/>
      <c r="AB216" s="72"/>
      <c r="AE216" s="72"/>
      <c r="AH216" s="72"/>
      <c r="AK216" s="72"/>
      <c r="AN216" s="72"/>
      <c r="AQ216" s="72"/>
      <c r="AT216" s="72"/>
      <c r="AW216" s="72"/>
      <c r="AZ216" s="72"/>
    </row>
    <row r="217" spans="1:52">
      <c r="A217" s="131"/>
      <c r="B217" s="72"/>
      <c r="D217" s="72"/>
      <c r="G217" s="72"/>
      <c r="J217" s="72"/>
      <c r="M217" s="72"/>
      <c r="P217" s="72"/>
      <c r="S217" s="72"/>
      <c r="V217" s="72"/>
      <c r="Y217" s="72"/>
      <c r="AB217" s="72"/>
      <c r="AE217" s="72"/>
      <c r="AH217" s="72"/>
      <c r="AK217" s="72"/>
      <c r="AN217" s="72"/>
      <c r="AQ217" s="72"/>
      <c r="AT217" s="72"/>
      <c r="AW217" s="72"/>
      <c r="AZ217" s="72"/>
    </row>
    <row r="218" spans="1:52">
      <c r="A218" s="131"/>
      <c r="B218" s="72"/>
      <c r="D218" s="72"/>
      <c r="G218" s="72"/>
      <c r="J218" s="72"/>
      <c r="M218" s="72"/>
      <c r="P218" s="72"/>
      <c r="S218" s="72"/>
      <c r="V218" s="72"/>
      <c r="Y218" s="72"/>
      <c r="AB218" s="72"/>
      <c r="AE218" s="72"/>
      <c r="AH218" s="72"/>
      <c r="AK218" s="72"/>
      <c r="AN218" s="72"/>
      <c r="AQ218" s="72"/>
      <c r="AT218" s="72"/>
      <c r="AW218" s="72"/>
      <c r="AZ218" s="72"/>
    </row>
    <row r="219" spans="1:52">
      <c r="A219" s="131"/>
      <c r="B219" s="72"/>
      <c r="D219" s="72"/>
      <c r="G219" s="72"/>
      <c r="J219" s="72"/>
      <c r="M219" s="72"/>
      <c r="P219" s="72"/>
      <c r="S219" s="72"/>
      <c r="V219" s="72"/>
      <c r="Y219" s="72"/>
      <c r="AB219" s="72"/>
      <c r="AE219" s="72"/>
      <c r="AH219" s="72"/>
      <c r="AK219" s="72"/>
      <c r="AN219" s="72"/>
      <c r="AQ219" s="72"/>
      <c r="AT219" s="72"/>
      <c r="AW219" s="72"/>
      <c r="AZ219" s="72"/>
    </row>
    <row r="220" spans="1:52">
      <c r="A220" s="131"/>
      <c r="B220" s="72"/>
      <c r="D220" s="72"/>
      <c r="G220" s="72"/>
      <c r="J220" s="72"/>
      <c r="M220" s="72"/>
      <c r="P220" s="72"/>
      <c r="S220" s="72"/>
      <c r="V220" s="72"/>
      <c r="Y220" s="72"/>
      <c r="AB220" s="72"/>
      <c r="AE220" s="72"/>
      <c r="AH220" s="72"/>
      <c r="AK220" s="72"/>
      <c r="AN220" s="72"/>
      <c r="AQ220" s="72"/>
      <c r="AT220" s="72"/>
      <c r="AW220" s="72"/>
      <c r="AZ220" s="72"/>
    </row>
    <row r="221" spans="1:52">
      <c r="A221" s="131"/>
      <c r="B221" s="72"/>
      <c r="D221" s="72"/>
      <c r="G221" s="72"/>
      <c r="J221" s="72"/>
      <c r="M221" s="72"/>
      <c r="P221" s="72"/>
      <c r="S221" s="72"/>
      <c r="V221" s="72"/>
      <c r="Y221" s="72"/>
      <c r="AB221" s="72"/>
      <c r="AE221" s="72"/>
      <c r="AH221" s="72"/>
      <c r="AK221" s="72"/>
      <c r="AN221" s="72"/>
      <c r="AQ221" s="72"/>
      <c r="AT221" s="72"/>
      <c r="AW221" s="72"/>
      <c r="AZ221" s="72"/>
    </row>
    <row r="222" spans="1:52">
      <c r="A222" s="131"/>
      <c r="B222" s="72"/>
      <c r="D222" s="72"/>
      <c r="G222" s="72"/>
      <c r="J222" s="72"/>
      <c r="M222" s="72"/>
      <c r="P222" s="72"/>
      <c r="S222" s="72"/>
      <c r="V222" s="72"/>
      <c r="Y222" s="72"/>
      <c r="AB222" s="72"/>
      <c r="AE222" s="72"/>
      <c r="AH222" s="72"/>
      <c r="AK222" s="72"/>
      <c r="AN222" s="72"/>
      <c r="AQ222" s="72"/>
      <c r="AT222" s="72"/>
      <c r="AW222" s="72"/>
      <c r="AZ222" s="72"/>
    </row>
    <row r="223" spans="1:52">
      <c r="A223" s="131"/>
      <c r="B223" s="72"/>
      <c r="D223" s="72"/>
      <c r="G223" s="72"/>
      <c r="J223" s="72"/>
      <c r="M223" s="72"/>
      <c r="P223" s="72"/>
      <c r="S223" s="72"/>
      <c r="V223" s="72"/>
      <c r="Y223" s="72"/>
      <c r="AB223" s="72"/>
      <c r="AE223" s="72"/>
      <c r="AH223" s="72"/>
      <c r="AK223" s="72"/>
      <c r="AN223" s="72"/>
      <c r="AQ223" s="72"/>
      <c r="AT223" s="72"/>
      <c r="AW223" s="72"/>
      <c r="AZ223" s="72"/>
    </row>
    <row r="224" spans="1:52">
      <c r="A224" s="131"/>
      <c r="B224" s="72"/>
      <c r="D224" s="72"/>
      <c r="G224" s="72"/>
      <c r="J224" s="72"/>
      <c r="M224" s="72"/>
      <c r="P224" s="72"/>
      <c r="S224" s="72"/>
      <c r="V224" s="72"/>
      <c r="Y224" s="72"/>
      <c r="AB224" s="72"/>
      <c r="AE224" s="72"/>
      <c r="AH224" s="72"/>
      <c r="AK224" s="72"/>
      <c r="AN224" s="72"/>
      <c r="AQ224" s="72"/>
      <c r="AT224" s="72"/>
      <c r="AW224" s="72"/>
      <c r="AZ224" s="72"/>
    </row>
    <row r="225" spans="1:52">
      <c r="A225" s="131"/>
      <c r="B225" s="72"/>
      <c r="D225" s="72"/>
      <c r="G225" s="72"/>
      <c r="J225" s="72"/>
      <c r="M225" s="72"/>
      <c r="P225" s="72"/>
      <c r="S225" s="72"/>
      <c r="V225" s="72"/>
      <c r="Y225" s="72"/>
      <c r="AB225" s="72"/>
      <c r="AE225" s="72"/>
      <c r="AH225" s="72"/>
      <c r="AK225" s="72"/>
      <c r="AN225" s="72"/>
      <c r="AQ225" s="72"/>
      <c r="AT225" s="72"/>
      <c r="AW225" s="72"/>
      <c r="AZ225" s="72"/>
    </row>
    <row r="226" spans="1:52">
      <c r="A226" s="131"/>
      <c r="B226" s="72"/>
      <c r="D226" s="72"/>
      <c r="G226" s="72"/>
      <c r="J226" s="72"/>
      <c r="M226" s="72"/>
      <c r="P226" s="72"/>
      <c r="S226" s="72"/>
      <c r="V226" s="72"/>
      <c r="Y226" s="72"/>
      <c r="AB226" s="72"/>
      <c r="AE226" s="72"/>
      <c r="AH226" s="72"/>
      <c r="AK226" s="72"/>
      <c r="AN226" s="72"/>
      <c r="AQ226" s="72"/>
      <c r="AT226" s="72"/>
      <c r="AW226" s="72"/>
      <c r="AZ226" s="72"/>
    </row>
    <row r="227" spans="1:52">
      <c r="A227" s="131"/>
      <c r="B227" s="72"/>
      <c r="D227" s="72"/>
      <c r="G227" s="72"/>
      <c r="J227" s="72"/>
      <c r="M227" s="72"/>
      <c r="P227" s="72"/>
      <c r="S227" s="72"/>
      <c r="V227" s="72"/>
      <c r="Y227" s="72"/>
      <c r="AB227" s="72"/>
      <c r="AE227" s="72"/>
      <c r="AH227" s="72"/>
      <c r="AK227" s="72"/>
      <c r="AN227" s="72"/>
      <c r="AQ227" s="72"/>
      <c r="AT227" s="72"/>
      <c r="AW227" s="72"/>
      <c r="AZ227" s="72"/>
    </row>
    <row r="228" spans="1:52">
      <c r="A228" s="131"/>
      <c r="B228" s="72"/>
      <c r="D228" s="72"/>
      <c r="G228" s="72"/>
      <c r="J228" s="72"/>
      <c r="M228" s="72"/>
      <c r="P228" s="72"/>
      <c r="S228" s="72"/>
      <c r="V228" s="72"/>
      <c r="Y228" s="72"/>
      <c r="AB228" s="72"/>
      <c r="AE228" s="72"/>
      <c r="AH228" s="72"/>
      <c r="AK228" s="72"/>
      <c r="AN228" s="72"/>
      <c r="AQ228" s="72"/>
      <c r="AT228" s="72"/>
      <c r="AW228" s="72"/>
      <c r="AZ228" s="72"/>
    </row>
    <row r="229" spans="1:52">
      <c r="A229" s="131"/>
      <c r="B229" s="72"/>
      <c r="D229" s="72"/>
      <c r="G229" s="72"/>
      <c r="J229" s="72"/>
      <c r="M229" s="72"/>
      <c r="P229" s="72"/>
      <c r="S229" s="72"/>
      <c r="V229" s="72"/>
      <c r="Y229" s="72"/>
      <c r="AB229" s="72"/>
      <c r="AE229" s="72"/>
      <c r="AH229" s="72"/>
      <c r="AK229" s="72"/>
      <c r="AN229" s="72"/>
      <c r="AQ229" s="72"/>
      <c r="AT229" s="72"/>
      <c r="AW229" s="72"/>
      <c r="AZ229" s="72"/>
    </row>
    <row r="230" spans="1:52">
      <c r="A230" s="131"/>
      <c r="B230" s="72"/>
      <c r="D230" s="72"/>
      <c r="G230" s="72"/>
      <c r="J230" s="72"/>
      <c r="M230" s="72"/>
      <c r="P230" s="72"/>
      <c r="S230" s="72"/>
      <c r="V230" s="72"/>
      <c r="Y230" s="72"/>
      <c r="AB230" s="72"/>
      <c r="AE230" s="72"/>
      <c r="AH230" s="72"/>
      <c r="AK230" s="72"/>
      <c r="AN230" s="72"/>
      <c r="AQ230" s="72"/>
      <c r="AT230" s="72"/>
      <c r="AW230" s="72"/>
      <c r="AZ230" s="72"/>
    </row>
    <row r="231" spans="1:52">
      <c r="A231" s="131"/>
      <c r="B231" s="72"/>
      <c r="D231" s="72"/>
      <c r="G231" s="72"/>
      <c r="J231" s="72"/>
      <c r="M231" s="72"/>
      <c r="P231" s="72"/>
      <c r="S231" s="72"/>
      <c r="V231" s="72"/>
      <c r="Y231" s="72"/>
      <c r="AB231" s="72"/>
      <c r="AE231" s="72"/>
      <c r="AH231" s="72"/>
      <c r="AK231" s="72"/>
      <c r="AN231" s="72"/>
      <c r="AQ231" s="72"/>
      <c r="AT231" s="72"/>
      <c r="AW231" s="72"/>
      <c r="AZ231" s="72"/>
    </row>
    <row r="232" spans="1:52">
      <c r="A232" s="131"/>
      <c r="B232" s="72"/>
      <c r="D232" s="72"/>
      <c r="G232" s="72"/>
      <c r="J232" s="72"/>
      <c r="M232" s="72"/>
      <c r="P232" s="72"/>
      <c r="S232" s="72"/>
      <c r="V232" s="72"/>
      <c r="Y232" s="72"/>
      <c r="AB232" s="72"/>
      <c r="AE232" s="72"/>
      <c r="AH232" s="72"/>
      <c r="AK232" s="72"/>
      <c r="AN232" s="72"/>
      <c r="AQ232" s="72"/>
      <c r="AT232" s="72"/>
      <c r="AW232" s="72"/>
      <c r="AZ232" s="72"/>
    </row>
    <row r="233" spans="1:52">
      <c r="A233" s="131"/>
      <c r="B233" s="72"/>
      <c r="D233" s="72"/>
      <c r="G233" s="72"/>
      <c r="J233" s="72"/>
      <c r="M233" s="72"/>
      <c r="P233" s="72"/>
      <c r="S233" s="72"/>
      <c r="V233" s="72"/>
      <c r="Y233" s="72"/>
      <c r="AB233" s="72"/>
      <c r="AE233" s="72"/>
      <c r="AH233" s="72"/>
      <c r="AK233" s="72"/>
      <c r="AN233" s="72"/>
      <c r="AQ233" s="72"/>
      <c r="AT233" s="72"/>
      <c r="AW233" s="72"/>
      <c r="AZ233" s="72"/>
    </row>
    <row r="234" spans="1:52">
      <c r="A234" s="131"/>
      <c r="B234" s="72"/>
      <c r="D234" s="72"/>
      <c r="G234" s="72"/>
      <c r="J234" s="72"/>
      <c r="M234" s="72"/>
      <c r="P234" s="72"/>
      <c r="S234" s="72"/>
      <c r="V234" s="72"/>
      <c r="Y234" s="72"/>
      <c r="AB234" s="72"/>
      <c r="AE234" s="72"/>
      <c r="AH234" s="72"/>
      <c r="AK234" s="72"/>
      <c r="AN234" s="72"/>
      <c r="AQ234" s="72"/>
      <c r="AT234" s="72"/>
      <c r="AW234" s="72"/>
      <c r="AZ234" s="72"/>
    </row>
    <row r="235" spans="1:52">
      <c r="A235" s="131"/>
      <c r="B235" s="72"/>
      <c r="D235" s="72"/>
      <c r="G235" s="72"/>
      <c r="J235" s="72"/>
      <c r="M235" s="72"/>
      <c r="P235" s="72"/>
      <c r="S235" s="72"/>
      <c r="V235" s="72"/>
      <c r="Y235" s="72"/>
      <c r="AB235" s="72"/>
      <c r="AE235" s="72"/>
      <c r="AH235" s="72"/>
      <c r="AK235" s="72"/>
      <c r="AN235" s="72"/>
      <c r="AQ235" s="72"/>
      <c r="AT235" s="72"/>
      <c r="AW235" s="72"/>
      <c r="AZ235" s="72"/>
    </row>
    <row r="236" spans="1:52">
      <c r="A236" s="131"/>
      <c r="B236" s="72"/>
      <c r="D236" s="72"/>
      <c r="G236" s="72"/>
      <c r="J236" s="72"/>
      <c r="M236" s="72"/>
      <c r="P236" s="72"/>
      <c r="S236" s="72"/>
      <c r="V236" s="72"/>
      <c r="Y236" s="72"/>
      <c r="AB236" s="72"/>
      <c r="AE236" s="72"/>
      <c r="AH236" s="72"/>
      <c r="AK236" s="72"/>
      <c r="AN236" s="72"/>
      <c r="AQ236" s="72"/>
      <c r="AT236" s="72"/>
      <c r="AW236" s="72"/>
      <c r="AZ236" s="72"/>
    </row>
    <row r="237" spans="1:52">
      <c r="A237" s="131"/>
      <c r="B237" s="72"/>
      <c r="D237" s="72"/>
      <c r="G237" s="72"/>
      <c r="J237" s="72"/>
      <c r="M237" s="72"/>
      <c r="P237" s="72"/>
      <c r="S237" s="72"/>
      <c r="V237" s="72"/>
      <c r="Y237" s="72"/>
      <c r="AB237" s="72"/>
      <c r="AE237" s="72"/>
      <c r="AH237" s="72"/>
      <c r="AK237" s="72"/>
      <c r="AN237" s="72"/>
      <c r="AQ237" s="72"/>
      <c r="AT237" s="72"/>
      <c r="AW237" s="72"/>
      <c r="AZ237" s="72"/>
    </row>
    <row r="238" spans="1:52">
      <c r="A238" s="131"/>
      <c r="B238" s="72"/>
      <c r="D238" s="72"/>
      <c r="G238" s="72"/>
      <c r="J238" s="72"/>
      <c r="M238" s="72"/>
      <c r="P238" s="72"/>
      <c r="S238" s="72"/>
      <c r="V238" s="72"/>
      <c r="Y238" s="72"/>
      <c r="AB238" s="72"/>
      <c r="AE238" s="72"/>
      <c r="AH238" s="72"/>
      <c r="AK238" s="72"/>
      <c r="AN238" s="72"/>
      <c r="AQ238" s="72"/>
      <c r="AT238" s="72"/>
      <c r="AW238" s="72"/>
      <c r="AZ238" s="72"/>
    </row>
    <row r="239" spans="1:52">
      <c r="A239" s="131"/>
      <c r="B239" s="72"/>
      <c r="D239" s="72"/>
      <c r="G239" s="72"/>
      <c r="J239" s="72"/>
      <c r="M239" s="72"/>
      <c r="P239" s="72"/>
      <c r="S239" s="72"/>
      <c r="V239" s="72"/>
      <c r="Y239" s="72"/>
      <c r="AB239" s="72"/>
      <c r="AE239" s="72"/>
      <c r="AH239" s="72"/>
      <c r="AK239" s="72"/>
      <c r="AN239" s="72"/>
      <c r="AQ239" s="72"/>
      <c r="AT239" s="72"/>
      <c r="AW239" s="72"/>
      <c r="AZ239" s="72"/>
    </row>
    <row r="240" spans="1:52">
      <c r="A240" s="131"/>
      <c r="B240" s="72"/>
      <c r="D240" s="72"/>
      <c r="G240" s="72"/>
      <c r="J240" s="72"/>
      <c r="M240" s="72"/>
      <c r="P240" s="72"/>
      <c r="S240" s="72"/>
      <c r="V240" s="72"/>
      <c r="Y240" s="72"/>
      <c r="AB240" s="72"/>
      <c r="AE240" s="72"/>
      <c r="AH240" s="72"/>
      <c r="AK240" s="72"/>
      <c r="AN240" s="72"/>
      <c r="AQ240" s="72"/>
      <c r="AT240" s="72"/>
      <c r="AW240" s="72"/>
      <c r="AZ240" s="72"/>
    </row>
    <row r="241" spans="1:52">
      <c r="A241" s="131"/>
      <c r="B241" s="72"/>
      <c r="D241" s="72"/>
      <c r="G241" s="72"/>
      <c r="J241" s="72"/>
      <c r="M241" s="72"/>
      <c r="P241" s="72"/>
      <c r="S241" s="72"/>
      <c r="V241" s="72"/>
      <c r="Y241" s="72"/>
      <c r="AB241" s="72"/>
      <c r="AE241" s="72"/>
      <c r="AH241" s="72"/>
      <c r="AK241" s="72"/>
      <c r="AN241" s="72"/>
      <c r="AQ241" s="72"/>
      <c r="AT241" s="72"/>
      <c r="AW241" s="72"/>
      <c r="AZ241" s="72"/>
    </row>
    <row r="242" spans="1:52">
      <c r="A242" s="131"/>
      <c r="B242" s="72"/>
      <c r="D242" s="72"/>
      <c r="G242" s="72"/>
      <c r="J242" s="72"/>
      <c r="M242" s="72"/>
      <c r="P242" s="72"/>
      <c r="S242" s="72"/>
      <c r="V242" s="72"/>
      <c r="Y242" s="72"/>
      <c r="AB242" s="72"/>
      <c r="AE242" s="72"/>
      <c r="AH242" s="72"/>
      <c r="AK242" s="72"/>
      <c r="AN242" s="72"/>
      <c r="AQ242" s="72"/>
      <c r="AT242" s="72"/>
      <c r="AW242" s="72"/>
      <c r="AZ242" s="72"/>
    </row>
    <row r="243" spans="1:52">
      <c r="A243" s="131"/>
      <c r="B243" s="72"/>
      <c r="D243" s="72"/>
      <c r="G243" s="72"/>
      <c r="J243" s="72"/>
      <c r="M243" s="72"/>
      <c r="P243" s="72"/>
      <c r="S243" s="72"/>
      <c r="V243" s="72"/>
      <c r="Y243" s="72"/>
      <c r="AB243" s="72"/>
      <c r="AE243" s="72"/>
      <c r="AH243" s="72"/>
      <c r="AK243" s="72"/>
      <c r="AN243" s="72"/>
      <c r="AQ243" s="72"/>
      <c r="AT243" s="72"/>
      <c r="AW243" s="72"/>
      <c r="AZ243" s="72"/>
    </row>
    <row r="244" spans="1:52">
      <c r="A244" s="131"/>
      <c r="B244" s="72"/>
      <c r="D244" s="72"/>
      <c r="G244" s="72"/>
      <c r="J244" s="72"/>
      <c r="M244" s="72"/>
      <c r="P244" s="72"/>
      <c r="S244" s="72"/>
      <c r="V244" s="72"/>
      <c r="Y244" s="72"/>
      <c r="AB244" s="72"/>
      <c r="AE244" s="72"/>
      <c r="AH244" s="72"/>
      <c r="AK244" s="72"/>
      <c r="AN244" s="72"/>
      <c r="AQ244" s="72"/>
      <c r="AT244" s="72"/>
      <c r="AW244" s="72"/>
      <c r="AZ244" s="72"/>
    </row>
    <row r="245" spans="1:52">
      <c r="A245" s="131"/>
      <c r="B245" s="72"/>
      <c r="D245" s="72"/>
      <c r="G245" s="72"/>
      <c r="J245" s="72"/>
      <c r="M245" s="72"/>
      <c r="P245" s="72"/>
      <c r="S245" s="72"/>
      <c r="V245" s="72"/>
      <c r="Y245" s="72"/>
      <c r="AB245" s="72"/>
      <c r="AE245" s="72"/>
      <c r="AH245" s="72"/>
      <c r="AK245" s="72"/>
      <c r="AN245" s="72"/>
      <c r="AQ245" s="72"/>
      <c r="AT245" s="72"/>
      <c r="AW245" s="72"/>
      <c r="AZ245" s="72"/>
    </row>
    <row r="246" spans="1:52">
      <c r="A246" s="131"/>
      <c r="B246" s="72"/>
      <c r="D246" s="72"/>
      <c r="G246" s="72"/>
      <c r="J246" s="72"/>
      <c r="M246" s="72"/>
      <c r="P246" s="72"/>
      <c r="S246" s="72"/>
      <c r="V246" s="72"/>
      <c r="Y246" s="72"/>
      <c r="AB246" s="72"/>
      <c r="AE246" s="72"/>
      <c r="AH246" s="72"/>
      <c r="AK246" s="72"/>
      <c r="AN246" s="72"/>
      <c r="AQ246" s="72"/>
      <c r="AT246" s="72"/>
      <c r="AW246" s="72"/>
      <c r="AZ246" s="72"/>
    </row>
    <row r="247" spans="1:52">
      <c r="A247" s="131"/>
      <c r="B247" s="72"/>
      <c r="D247" s="72"/>
      <c r="G247" s="72"/>
      <c r="J247" s="72"/>
      <c r="M247" s="72"/>
      <c r="P247" s="72"/>
      <c r="S247" s="72"/>
      <c r="V247" s="72"/>
      <c r="Y247" s="72"/>
      <c r="AB247" s="72"/>
      <c r="AE247" s="72"/>
      <c r="AH247" s="72"/>
      <c r="AK247" s="72"/>
      <c r="AN247" s="72"/>
      <c r="AQ247" s="72"/>
      <c r="AT247" s="72"/>
      <c r="AW247" s="72"/>
      <c r="AZ247" s="72"/>
    </row>
    <row r="248" spans="1:52">
      <c r="A248" s="131"/>
      <c r="B248" s="72"/>
      <c r="D248" s="72"/>
      <c r="G248" s="72"/>
      <c r="J248" s="72"/>
      <c r="M248" s="72"/>
      <c r="P248" s="72"/>
      <c r="S248" s="72"/>
      <c r="V248" s="72"/>
      <c r="Y248" s="72"/>
      <c r="AB248" s="72"/>
      <c r="AE248" s="72"/>
      <c r="AH248" s="72"/>
      <c r="AK248" s="72"/>
      <c r="AN248" s="72"/>
      <c r="AQ248" s="72"/>
      <c r="AT248" s="72"/>
      <c r="AW248" s="72"/>
      <c r="AZ248" s="72"/>
    </row>
    <row r="249" spans="1:52">
      <c r="A249" s="131"/>
      <c r="B249" s="72"/>
      <c r="D249" s="72"/>
      <c r="G249" s="72"/>
      <c r="J249" s="72"/>
      <c r="M249" s="72"/>
      <c r="P249" s="72"/>
      <c r="S249" s="72"/>
      <c r="V249" s="72"/>
      <c r="Y249" s="72"/>
      <c r="AB249" s="72"/>
      <c r="AE249" s="72"/>
      <c r="AH249" s="72"/>
      <c r="AK249" s="72"/>
      <c r="AN249" s="72"/>
      <c r="AQ249" s="72"/>
      <c r="AT249" s="72"/>
      <c r="AW249" s="72"/>
      <c r="AZ249" s="72"/>
    </row>
    <row r="250" spans="1:52">
      <c r="A250" s="131"/>
      <c r="B250" s="72"/>
      <c r="D250" s="72"/>
      <c r="G250" s="72"/>
      <c r="J250" s="72"/>
      <c r="M250" s="72"/>
      <c r="P250" s="72"/>
      <c r="S250" s="72"/>
      <c r="V250" s="72"/>
      <c r="Y250" s="72"/>
      <c r="AB250" s="72"/>
      <c r="AE250" s="72"/>
      <c r="AH250" s="72"/>
      <c r="AK250" s="72"/>
      <c r="AN250" s="72"/>
      <c r="AQ250" s="72"/>
      <c r="AT250" s="72"/>
      <c r="AW250" s="72"/>
      <c r="AZ250" s="72"/>
    </row>
    <row r="251" spans="1:52">
      <c r="A251" s="131"/>
      <c r="B251" s="72"/>
      <c r="D251" s="72"/>
      <c r="G251" s="72"/>
      <c r="J251" s="72"/>
      <c r="M251" s="72"/>
      <c r="P251" s="72"/>
      <c r="S251" s="72"/>
      <c r="V251" s="72"/>
      <c r="Y251" s="72"/>
      <c r="AB251" s="72"/>
      <c r="AE251" s="72"/>
      <c r="AH251" s="72"/>
      <c r="AK251" s="72"/>
      <c r="AN251" s="72"/>
      <c r="AQ251" s="72"/>
      <c r="AT251" s="72"/>
      <c r="AW251" s="72"/>
      <c r="AZ251" s="72"/>
    </row>
    <row r="252" spans="1:52">
      <c r="A252" s="131"/>
      <c r="B252" s="72"/>
      <c r="D252" s="72"/>
      <c r="G252" s="72"/>
      <c r="J252" s="72"/>
      <c r="M252" s="72"/>
      <c r="P252" s="72"/>
      <c r="S252" s="72"/>
      <c r="V252" s="72"/>
      <c r="Y252" s="72"/>
      <c r="AB252" s="72"/>
      <c r="AE252" s="72"/>
      <c r="AH252" s="72"/>
      <c r="AK252" s="72"/>
      <c r="AN252" s="72"/>
      <c r="AQ252" s="72"/>
      <c r="AT252" s="72"/>
      <c r="AW252" s="72"/>
      <c r="AZ252" s="72"/>
    </row>
    <row r="253" spans="1:52">
      <c r="A253" s="131"/>
      <c r="B253" s="72"/>
      <c r="D253" s="72"/>
      <c r="G253" s="72"/>
      <c r="J253" s="72"/>
      <c r="M253" s="72"/>
      <c r="P253" s="72"/>
      <c r="S253" s="72"/>
      <c r="V253" s="72"/>
      <c r="Y253" s="72"/>
      <c r="AB253" s="72"/>
      <c r="AE253" s="72"/>
      <c r="AH253" s="72"/>
      <c r="AK253" s="72"/>
      <c r="AN253" s="72"/>
      <c r="AQ253" s="72"/>
      <c r="AT253" s="72"/>
      <c r="AW253" s="72"/>
      <c r="AZ253" s="72"/>
    </row>
    <row r="254" spans="1:52">
      <c r="A254" s="131"/>
      <c r="B254" s="72"/>
      <c r="D254" s="72"/>
      <c r="G254" s="72"/>
      <c r="J254" s="72"/>
      <c r="M254" s="72"/>
      <c r="P254" s="72"/>
      <c r="S254" s="72"/>
      <c r="V254" s="72"/>
      <c r="Y254" s="72"/>
      <c r="AB254" s="72"/>
      <c r="AE254" s="72"/>
      <c r="AH254" s="72"/>
      <c r="AK254" s="72"/>
      <c r="AN254" s="72"/>
      <c r="AQ254" s="72"/>
      <c r="AT254" s="72"/>
      <c r="AW254" s="72"/>
      <c r="AZ254" s="72"/>
    </row>
    <row r="255" spans="1:52">
      <c r="A255" s="131"/>
      <c r="B255" s="72"/>
      <c r="D255" s="72"/>
      <c r="G255" s="72"/>
      <c r="J255" s="72"/>
      <c r="M255" s="72"/>
      <c r="P255" s="72"/>
      <c r="S255" s="72"/>
      <c r="V255" s="72"/>
      <c r="Y255" s="72"/>
      <c r="AB255" s="72"/>
      <c r="AE255" s="72"/>
      <c r="AH255" s="72"/>
      <c r="AK255" s="72"/>
      <c r="AN255" s="72"/>
      <c r="AQ255" s="72"/>
      <c r="AT255" s="72"/>
      <c r="AW255" s="72"/>
      <c r="AZ255" s="72"/>
    </row>
    <row r="256" spans="1:52">
      <c r="A256" s="131"/>
      <c r="B256" s="72"/>
      <c r="D256" s="72"/>
      <c r="G256" s="72"/>
      <c r="J256" s="72"/>
      <c r="M256" s="72"/>
      <c r="P256" s="72"/>
      <c r="S256" s="72"/>
      <c r="V256" s="72"/>
      <c r="Y256" s="72"/>
      <c r="AB256" s="72"/>
      <c r="AE256" s="72"/>
      <c r="AH256" s="72"/>
      <c r="AK256" s="72"/>
      <c r="AN256" s="72"/>
      <c r="AQ256" s="72"/>
      <c r="AT256" s="72"/>
      <c r="AW256" s="72"/>
      <c r="AZ256" s="72"/>
    </row>
    <row r="257" spans="1:52">
      <c r="A257" s="131"/>
      <c r="B257" s="72"/>
      <c r="D257" s="72"/>
      <c r="G257" s="72"/>
      <c r="J257" s="72"/>
      <c r="M257" s="72"/>
      <c r="P257" s="72"/>
      <c r="S257" s="72"/>
      <c r="V257" s="72"/>
      <c r="Y257" s="72"/>
      <c r="AB257" s="72"/>
      <c r="AE257" s="72"/>
      <c r="AH257" s="72"/>
      <c r="AK257" s="72"/>
      <c r="AN257" s="72"/>
      <c r="AQ257" s="72"/>
      <c r="AT257" s="72"/>
      <c r="AW257" s="72"/>
      <c r="AZ257" s="72"/>
    </row>
    <row r="258" spans="1:52">
      <c r="A258" s="131"/>
      <c r="B258" s="72"/>
      <c r="D258" s="72"/>
      <c r="G258" s="72"/>
      <c r="J258" s="72"/>
      <c r="M258" s="72"/>
      <c r="P258" s="72"/>
      <c r="S258" s="72"/>
      <c r="V258" s="72"/>
      <c r="Y258" s="72"/>
      <c r="AB258" s="72"/>
      <c r="AE258" s="72"/>
      <c r="AH258" s="72"/>
      <c r="AK258" s="72"/>
      <c r="AN258" s="72"/>
      <c r="AQ258" s="72"/>
      <c r="AT258" s="72"/>
      <c r="AW258" s="72"/>
      <c r="AZ258" s="72"/>
    </row>
    <row r="259" spans="1:52">
      <c r="A259" s="131"/>
      <c r="B259" s="72"/>
      <c r="D259" s="72"/>
      <c r="G259" s="72"/>
      <c r="J259" s="72"/>
      <c r="M259" s="72"/>
      <c r="P259" s="72"/>
      <c r="S259" s="72"/>
      <c r="V259" s="72"/>
      <c r="Y259" s="72"/>
      <c r="AB259" s="72"/>
      <c r="AE259" s="72"/>
      <c r="AH259" s="72"/>
      <c r="AK259" s="72"/>
      <c r="AN259" s="72"/>
      <c r="AQ259" s="72"/>
      <c r="AT259" s="72"/>
      <c r="AW259" s="72"/>
      <c r="AZ259" s="72"/>
    </row>
    <row r="260" spans="1:52">
      <c r="A260" s="131"/>
      <c r="B260" s="72"/>
      <c r="D260" s="72"/>
      <c r="G260" s="72"/>
      <c r="J260" s="72"/>
      <c r="M260" s="72"/>
      <c r="P260" s="72"/>
      <c r="S260" s="72"/>
      <c r="V260" s="72"/>
      <c r="Y260" s="72"/>
      <c r="AB260" s="72"/>
      <c r="AE260" s="72"/>
      <c r="AH260" s="72"/>
      <c r="AK260" s="72"/>
      <c r="AN260" s="72"/>
      <c r="AQ260" s="72"/>
      <c r="AT260" s="72"/>
      <c r="AW260" s="72"/>
      <c r="AZ260" s="72"/>
    </row>
    <row r="261" spans="1:52">
      <c r="A261" s="131"/>
      <c r="B261" s="72"/>
      <c r="D261" s="72"/>
      <c r="G261" s="72"/>
      <c r="J261" s="72"/>
      <c r="M261" s="72"/>
      <c r="P261" s="72"/>
      <c r="S261" s="72"/>
      <c r="V261" s="72"/>
      <c r="Y261" s="72"/>
      <c r="AB261" s="72"/>
      <c r="AE261" s="72"/>
      <c r="AH261" s="72"/>
      <c r="AK261" s="72"/>
      <c r="AN261" s="72"/>
      <c r="AQ261" s="72"/>
      <c r="AT261" s="72"/>
      <c r="AW261" s="72"/>
      <c r="AZ261" s="72"/>
    </row>
    <row r="262" spans="1:52">
      <c r="A262" s="131"/>
      <c r="B262" s="72"/>
      <c r="D262" s="72"/>
      <c r="G262" s="72"/>
      <c r="J262" s="72"/>
      <c r="M262" s="72"/>
      <c r="P262" s="72"/>
      <c r="S262" s="72"/>
      <c r="V262" s="72"/>
      <c r="Y262" s="72"/>
      <c r="AB262" s="72"/>
      <c r="AE262" s="72"/>
      <c r="AH262" s="72"/>
      <c r="AK262" s="72"/>
      <c r="AN262" s="72"/>
      <c r="AQ262" s="72"/>
      <c r="AT262" s="72"/>
      <c r="AW262" s="72"/>
      <c r="AZ262" s="72"/>
    </row>
    <row r="263" spans="1:52">
      <c r="A263" s="131"/>
      <c r="B263" s="72"/>
      <c r="D263" s="72"/>
      <c r="G263" s="72"/>
      <c r="J263" s="72"/>
      <c r="M263" s="72"/>
      <c r="P263" s="72"/>
      <c r="S263" s="72"/>
      <c r="V263" s="72"/>
      <c r="Y263" s="72"/>
      <c r="AB263" s="72"/>
      <c r="AE263" s="72"/>
      <c r="AH263" s="72"/>
      <c r="AK263" s="72"/>
      <c r="AN263" s="72"/>
      <c r="AQ263" s="72"/>
      <c r="AT263" s="72"/>
      <c r="AW263" s="72"/>
      <c r="AZ263" s="72"/>
    </row>
    <row r="264" spans="1:52">
      <c r="A264" s="131"/>
      <c r="B264" s="72"/>
      <c r="D264" s="72"/>
      <c r="G264" s="72"/>
      <c r="J264" s="72"/>
      <c r="M264" s="72"/>
      <c r="P264" s="72"/>
      <c r="S264" s="72"/>
      <c r="V264" s="72"/>
      <c r="Y264" s="72"/>
      <c r="AB264" s="72"/>
      <c r="AE264" s="72"/>
      <c r="AH264" s="72"/>
      <c r="AK264" s="72"/>
      <c r="AN264" s="72"/>
      <c r="AQ264" s="72"/>
      <c r="AT264" s="72"/>
      <c r="AW264" s="72"/>
      <c r="AZ264" s="72"/>
    </row>
    <row r="265" spans="1:52">
      <c r="A265" s="131"/>
      <c r="B265" s="72"/>
      <c r="D265" s="72"/>
      <c r="G265" s="72"/>
      <c r="J265" s="72"/>
      <c r="M265" s="72"/>
      <c r="P265" s="72"/>
      <c r="S265" s="72"/>
      <c r="V265" s="72"/>
      <c r="Y265" s="72"/>
      <c r="AB265" s="72"/>
      <c r="AE265" s="72"/>
      <c r="AH265" s="72"/>
      <c r="AK265" s="72"/>
      <c r="AN265" s="72"/>
      <c r="AQ265" s="72"/>
      <c r="AT265" s="72"/>
      <c r="AW265" s="72"/>
      <c r="AZ265" s="72"/>
    </row>
    <row r="266" spans="1:52">
      <c r="A266" s="131"/>
      <c r="B266" s="72"/>
      <c r="D266" s="72"/>
      <c r="G266" s="72"/>
      <c r="J266" s="72"/>
      <c r="M266" s="72"/>
      <c r="P266" s="72"/>
      <c r="S266" s="72"/>
      <c r="V266" s="72"/>
      <c r="Y266" s="72"/>
      <c r="AB266" s="72"/>
      <c r="AE266" s="72"/>
      <c r="AH266" s="72"/>
      <c r="AK266" s="72"/>
      <c r="AN266" s="72"/>
      <c r="AQ266" s="72"/>
      <c r="AT266" s="72"/>
      <c r="AW266" s="72"/>
      <c r="AZ266" s="72"/>
    </row>
    <row r="267" spans="1:52">
      <c r="A267" s="131"/>
      <c r="B267" s="72"/>
      <c r="D267" s="72"/>
      <c r="G267" s="72"/>
      <c r="J267" s="72"/>
      <c r="M267" s="72"/>
      <c r="P267" s="72"/>
      <c r="S267" s="72"/>
      <c r="V267" s="72"/>
      <c r="Y267" s="72"/>
      <c r="AB267" s="72"/>
      <c r="AE267" s="72"/>
      <c r="AH267" s="72"/>
      <c r="AK267" s="72"/>
      <c r="AN267" s="72"/>
      <c r="AQ267" s="72"/>
      <c r="AT267" s="72"/>
      <c r="AW267" s="72"/>
      <c r="AZ267" s="72"/>
    </row>
    <row r="268" spans="1:52">
      <c r="A268" s="131"/>
      <c r="B268" s="72"/>
      <c r="D268" s="72"/>
      <c r="G268" s="72"/>
      <c r="J268" s="72"/>
      <c r="M268" s="72"/>
      <c r="P268" s="72"/>
      <c r="S268" s="72"/>
      <c r="V268" s="72"/>
      <c r="Y268" s="72"/>
      <c r="AB268" s="72"/>
      <c r="AE268" s="72"/>
      <c r="AH268" s="72"/>
      <c r="AK268" s="72"/>
      <c r="AN268" s="72"/>
      <c r="AQ268" s="72"/>
      <c r="AT268" s="72"/>
      <c r="AW268" s="72"/>
      <c r="AZ268" s="72"/>
    </row>
    <row r="269" spans="1:52">
      <c r="A269" s="131"/>
      <c r="B269" s="72"/>
      <c r="D269" s="72"/>
      <c r="G269" s="72"/>
      <c r="J269" s="72"/>
      <c r="M269" s="72"/>
      <c r="P269" s="72"/>
      <c r="S269" s="72"/>
      <c r="V269" s="72"/>
      <c r="Y269" s="72"/>
      <c r="AB269" s="72"/>
      <c r="AE269" s="72"/>
      <c r="AH269" s="72"/>
      <c r="AK269" s="72"/>
      <c r="AN269" s="72"/>
      <c r="AQ269" s="72"/>
      <c r="AT269" s="72"/>
      <c r="AW269" s="72"/>
      <c r="AZ269" s="72"/>
    </row>
    <row r="270" spans="1:52">
      <c r="A270" s="131"/>
      <c r="B270" s="72"/>
      <c r="D270" s="72"/>
      <c r="G270" s="72"/>
      <c r="J270" s="72"/>
      <c r="M270" s="72"/>
      <c r="P270" s="72"/>
      <c r="S270" s="72"/>
      <c r="V270" s="72"/>
      <c r="Y270" s="72"/>
      <c r="AB270" s="72"/>
      <c r="AE270" s="72"/>
      <c r="AH270" s="72"/>
      <c r="AK270" s="72"/>
      <c r="AN270" s="72"/>
      <c r="AQ270" s="72"/>
      <c r="AT270" s="72"/>
      <c r="AW270" s="72"/>
      <c r="AZ270" s="72"/>
    </row>
    <row r="271" spans="1:52">
      <c r="A271" s="131"/>
      <c r="B271" s="72"/>
      <c r="D271" s="72"/>
      <c r="G271" s="72"/>
      <c r="J271" s="72"/>
      <c r="M271" s="72"/>
      <c r="P271" s="72"/>
      <c r="S271" s="72"/>
      <c r="V271" s="72"/>
      <c r="Y271" s="72"/>
      <c r="AB271" s="72"/>
      <c r="AE271" s="72"/>
      <c r="AH271" s="72"/>
      <c r="AK271" s="72"/>
      <c r="AN271" s="72"/>
      <c r="AQ271" s="72"/>
      <c r="AT271" s="72"/>
      <c r="AW271" s="72"/>
      <c r="AZ271" s="72"/>
    </row>
    <row r="272" spans="1:52">
      <c r="A272" s="131"/>
      <c r="B272" s="72"/>
      <c r="D272" s="72"/>
      <c r="G272" s="72"/>
      <c r="J272" s="72"/>
      <c r="M272" s="72"/>
      <c r="P272" s="72"/>
      <c r="S272" s="72"/>
      <c r="V272" s="72"/>
      <c r="Y272" s="72"/>
      <c r="AB272" s="72"/>
      <c r="AE272" s="72"/>
      <c r="AH272" s="72"/>
      <c r="AK272" s="72"/>
      <c r="AN272" s="72"/>
      <c r="AQ272" s="72"/>
      <c r="AT272" s="72"/>
      <c r="AW272" s="72"/>
      <c r="AZ272" s="72"/>
    </row>
    <row r="273" spans="1:52">
      <c r="A273" s="131"/>
      <c r="B273" s="72"/>
      <c r="D273" s="72"/>
      <c r="G273" s="72"/>
      <c r="J273" s="72"/>
      <c r="M273" s="72"/>
      <c r="P273" s="72"/>
      <c r="S273" s="72"/>
      <c r="V273" s="72"/>
      <c r="Y273" s="72"/>
      <c r="AB273" s="72"/>
      <c r="AE273" s="72"/>
      <c r="AH273" s="72"/>
      <c r="AK273" s="72"/>
      <c r="AN273" s="72"/>
      <c r="AQ273" s="72"/>
      <c r="AT273" s="72"/>
      <c r="AW273" s="72"/>
      <c r="AZ273" s="72"/>
    </row>
    <row r="274" spans="1:52">
      <c r="A274" s="131"/>
      <c r="B274" s="72"/>
      <c r="D274" s="72"/>
      <c r="G274" s="72"/>
      <c r="J274" s="72"/>
      <c r="M274" s="72"/>
      <c r="P274" s="72"/>
      <c r="S274" s="72"/>
      <c r="V274" s="72"/>
      <c r="Y274" s="72"/>
      <c r="AB274" s="72"/>
      <c r="AE274" s="72"/>
      <c r="AH274" s="72"/>
      <c r="AK274" s="72"/>
      <c r="AN274" s="72"/>
      <c r="AQ274" s="72"/>
      <c r="AT274" s="72"/>
      <c r="AW274" s="72"/>
      <c r="AZ274" s="72"/>
    </row>
    <row r="275" spans="1:52">
      <c r="A275" s="131"/>
      <c r="B275" s="72"/>
      <c r="D275" s="72"/>
      <c r="G275" s="72"/>
      <c r="J275" s="72"/>
      <c r="M275" s="72"/>
      <c r="P275" s="72"/>
      <c r="S275" s="72"/>
      <c r="V275" s="72"/>
      <c r="Y275" s="72"/>
      <c r="AB275" s="72"/>
      <c r="AE275" s="72"/>
      <c r="AH275" s="72"/>
      <c r="AK275" s="72"/>
      <c r="AN275" s="72"/>
      <c r="AQ275" s="72"/>
      <c r="AT275" s="72"/>
      <c r="AW275" s="72"/>
      <c r="AZ275" s="72"/>
    </row>
    <row r="276" spans="1:52">
      <c r="A276" s="131"/>
      <c r="B276" s="72"/>
      <c r="D276" s="72"/>
      <c r="G276" s="72"/>
      <c r="J276" s="72"/>
      <c r="M276" s="72"/>
      <c r="P276" s="72"/>
      <c r="S276" s="72"/>
      <c r="V276" s="72"/>
      <c r="Y276" s="72"/>
      <c r="AB276" s="72"/>
      <c r="AE276" s="72"/>
      <c r="AH276" s="72"/>
      <c r="AK276" s="72"/>
      <c r="AN276" s="72"/>
      <c r="AQ276" s="72"/>
      <c r="AT276" s="72"/>
      <c r="AW276" s="72"/>
      <c r="AZ276" s="72"/>
    </row>
    <row r="277" spans="1:52">
      <c r="A277" s="131"/>
      <c r="B277" s="72"/>
      <c r="D277" s="72"/>
      <c r="G277" s="72"/>
      <c r="J277" s="72"/>
      <c r="M277" s="72"/>
      <c r="P277" s="72"/>
      <c r="S277" s="72"/>
      <c r="V277" s="72"/>
      <c r="Y277" s="72"/>
      <c r="AB277" s="72"/>
      <c r="AE277" s="72"/>
      <c r="AH277" s="72"/>
      <c r="AK277" s="72"/>
      <c r="AN277" s="72"/>
      <c r="AQ277" s="72"/>
      <c r="AT277" s="72"/>
      <c r="AW277" s="72"/>
      <c r="AZ277" s="72"/>
    </row>
    <row r="278" spans="1:52">
      <c r="A278" s="131"/>
      <c r="B278" s="72"/>
      <c r="D278" s="72"/>
      <c r="G278" s="72"/>
      <c r="J278" s="72"/>
      <c r="M278" s="72"/>
      <c r="P278" s="72"/>
      <c r="S278" s="72"/>
      <c r="V278" s="72"/>
      <c r="Y278" s="72"/>
      <c r="AB278" s="72"/>
      <c r="AE278" s="72"/>
      <c r="AH278" s="72"/>
      <c r="AK278" s="72"/>
      <c r="AN278" s="72"/>
      <c r="AQ278" s="72"/>
      <c r="AT278" s="72"/>
      <c r="AW278" s="72"/>
      <c r="AZ278" s="72"/>
    </row>
    <row r="279" spans="1:52">
      <c r="A279" s="131"/>
      <c r="B279" s="72"/>
      <c r="D279" s="72"/>
      <c r="G279" s="72"/>
      <c r="J279" s="72"/>
      <c r="M279" s="72"/>
      <c r="P279" s="72"/>
      <c r="S279" s="72"/>
      <c r="V279" s="72"/>
      <c r="Y279" s="72"/>
      <c r="AB279" s="72"/>
      <c r="AE279" s="72"/>
      <c r="AH279" s="72"/>
      <c r="AK279" s="72"/>
      <c r="AN279" s="72"/>
      <c r="AQ279" s="72"/>
      <c r="AT279" s="72"/>
      <c r="AW279" s="72"/>
      <c r="AZ279" s="72"/>
    </row>
    <row r="280" spans="1:52">
      <c r="A280" s="131"/>
      <c r="B280" s="72"/>
      <c r="D280" s="72"/>
      <c r="G280" s="72"/>
      <c r="J280" s="72"/>
      <c r="M280" s="72"/>
      <c r="P280" s="72"/>
      <c r="S280" s="72"/>
      <c r="V280" s="72"/>
      <c r="Y280" s="72"/>
      <c r="AB280" s="72"/>
      <c r="AE280" s="72"/>
      <c r="AH280" s="72"/>
      <c r="AK280" s="72"/>
      <c r="AN280" s="72"/>
      <c r="AQ280" s="72"/>
      <c r="AT280" s="72"/>
      <c r="AW280" s="72"/>
      <c r="AZ280" s="72"/>
    </row>
    <row r="281" spans="1:52">
      <c r="A281" s="131"/>
      <c r="B281" s="72"/>
      <c r="D281" s="72"/>
      <c r="G281" s="72"/>
      <c r="J281" s="72"/>
      <c r="M281" s="72"/>
      <c r="P281" s="72"/>
      <c r="S281" s="72"/>
      <c r="V281" s="72"/>
      <c r="Y281" s="72"/>
      <c r="AB281" s="72"/>
      <c r="AE281" s="72"/>
      <c r="AH281" s="72"/>
      <c r="AK281" s="72"/>
      <c r="AN281" s="72"/>
      <c r="AQ281" s="72"/>
      <c r="AT281" s="72"/>
      <c r="AW281" s="72"/>
      <c r="AZ281" s="72"/>
    </row>
    <row r="282" spans="1:52">
      <c r="A282" s="131"/>
      <c r="B282" s="72"/>
      <c r="D282" s="72"/>
      <c r="G282" s="72"/>
      <c r="J282" s="72"/>
      <c r="M282" s="72"/>
      <c r="P282" s="72"/>
      <c r="S282" s="72"/>
      <c r="V282" s="72"/>
      <c r="Y282" s="72"/>
      <c r="AB282" s="72"/>
      <c r="AE282" s="72"/>
      <c r="AH282" s="72"/>
      <c r="AK282" s="72"/>
      <c r="AN282" s="72"/>
      <c r="AQ282" s="72"/>
      <c r="AT282" s="72"/>
      <c r="AW282" s="72"/>
      <c r="AZ282" s="72"/>
    </row>
    <row r="283" spans="1:52">
      <c r="A283" s="131"/>
      <c r="B283" s="72"/>
      <c r="D283" s="72"/>
      <c r="G283" s="72"/>
      <c r="J283" s="72"/>
      <c r="M283" s="72"/>
      <c r="P283" s="72"/>
      <c r="S283" s="72"/>
      <c r="V283" s="72"/>
      <c r="Y283" s="72"/>
      <c r="AB283" s="72"/>
      <c r="AE283" s="72"/>
      <c r="AH283" s="72"/>
      <c r="AK283" s="72"/>
      <c r="AN283" s="72"/>
      <c r="AQ283" s="72"/>
      <c r="AT283" s="72"/>
      <c r="AW283" s="72"/>
      <c r="AZ283" s="72"/>
    </row>
    <row r="284" spans="1:52">
      <c r="A284" s="131"/>
      <c r="B284" s="72"/>
      <c r="D284" s="72"/>
      <c r="G284" s="72"/>
      <c r="J284" s="72"/>
      <c r="M284" s="72"/>
      <c r="P284" s="72"/>
      <c r="S284" s="72"/>
      <c r="V284" s="72"/>
      <c r="Y284" s="72"/>
      <c r="AB284" s="72"/>
      <c r="AE284" s="72"/>
      <c r="AH284" s="72"/>
      <c r="AK284" s="72"/>
      <c r="AN284" s="72"/>
      <c r="AQ284" s="72"/>
      <c r="AT284" s="72"/>
      <c r="AW284" s="72"/>
      <c r="AZ284" s="72"/>
    </row>
    <row r="285" spans="1:52">
      <c r="A285" s="131"/>
      <c r="B285" s="72"/>
      <c r="D285" s="72"/>
      <c r="G285" s="72"/>
      <c r="J285" s="72"/>
      <c r="M285" s="72"/>
      <c r="P285" s="72"/>
      <c r="S285" s="72"/>
      <c r="V285" s="72"/>
      <c r="Y285" s="72"/>
      <c r="AB285" s="72"/>
      <c r="AE285" s="72"/>
      <c r="AH285" s="72"/>
      <c r="AK285" s="72"/>
      <c r="AN285" s="72"/>
      <c r="AQ285" s="72"/>
      <c r="AT285" s="72"/>
      <c r="AW285" s="72"/>
      <c r="AZ285" s="72"/>
    </row>
    <row r="286" spans="1:52">
      <c r="A286" s="131"/>
      <c r="B286" s="72"/>
      <c r="D286" s="72"/>
      <c r="G286" s="72"/>
      <c r="J286" s="72"/>
      <c r="M286" s="72"/>
      <c r="P286" s="72"/>
      <c r="S286" s="72"/>
      <c r="V286" s="72"/>
      <c r="Y286" s="72"/>
      <c r="AB286" s="72"/>
      <c r="AE286" s="72"/>
      <c r="AH286" s="72"/>
      <c r="AK286" s="72"/>
      <c r="AN286" s="72"/>
      <c r="AQ286" s="72"/>
      <c r="AT286" s="72"/>
      <c r="AW286" s="72"/>
      <c r="AZ286" s="72"/>
    </row>
    <row r="287" spans="1:52">
      <c r="A287" s="131"/>
      <c r="B287" s="72"/>
      <c r="D287" s="72"/>
      <c r="G287" s="72"/>
      <c r="J287" s="72"/>
      <c r="M287" s="72"/>
      <c r="P287" s="72"/>
      <c r="S287" s="72"/>
      <c r="V287" s="72"/>
      <c r="Y287" s="72"/>
      <c r="AB287" s="72"/>
      <c r="AE287" s="72"/>
      <c r="AH287" s="72"/>
      <c r="AK287" s="72"/>
      <c r="AN287" s="72"/>
      <c r="AQ287" s="72"/>
      <c r="AT287" s="72"/>
      <c r="AW287" s="72"/>
      <c r="AZ287" s="72"/>
    </row>
    <row r="288" spans="1:52">
      <c r="A288" s="131"/>
      <c r="B288" s="72"/>
      <c r="D288" s="72"/>
      <c r="G288" s="72"/>
      <c r="J288" s="72"/>
      <c r="M288" s="72"/>
      <c r="P288" s="72"/>
      <c r="S288" s="72"/>
      <c r="V288" s="72"/>
      <c r="Y288" s="72"/>
      <c r="AB288" s="72"/>
      <c r="AE288" s="72"/>
      <c r="AH288" s="72"/>
      <c r="AK288" s="72"/>
      <c r="AN288" s="72"/>
      <c r="AQ288" s="72"/>
      <c r="AT288" s="72"/>
      <c r="AW288" s="72"/>
      <c r="AZ288" s="72"/>
    </row>
    <row r="289" spans="1:52">
      <c r="A289" s="131"/>
      <c r="B289" s="72"/>
      <c r="D289" s="72"/>
      <c r="G289" s="72"/>
      <c r="J289" s="72"/>
      <c r="M289" s="72"/>
      <c r="P289" s="72"/>
      <c r="S289" s="72"/>
      <c r="V289" s="72"/>
      <c r="Y289" s="72"/>
      <c r="AB289" s="72"/>
      <c r="AE289" s="72"/>
      <c r="AH289" s="72"/>
      <c r="AK289" s="72"/>
      <c r="AN289" s="72"/>
      <c r="AQ289" s="72"/>
      <c r="AT289" s="72"/>
      <c r="AW289" s="72"/>
      <c r="AZ289" s="72"/>
    </row>
    <row r="290" spans="1:52">
      <c r="A290" s="131"/>
      <c r="B290" s="72"/>
      <c r="D290" s="72"/>
      <c r="G290" s="72"/>
      <c r="J290" s="72"/>
      <c r="M290" s="72"/>
      <c r="P290" s="72"/>
      <c r="S290" s="72"/>
      <c r="V290" s="72"/>
      <c r="Y290" s="72"/>
      <c r="AB290" s="72"/>
      <c r="AE290" s="72"/>
      <c r="AH290" s="72"/>
      <c r="AK290" s="72"/>
      <c r="AN290" s="72"/>
      <c r="AQ290" s="72"/>
      <c r="AT290" s="72"/>
      <c r="AW290" s="72"/>
      <c r="AZ290" s="72"/>
    </row>
    <row r="291" spans="1:52">
      <c r="A291" s="131"/>
      <c r="B291" s="72"/>
      <c r="D291" s="72"/>
      <c r="G291" s="72"/>
      <c r="J291" s="72"/>
      <c r="M291" s="72"/>
      <c r="P291" s="72"/>
      <c r="S291" s="72"/>
      <c r="V291" s="72"/>
      <c r="Y291" s="72"/>
      <c r="AB291" s="72"/>
      <c r="AE291" s="72"/>
      <c r="AH291" s="72"/>
      <c r="AK291" s="72"/>
      <c r="AN291" s="72"/>
      <c r="AQ291" s="72"/>
      <c r="AT291" s="72"/>
      <c r="AW291" s="72"/>
      <c r="AZ291" s="72"/>
    </row>
    <row r="292" spans="1:52">
      <c r="A292" s="131"/>
      <c r="B292" s="72"/>
      <c r="D292" s="72"/>
      <c r="G292" s="72"/>
      <c r="J292" s="72"/>
      <c r="M292" s="72"/>
      <c r="P292" s="72"/>
      <c r="S292" s="72"/>
      <c r="V292" s="72"/>
      <c r="Y292" s="72"/>
      <c r="AB292" s="72"/>
      <c r="AE292" s="72"/>
      <c r="AH292" s="72"/>
      <c r="AK292" s="72"/>
      <c r="AN292" s="72"/>
      <c r="AQ292" s="72"/>
      <c r="AT292" s="72"/>
      <c r="AW292" s="72"/>
      <c r="AZ292" s="72"/>
    </row>
    <row r="293" spans="1:52">
      <c r="A293" s="131"/>
      <c r="B293" s="72"/>
      <c r="D293" s="72"/>
      <c r="G293" s="72"/>
      <c r="J293" s="72"/>
      <c r="M293" s="72"/>
      <c r="P293" s="72"/>
      <c r="S293" s="72"/>
      <c r="V293" s="72"/>
      <c r="Y293" s="72"/>
      <c r="AB293" s="72"/>
      <c r="AE293" s="72"/>
      <c r="AH293" s="72"/>
      <c r="AK293" s="72"/>
      <c r="AN293" s="72"/>
      <c r="AQ293" s="72"/>
      <c r="AT293" s="72"/>
      <c r="AW293" s="72"/>
      <c r="AZ293" s="72"/>
    </row>
    <row r="294" spans="1:52">
      <c r="A294" s="131"/>
      <c r="B294" s="72"/>
      <c r="D294" s="72"/>
      <c r="G294" s="72"/>
      <c r="J294" s="72"/>
      <c r="M294" s="72"/>
      <c r="P294" s="72"/>
      <c r="S294" s="72"/>
      <c r="V294" s="72"/>
      <c r="Y294" s="72"/>
      <c r="AB294" s="72"/>
      <c r="AE294" s="72"/>
      <c r="AH294" s="72"/>
      <c r="AK294" s="72"/>
      <c r="AN294" s="72"/>
      <c r="AQ294" s="72"/>
      <c r="AT294" s="72"/>
      <c r="AW294" s="72"/>
      <c r="AZ294" s="72"/>
    </row>
    <row r="295" spans="1:52">
      <c r="A295" s="131"/>
      <c r="B295" s="72"/>
      <c r="D295" s="72"/>
      <c r="G295" s="72"/>
      <c r="J295" s="72"/>
      <c r="M295" s="72"/>
      <c r="P295" s="72"/>
      <c r="S295" s="72"/>
      <c r="V295" s="72"/>
      <c r="Y295" s="72"/>
      <c r="AB295" s="72"/>
      <c r="AE295" s="72"/>
      <c r="AH295" s="72"/>
      <c r="AK295" s="72"/>
      <c r="AN295" s="72"/>
      <c r="AQ295" s="72"/>
      <c r="AT295" s="72"/>
      <c r="AW295" s="72"/>
      <c r="AZ295" s="72"/>
    </row>
    <row r="296" spans="1:52">
      <c r="A296" s="131"/>
      <c r="B296" s="72"/>
      <c r="D296" s="72"/>
      <c r="G296" s="72"/>
      <c r="J296" s="72"/>
      <c r="M296" s="72"/>
      <c r="P296" s="72"/>
      <c r="S296" s="72"/>
      <c r="V296" s="72"/>
      <c r="Y296" s="72"/>
      <c r="AB296" s="72"/>
      <c r="AE296" s="72"/>
      <c r="AH296" s="72"/>
      <c r="AK296" s="72"/>
      <c r="AN296" s="72"/>
      <c r="AQ296" s="72"/>
      <c r="AT296" s="72"/>
      <c r="AW296" s="72"/>
      <c r="AZ296" s="72"/>
    </row>
    <row r="297" spans="1:52">
      <c r="A297" s="131"/>
      <c r="B297" s="72"/>
      <c r="D297" s="72"/>
      <c r="G297" s="72"/>
      <c r="J297" s="72"/>
      <c r="M297" s="72"/>
      <c r="P297" s="72"/>
      <c r="S297" s="72"/>
      <c r="V297" s="72"/>
      <c r="Y297" s="72"/>
      <c r="AB297" s="72"/>
      <c r="AE297" s="72"/>
      <c r="AH297" s="72"/>
      <c r="AK297" s="72"/>
      <c r="AN297" s="72"/>
      <c r="AQ297" s="72"/>
      <c r="AT297" s="72"/>
      <c r="AW297" s="72"/>
      <c r="AZ297" s="72"/>
    </row>
    <row r="298" spans="1:52">
      <c r="A298" s="131"/>
      <c r="B298" s="72"/>
      <c r="D298" s="72"/>
      <c r="G298" s="72"/>
      <c r="J298" s="72"/>
      <c r="M298" s="72"/>
      <c r="P298" s="72"/>
      <c r="S298" s="72"/>
      <c r="V298" s="72"/>
      <c r="Y298" s="72"/>
      <c r="AB298" s="72"/>
      <c r="AE298" s="72"/>
      <c r="AH298" s="72"/>
      <c r="AK298" s="72"/>
      <c r="AN298" s="72"/>
      <c r="AQ298" s="72"/>
      <c r="AT298" s="72"/>
      <c r="AW298" s="72"/>
      <c r="AZ298" s="72"/>
    </row>
    <row r="299" spans="1:52">
      <c r="A299" s="131"/>
      <c r="B299" s="72"/>
      <c r="D299" s="72"/>
      <c r="G299" s="72"/>
      <c r="J299" s="72"/>
      <c r="M299" s="72"/>
      <c r="P299" s="72"/>
      <c r="S299" s="72"/>
      <c r="V299" s="72"/>
      <c r="Y299" s="72"/>
      <c r="AB299" s="72"/>
      <c r="AE299" s="72"/>
      <c r="AH299" s="72"/>
      <c r="AK299" s="72"/>
      <c r="AN299" s="72"/>
      <c r="AQ299" s="72"/>
      <c r="AT299" s="72"/>
      <c r="AW299" s="72"/>
      <c r="AZ299" s="72"/>
    </row>
    <row r="300" spans="1:52">
      <c r="A300" s="131"/>
      <c r="B300" s="72"/>
      <c r="D300" s="72"/>
      <c r="G300" s="72"/>
      <c r="J300" s="72"/>
      <c r="M300" s="72"/>
      <c r="P300" s="72"/>
      <c r="S300" s="72"/>
      <c r="V300" s="72"/>
      <c r="Y300" s="72"/>
      <c r="AB300" s="72"/>
      <c r="AE300" s="72"/>
      <c r="AH300" s="72"/>
      <c r="AK300" s="72"/>
      <c r="AN300" s="72"/>
      <c r="AQ300" s="72"/>
      <c r="AT300" s="72"/>
      <c r="AW300" s="72"/>
      <c r="AZ300" s="72"/>
    </row>
    <row r="301" spans="1:52">
      <c r="A301" s="131"/>
      <c r="B301" s="72"/>
      <c r="D301" s="72"/>
      <c r="G301" s="72"/>
      <c r="J301" s="72"/>
      <c r="M301" s="72"/>
      <c r="P301" s="72"/>
      <c r="S301" s="72"/>
      <c r="V301" s="72"/>
      <c r="Y301" s="72"/>
      <c r="AB301" s="72"/>
      <c r="AE301" s="72"/>
      <c r="AH301" s="72"/>
      <c r="AK301" s="72"/>
      <c r="AN301" s="72"/>
      <c r="AQ301" s="72"/>
      <c r="AT301" s="72"/>
      <c r="AW301" s="72"/>
      <c r="AZ301" s="72"/>
    </row>
    <row r="302" spans="1:52">
      <c r="A302" s="131"/>
      <c r="B302" s="72"/>
      <c r="D302" s="72"/>
      <c r="G302" s="72"/>
      <c r="J302" s="72"/>
      <c r="M302" s="72"/>
      <c r="P302" s="72"/>
      <c r="S302" s="72"/>
      <c r="V302" s="72"/>
      <c r="Y302" s="72"/>
      <c r="AB302" s="72"/>
      <c r="AE302" s="72"/>
      <c r="AH302" s="72"/>
      <c r="AK302" s="72"/>
      <c r="AN302" s="72"/>
      <c r="AQ302" s="72"/>
      <c r="AT302" s="72"/>
      <c r="AW302" s="72"/>
      <c r="AZ302" s="72"/>
    </row>
    <row r="303" spans="1:52">
      <c r="A303" s="131"/>
      <c r="B303" s="72"/>
      <c r="D303" s="72"/>
      <c r="G303" s="72"/>
      <c r="J303" s="72"/>
      <c r="M303" s="72"/>
      <c r="P303" s="72"/>
      <c r="S303" s="72"/>
      <c r="V303" s="72"/>
      <c r="Y303" s="72"/>
      <c r="AB303" s="72"/>
      <c r="AE303" s="72"/>
      <c r="AH303" s="72"/>
      <c r="AK303" s="72"/>
      <c r="AN303" s="72"/>
      <c r="AQ303" s="72"/>
      <c r="AT303" s="72"/>
      <c r="AW303" s="72"/>
      <c r="AZ303" s="72"/>
    </row>
    <row r="304" spans="1:52">
      <c r="A304" s="131"/>
      <c r="B304" s="72"/>
      <c r="D304" s="72"/>
      <c r="G304" s="72"/>
      <c r="J304" s="72"/>
      <c r="M304" s="72"/>
      <c r="P304" s="72"/>
      <c r="S304" s="72"/>
      <c r="V304" s="72"/>
      <c r="Y304" s="72"/>
      <c r="AB304" s="72"/>
      <c r="AE304" s="72"/>
      <c r="AH304" s="72"/>
      <c r="AK304" s="72"/>
      <c r="AN304" s="72"/>
      <c r="AQ304" s="72"/>
      <c r="AT304" s="72"/>
      <c r="AW304" s="72"/>
      <c r="AZ304" s="72"/>
    </row>
    <row r="305" spans="1:52">
      <c r="A305" s="131"/>
      <c r="B305" s="72"/>
      <c r="D305" s="72"/>
      <c r="G305" s="72"/>
      <c r="J305" s="72"/>
      <c r="M305" s="72"/>
      <c r="P305" s="72"/>
      <c r="S305" s="72"/>
      <c r="V305" s="72"/>
      <c r="Y305" s="72"/>
      <c r="AB305" s="72"/>
      <c r="AE305" s="72"/>
      <c r="AH305" s="72"/>
      <c r="AK305" s="72"/>
      <c r="AN305" s="72"/>
      <c r="AQ305" s="72"/>
      <c r="AT305" s="72"/>
      <c r="AW305" s="72"/>
      <c r="AZ305" s="72"/>
    </row>
    <row r="306" spans="1:52">
      <c r="A306" s="131"/>
      <c r="B306" s="72"/>
      <c r="D306" s="72"/>
      <c r="G306" s="72"/>
      <c r="J306" s="72"/>
      <c r="M306" s="72"/>
      <c r="P306" s="72"/>
      <c r="S306" s="72"/>
      <c r="V306" s="72"/>
      <c r="Y306" s="72"/>
      <c r="AB306" s="72"/>
      <c r="AE306" s="72"/>
      <c r="AH306" s="72"/>
      <c r="AK306" s="72"/>
      <c r="AN306" s="72"/>
      <c r="AQ306" s="72"/>
      <c r="AT306" s="72"/>
      <c r="AW306" s="72"/>
      <c r="AZ306" s="72"/>
    </row>
    <row r="307" spans="1:52">
      <c r="A307" s="131"/>
      <c r="B307" s="72"/>
      <c r="D307" s="72"/>
      <c r="G307" s="72"/>
      <c r="J307" s="72"/>
      <c r="M307" s="72"/>
      <c r="P307" s="72"/>
      <c r="S307" s="72"/>
      <c r="V307" s="72"/>
      <c r="Y307" s="72"/>
      <c r="AB307" s="72"/>
      <c r="AE307" s="72"/>
      <c r="AH307" s="72"/>
      <c r="AK307" s="72"/>
      <c r="AN307" s="72"/>
      <c r="AQ307" s="72"/>
      <c r="AT307" s="72"/>
      <c r="AW307" s="72"/>
      <c r="AZ307" s="72"/>
    </row>
    <row r="308" spans="1:52">
      <c r="A308" s="131"/>
      <c r="B308" s="72"/>
      <c r="D308" s="72"/>
      <c r="G308" s="72"/>
      <c r="J308" s="72"/>
      <c r="M308" s="72"/>
      <c r="P308" s="72"/>
      <c r="S308" s="72"/>
      <c r="V308" s="72"/>
      <c r="Y308" s="72"/>
      <c r="AB308" s="72"/>
      <c r="AE308" s="72"/>
      <c r="AH308" s="72"/>
      <c r="AK308" s="72"/>
      <c r="AN308" s="72"/>
      <c r="AQ308" s="72"/>
      <c r="AT308" s="72"/>
      <c r="AW308" s="72"/>
      <c r="AZ308" s="72"/>
    </row>
    <row r="309" spans="1:52">
      <c r="A309" s="131"/>
      <c r="B309" s="72"/>
      <c r="D309" s="72"/>
      <c r="G309" s="72"/>
      <c r="J309" s="72"/>
      <c r="M309" s="72"/>
      <c r="P309" s="72"/>
      <c r="S309" s="72"/>
      <c r="V309" s="72"/>
      <c r="Y309" s="72"/>
      <c r="AB309" s="72"/>
      <c r="AE309" s="72"/>
      <c r="AH309" s="72"/>
      <c r="AK309" s="72"/>
      <c r="AN309" s="72"/>
      <c r="AQ309" s="72"/>
      <c r="AT309" s="72"/>
      <c r="AW309" s="72"/>
      <c r="AZ309" s="72"/>
    </row>
    <row r="310" spans="1:52">
      <c r="A310" s="131"/>
      <c r="B310" s="72"/>
      <c r="D310" s="72"/>
      <c r="G310" s="72"/>
      <c r="J310" s="72"/>
      <c r="M310" s="72"/>
      <c r="P310" s="72"/>
      <c r="S310" s="72"/>
      <c r="V310" s="72"/>
      <c r="Y310" s="72"/>
      <c r="AB310" s="72"/>
      <c r="AE310" s="72"/>
      <c r="AH310" s="72"/>
      <c r="AK310" s="72"/>
      <c r="AN310" s="72"/>
      <c r="AQ310" s="72"/>
      <c r="AT310" s="72"/>
      <c r="AW310" s="72"/>
      <c r="AZ310" s="72"/>
    </row>
    <row r="311" spans="1:52">
      <c r="A311" s="131"/>
      <c r="B311" s="72"/>
      <c r="D311" s="72"/>
      <c r="G311" s="72"/>
      <c r="J311" s="72"/>
      <c r="M311" s="72"/>
      <c r="P311" s="72"/>
      <c r="S311" s="72"/>
      <c r="V311" s="72"/>
      <c r="Y311" s="72"/>
      <c r="AB311" s="72"/>
      <c r="AE311" s="72"/>
      <c r="AH311" s="72"/>
      <c r="AK311" s="72"/>
      <c r="AN311" s="72"/>
      <c r="AQ311" s="72"/>
      <c r="AT311" s="72"/>
      <c r="AW311" s="72"/>
      <c r="AZ311" s="72"/>
    </row>
    <row r="312" spans="1:52">
      <c r="A312" s="131"/>
      <c r="B312" s="72"/>
      <c r="D312" s="72"/>
      <c r="G312" s="72"/>
      <c r="J312" s="72"/>
      <c r="M312" s="72"/>
      <c r="P312" s="72"/>
      <c r="S312" s="72"/>
      <c r="V312" s="72"/>
      <c r="Y312" s="72"/>
      <c r="AB312" s="72"/>
      <c r="AE312" s="72"/>
      <c r="AH312" s="72"/>
      <c r="AK312" s="72"/>
      <c r="AN312" s="72"/>
      <c r="AQ312" s="72"/>
      <c r="AT312" s="72"/>
      <c r="AW312" s="72"/>
      <c r="AZ312" s="72"/>
    </row>
    <row r="313" spans="1:52">
      <c r="A313" s="131"/>
      <c r="B313" s="72"/>
      <c r="D313" s="72"/>
      <c r="G313" s="72"/>
      <c r="J313" s="72"/>
      <c r="M313" s="72"/>
      <c r="P313" s="72"/>
      <c r="S313" s="72"/>
      <c r="V313" s="72"/>
      <c r="Y313" s="72"/>
      <c r="AB313" s="72"/>
      <c r="AE313" s="72"/>
      <c r="AH313" s="72"/>
      <c r="AK313" s="72"/>
      <c r="AN313" s="72"/>
      <c r="AQ313" s="72"/>
      <c r="AT313" s="72"/>
      <c r="AW313" s="72"/>
      <c r="AZ313" s="72"/>
    </row>
    <row r="314" spans="1:52">
      <c r="A314" s="131"/>
      <c r="B314" s="72"/>
      <c r="D314" s="72"/>
      <c r="G314" s="72"/>
      <c r="J314" s="72"/>
      <c r="M314" s="72"/>
      <c r="P314" s="72"/>
      <c r="S314" s="72"/>
      <c r="V314" s="72"/>
      <c r="Y314" s="72"/>
      <c r="AB314" s="72"/>
      <c r="AE314" s="72"/>
      <c r="AH314" s="72"/>
      <c r="AK314" s="72"/>
      <c r="AN314" s="72"/>
      <c r="AQ314" s="72"/>
      <c r="AT314" s="72"/>
      <c r="AW314" s="72"/>
      <c r="AZ314" s="72"/>
    </row>
    <row r="315" spans="1:52">
      <c r="A315" s="131"/>
      <c r="B315" s="72"/>
      <c r="D315" s="72"/>
      <c r="G315" s="72"/>
      <c r="J315" s="72"/>
      <c r="M315" s="72"/>
      <c r="P315" s="72"/>
      <c r="S315" s="72"/>
      <c r="V315" s="72"/>
      <c r="Y315" s="72"/>
      <c r="AB315" s="72"/>
      <c r="AE315" s="72"/>
      <c r="AH315" s="72"/>
      <c r="AK315" s="72"/>
      <c r="AN315" s="72"/>
      <c r="AQ315" s="72"/>
      <c r="AT315" s="72"/>
      <c r="AW315" s="72"/>
      <c r="AZ315" s="72"/>
    </row>
    <row r="316" spans="1:52">
      <c r="A316" s="131"/>
      <c r="B316" s="72"/>
      <c r="D316" s="72"/>
      <c r="G316" s="72"/>
      <c r="J316" s="72"/>
      <c r="M316" s="72"/>
      <c r="P316" s="72"/>
      <c r="S316" s="72"/>
      <c r="V316" s="72"/>
      <c r="Y316" s="72"/>
      <c r="AB316" s="72"/>
      <c r="AE316" s="72"/>
      <c r="AH316" s="72"/>
      <c r="AK316" s="72"/>
      <c r="AN316" s="72"/>
      <c r="AQ316" s="72"/>
      <c r="AT316" s="72"/>
      <c r="AW316" s="72"/>
      <c r="AZ316" s="72"/>
    </row>
    <row r="317" spans="1:52">
      <c r="A317" s="131"/>
      <c r="B317" s="72"/>
      <c r="D317" s="72"/>
      <c r="G317" s="72"/>
      <c r="J317" s="72"/>
      <c r="M317" s="72"/>
      <c r="P317" s="72"/>
      <c r="S317" s="72"/>
      <c r="V317" s="72"/>
      <c r="Y317" s="72"/>
      <c r="AB317" s="72"/>
      <c r="AE317" s="72"/>
      <c r="AH317" s="72"/>
      <c r="AK317" s="72"/>
      <c r="AN317" s="72"/>
      <c r="AQ317" s="72"/>
      <c r="AT317" s="72"/>
      <c r="AW317" s="72"/>
      <c r="AZ317" s="72"/>
    </row>
    <row r="318" spans="1:52">
      <c r="A318" s="131"/>
      <c r="B318" s="72"/>
      <c r="D318" s="72"/>
      <c r="G318" s="72"/>
      <c r="J318" s="72"/>
      <c r="M318" s="72"/>
      <c r="P318" s="72"/>
      <c r="S318" s="72"/>
      <c r="V318" s="72"/>
      <c r="Y318" s="72"/>
      <c r="AB318" s="72"/>
      <c r="AE318" s="72"/>
      <c r="AH318" s="72"/>
      <c r="AK318" s="72"/>
      <c r="AN318" s="72"/>
      <c r="AQ318" s="72"/>
      <c r="AT318" s="72"/>
      <c r="AW318" s="72"/>
      <c r="AZ318" s="72"/>
    </row>
    <row r="319" spans="1:52">
      <c r="A319" s="131"/>
      <c r="B319" s="72"/>
      <c r="D319" s="72"/>
      <c r="G319" s="72"/>
      <c r="J319" s="72"/>
      <c r="M319" s="72"/>
      <c r="P319" s="72"/>
      <c r="S319" s="72"/>
      <c r="V319" s="72"/>
      <c r="Y319" s="72"/>
      <c r="AB319" s="72"/>
      <c r="AE319" s="72"/>
      <c r="AH319" s="72"/>
      <c r="AK319" s="72"/>
      <c r="AN319" s="72"/>
      <c r="AQ319" s="72"/>
      <c r="AT319" s="72"/>
      <c r="AW319" s="72"/>
      <c r="AZ319" s="72"/>
    </row>
    <row r="320" spans="1:52">
      <c r="A320" s="131"/>
      <c r="B320" s="72"/>
      <c r="D320" s="72"/>
      <c r="G320" s="72"/>
      <c r="J320" s="72"/>
      <c r="M320" s="72"/>
      <c r="P320" s="72"/>
      <c r="S320" s="72"/>
      <c r="V320" s="72"/>
      <c r="Y320" s="72"/>
      <c r="AB320" s="72"/>
      <c r="AE320" s="72"/>
      <c r="AH320" s="72"/>
      <c r="AK320" s="72"/>
      <c r="AN320" s="72"/>
      <c r="AQ320" s="72"/>
      <c r="AT320" s="72"/>
      <c r="AW320" s="72"/>
      <c r="AZ320" s="72"/>
    </row>
    <row r="321" spans="1:52">
      <c r="A321" s="131"/>
      <c r="B321" s="72"/>
      <c r="D321" s="72"/>
      <c r="G321" s="72"/>
      <c r="J321" s="72"/>
      <c r="M321" s="72"/>
      <c r="P321" s="72"/>
      <c r="S321" s="72"/>
      <c r="V321" s="72"/>
      <c r="Y321" s="72"/>
      <c r="AB321" s="72"/>
      <c r="AE321" s="72"/>
      <c r="AH321" s="72"/>
      <c r="AK321" s="72"/>
      <c r="AN321" s="72"/>
      <c r="AQ321" s="72"/>
      <c r="AT321" s="72"/>
      <c r="AW321" s="72"/>
      <c r="AZ321" s="72"/>
    </row>
    <row r="322" spans="1:52">
      <c r="A322" s="131"/>
      <c r="B322" s="72"/>
      <c r="D322" s="72"/>
      <c r="G322" s="72"/>
      <c r="J322" s="72"/>
      <c r="M322" s="72"/>
      <c r="P322" s="72"/>
      <c r="S322" s="72"/>
      <c r="V322" s="72"/>
      <c r="Y322" s="72"/>
      <c r="AB322" s="72"/>
      <c r="AE322" s="72"/>
      <c r="AH322" s="72"/>
      <c r="AK322" s="72"/>
      <c r="AN322" s="72"/>
      <c r="AQ322" s="72"/>
      <c r="AT322" s="72"/>
      <c r="AW322" s="72"/>
      <c r="AZ322" s="72"/>
    </row>
    <row r="323" spans="1:52">
      <c r="A323" s="131"/>
      <c r="B323" s="72"/>
      <c r="D323" s="72"/>
      <c r="G323" s="72"/>
      <c r="J323" s="72"/>
      <c r="M323" s="72"/>
      <c r="P323" s="72"/>
      <c r="S323" s="72"/>
      <c r="V323" s="72"/>
      <c r="Y323" s="72"/>
      <c r="AB323" s="72"/>
      <c r="AE323" s="72"/>
      <c r="AH323" s="72"/>
      <c r="AK323" s="72"/>
      <c r="AN323" s="72"/>
      <c r="AQ323" s="72"/>
      <c r="AT323" s="72"/>
      <c r="AW323" s="72"/>
      <c r="AZ323" s="72"/>
    </row>
    <row r="324" spans="1:52">
      <c r="A324" s="131"/>
      <c r="B324" s="72"/>
      <c r="D324" s="72"/>
      <c r="G324" s="72"/>
      <c r="J324" s="72"/>
      <c r="M324" s="72"/>
      <c r="P324" s="72"/>
      <c r="S324" s="72"/>
      <c r="V324" s="72"/>
      <c r="Y324" s="72"/>
      <c r="AB324" s="72"/>
      <c r="AE324" s="72"/>
      <c r="AH324" s="72"/>
      <c r="AK324" s="72"/>
      <c r="AN324" s="72"/>
      <c r="AQ324" s="72"/>
      <c r="AT324" s="72"/>
      <c r="AW324" s="72"/>
      <c r="AZ324" s="72"/>
    </row>
    <row r="325" spans="1:52">
      <c r="A325" s="131"/>
      <c r="B325" s="72"/>
      <c r="D325" s="72"/>
      <c r="G325" s="72"/>
      <c r="J325" s="72"/>
      <c r="M325" s="72"/>
      <c r="P325" s="72"/>
      <c r="S325" s="72"/>
      <c r="V325" s="72"/>
      <c r="Y325" s="72"/>
      <c r="AB325" s="72"/>
      <c r="AE325" s="72"/>
      <c r="AH325" s="72"/>
      <c r="AK325" s="72"/>
      <c r="AN325" s="72"/>
      <c r="AQ325" s="72"/>
      <c r="AT325" s="72"/>
      <c r="AW325" s="72"/>
      <c r="AZ325" s="72"/>
    </row>
    <row r="326" spans="1:52">
      <c r="A326" s="131"/>
      <c r="B326" s="72"/>
      <c r="D326" s="72"/>
      <c r="G326" s="72"/>
      <c r="J326" s="72"/>
      <c r="M326" s="72"/>
      <c r="P326" s="72"/>
      <c r="S326" s="72"/>
      <c r="V326" s="72"/>
      <c r="Y326" s="72"/>
      <c r="AB326" s="72"/>
      <c r="AE326" s="72"/>
      <c r="AH326" s="72"/>
      <c r="AK326" s="72"/>
      <c r="AN326" s="72"/>
      <c r="AQ326" s="72"/>
      <c r="AT326" s="72"/>
      <c r="AW326" s="72"/>
      <c r="AZ326" s="72"/>
    </row>
    <row r="327" spans="1:52">
      <c r="A327" s="131"/>
      <c r="B327" s="72"/>
      <c r="D327" s="72"/>
      <c r="G327" s="72"/>
      <c r="J327" s="72"/>
      <c r="M327" s="72"/>
      <c r="P327" s="72"/>
      <c r="S327" s="72"/>
      <c r="V327" s="72"/>
      <c r="Y327" s="72"/>
      <c r="AB327" s="72"/>
      <c r="AE327" s="72"/>
      <c r="AH327" s="72"/>
      <c r="AK327" s="72"/>
      <c r="AN327" s="72"/>
      <c r="AQ327" s="72"/>
      <c r="AT327" s="72"/>
      <c r="AW327" s="72"/>
      <c r="AZ327" s="72"/>
    </row>
    <row r="328" spans="1:52">
      <c r="A328" s="131"/>
      <c r="B328" s="72"/>
      <c r="D328" s="72"/>
      <c r="G328" s="72"/>
      <c r="J328" s="72"/>
      <c r="M328" s="72"/>
      <c r="P328" s="72"/>
      <c r="S328" s="72"/>
      <c r="V328" s="72"/>
      <c r="Y328" s="72"/>
      <c r="AB328" s="72"/>
      <c r="AE328" s="72"/>
      <c r="AH328" s="72"/>
      <c r="AK328" s="72"/>
      <c r="AN328" s="72"/>
      <c r="AQ328" s="72"/>
      <c r="AT328" s="72"/>
      <c r="AW328" s="72"/>
      <c r="AZ328" s="72"/>
    </row>
    <row r="329" spans="1:52">
      <c r="A329" s="131"/>
      <c r="B329" s="72"/>
      <c r="D329" s="72"/>
      <c r="G329" s="72"/>
      <c r="J329" s="72"/>
      <c r="M329" s="72"/>
      <c r="P329" s="72"/>
      <c r="S329" s="72"/>
      <c r="V329" s="72"/>
      <c r="Y329" s="72"/>
      <c r="AB329" s="72"/>
      <c r="AE329" s="72"/>
      <c r="AH329" s="72"/>
      <c r="AK329" s="72"/>
      <c r="AN329" s="72"/>
      <c r="AQ329" s="72"/>
      <c r="AT329" s="72"/>
      <c r="AW329" s="72"/>
      <c r="AZ329" s="72"/>
    </row>
    <row r="330" spans="1:52">
      <c r="A330" s="131"/>
      <c r="B330" s="72"/>
      <c r="D330" s="72"/>
      <c r="G330" s="72"/>
      <c r="J330" s="72"/>
      <c r="M330" s="72"/>
      <c r="P330" s="72"/>
      <c r="S330" s="72"/>
      <c r="V330" s="72"/>
      <c r="Y330" s="72"/>
      <c r="AB330" s="72"/>
      <c r="AE330" s="72"/>
      <c r="AH330" s="72"/>
      <c r="AK330" s="72"/>
      <c r="AN330" s="72"/>
      <c r="AQ330" s="72"/>
      <c r="AT330" s="72"/>
      <c r="AW330" s="72"/>
      <c r="AZ330" s="72"/>
    </row>
    <row r="331" spans="1:52">
      <c r="A331" s="131"/>
      <c r="B331" s="72"/>
      <c r="D331" s="72"/>
      <c r="G331" s="72"/>
      <c r="J331" s="72"/>
      <c r="M331" s="72"/>
      <c r="P331" s="72"/>
      <c r="S331" s="72"/>
      <c r="V331" s="72"/>
      <c r="Y331" s="72"/>
      <c r="AB331" s="72"/>
      <c r="AE331" s="72"/>
      <c r="AH331" s="72"/>
      <c r="AK331" s="72"/>
      <c r="AN331" s="72"/>
      <c r="AQ331" s="72"/>
      <c r="AT331" s="72"/>
      <c r="AW331" s="72"/>
      <c r="AZ331" s="72"/>
    </row>
    <row r="332" spans="1:52">
      <c r="A332" s="131"/>
      <c r="B332" s="72"/>
      <c r="D332" s="72"/>
      <c r="G332" s="72"/>
      <c r="J332" s="72"/>
      <c r="M332" s="72"/>
      <c r="P332" s="72"/>
      <c r="S332" s="72"/>
      <c r="V332" s="72"/>
      <c r="Y332" s="72"/>
      <c r="AB332" s="72"/>
      <c r="AE332" s="72"/>
      <c r="AH332" s="72"/>
      <c r="AK332" s="72"/>
      <c r="AN332" s="72"/>
      <c r="AQ332" s="72"/>
      <c r="AT332" s="72"/>
      <c r="AW332" s="72"/>
      <c r="AZ332" s="72"/>
    </row>
    <row r="333" spans="1:52">
      <c r="A333" s="131"/>
      <c r="B333" s="72"/>
      <c r="D333" s="72"/>
      <c r="G333" s="72"/>
      <c r="J333" s="72"/>
      <c r="M333" s="72"/>
      <c r="P333" s="72"/>
      <c r="S333" s="72"/>
      <c r="V333" s="72"/>
      <c r="Y333" s="72"/>
      <c r="AB333" s="72"/>
      <c r="AE333" s="72"/>
      <c r="AH333" s="72"/>
      <c r="AK333" s="72"/>
      <c r="AN333" s="72"/>
      <c r="AQ333" s="72"/>
      <c r="AT333" s="72"/>
      <c r="AW333" s="72"/>
      <c r="AZ333" s="72"/>
    </row>
    <row r="334" spans="1:52">
      <c r="A334" s="131"/>
      <c r="B334" s="72"/>
      <c r="D334" s="72"/>
      <c r="G334" s="72"/>
      <c r="J334" s="72"/>
      <c r="M334" s="72"/>
      <c r="P334" s="72"/>
      <c r="S334" s="72"/>
      <c r="V334" s="72"/>
      <c r="Y334" s="72"/>
      <c r="AB334" s="72"/>
      <c r="AE334" s="72"/>
      <c r="AH334" s="72"/>
      <c r="AK334" s="72"/>
      <c r="AN334" s="72"/>
      <c r="AQ334" s="72"/>
      <c r="AT334" s="72"/>
      <c r="AW334" s="72"/>
      <c r="AZ334" s="72"/>
    </row>
    <row r="335" spans="1:52">
      <c r="A335" s="131"/>
      <c r="B335" s="72"/>
      <c r="D335" s="72"/>
      <c r="G335" s="72"/>
      <c r="J335" s="72"/>
      <c r="M335" s="72"/>
      <c r="P335" s="72"/>
      <c r="S335" s="72"/>
      <c r="V335" s="72"/>
      <c r="Y335" s="72"/>
      <c r="AB335" s="72"/>
      <c r="AE335" s="72"/>
      <c r="AH335" s="72"/>
      <c r="AK335" s="72"/>
      <c r="AN335" s="72"/>
      <c r="AQ335" s="72"/>
      <c r="AT335" s="72"/>
      <c r="AW335" s="72"/>
      <c r="AZ335" s="72"/>
    </row>
    <row r="336" spans="1:52">
      <c r="A336" s="131"/>
      <c r="B336" s="72"/>
      <c r="D336" s="72"/>
      <c r="G336" s="72"/>
      <c r="J336" s="72"/>
      <c r="M336" s="72"/>
      <c r="P336" s="72"/>
      <c r="S336" s="72"/>
      <c r="V336" s="72"/>
      <c r="Y336" s="72"/>
      <c r="AB336" s="72"/>
      <c r="AE336" s="72"/>
      <c r="AH336" s="72"/>
      <c r="AK336" s="72"/>
      <c r="AN336" s="72"/>
      <c r="AQ336" s="72"/>
      <c r="AT336" s="72"/>
      <c r="AW336" s="72"/>
      <c r="AZ336" s="72"/>
    </row>
    <row r="337" spans="1:52">
      <c r="A337" s="131"/>
      <c r="B337" s="72"/>
      <c r="D337" s="72"/>
      <c r="G337" s="72"/>
      <c r="J337" s="72"/>
      <c r="M337" s="72"/>
      <c r="P337" s="72"/>
      <c r="S337" s="72"/>
      <c r="V337" s="72"/>
      <c r="Y337" s="72"/>
      <c r="AB337" s="72"/>
      <c r="AE337" s="72"/>
      <c r="AH337" s="72"/>
      <c r="AK337" s="72"/>
      <c r="AN337" s="72"/>
      <c r="AQ337" s="72"/>
      <c r="AT337" s="72"/>
      <c r="AW337" s="72"/>
      <c r="AZ337" s="72"/>
    </row>
    <row r="338" spans="1:52">
      <c r="A338" s="131"/>
      <c r="B338" s="72"/>
      <c r="D338" s="72"/>
      <c r="G338" s="72"/>
      <c r="J338" s="72"/>
      <c r="M338" s="72"/>
      <c r="P338" s="72"/>
      <c r="S338" s="72"/>
      <c r="V338" s="72"/>
      <c r="Y338" s="72"/>
      <c r="AB338" s="72"/>
      <c r="AE338" s="72"/>
      <c r="AH338" s="72"/>
      <c r="AK338" s="72"/>
      <c r="AN338" s="72"/>
      <c r="AQ338" s="72"/>
      <c r="AT338" s="72"/>
      <c r="AW338" s="72"/>
      <c r="AZ338" s="72"/>
    </row>
    <row r="339" spans="1:52">
      <c r="A339" s="131"/>
      <c r="B339" s="72"/>
      <c r="D339" s="72"/>
      <c r="G339" s="72"/>
      <c r="J339" s="72"/>
      <c r="M339" s="72"/>
      <c r="P339" s="72"/>
      <c r="S339" s="72"/>
      <c r="V339" s="72"/>
      <c r="Y339" s="72"/>
      <c r="AB339" s="72"/>
      <c r="AE339" s="72"/>
      <c r="AH339" s="72"/>
      <c r="AK339" s="72"/>
      <c r="AN339" s="72"/>
      <c r="AQ339" s="72"/>
      <c r="AT339" s="72"/>
      <c r="AW339" s="72"/>
      <c r="AZ339" s="72"/>
    </row>
    <row r="340" spans="1:52">
      <c r="A340" s="131"/>
      <c r="B340" s="72"/>
      <c r="D340" s="72"/>
      <c r="G340" s="72"/>
      <c r="J340" s="72"/>
      <c r="M340" s="72"/>
      <c r="P340" s="72"/>
      <c r="S340" s="72"/>
      <c r="V340" s="72"/>
      <c r="Y340" s="72"/>
      <c r="AB340" s="72"/>
      <c r="AE340" s="72"/>
      <c r="AH340" s="72"/>
      <c r="AK340" s="72"/>
      <c r="AN340" s="72"/>
      <c r="AQ340" s="72"/>
      <c r="AT340" s="72"/>
      <c r="AW340" s="72"/>
      <c r="AZ340" s="72"/>
    </row>
    <row r="341" spans="1:52">
      <c r="A341" s="131"/>
      <c r="B341" s="72"/>
      <c r="D341" s="72"/>
      <c r="G341" s="72"/>
      <c r="J341" s="72"/>
      <c r="M341" s="72"/>
      <c r="P341" s="72"/>
      <c r="S341" s="72"/>
      <c r="V341" s="72"/>
      <c r="Y341" s="72"/>
      <c r="AB341" s="72"/>
      <c r="AE341" s="72"/>
      <c r="AH341" s="72"/>
      <c r="AK341" s="72"/>
      <c r="AN341" s="72"/>
      <c r="AQ341" s="72"/>
      <c r="AT341" s="72"/>
      <c r="AW341" s="72"/>
      <c r="AZ341" s="72"/>
    </row>
    <row r="342" spans="1:52">
      <c r="A342" s="131"/>
      <c r="B342" s="72"/>
      <c r="D342" s="72"/>
      <c r="G342" s="72"/>
      <c r="J342" s="72"/>
      <c r="M342" s="72"/>
      <c r="P342" s="72"/>
      <c r="S342" s="72"/>
      <c r="V342" s="72"/>
      <c r="Y342" s="72"/>
      <c r="AB342" s="72"/>
      <c r="AE342" s="72"/>
      <c r="AH342" s="72"/>
      <c r="AK342" s="72"/>
      <c r="AN342" s="72"/>
      <c r="AQ342" s="72"/>
      <c r="AT342" s="72"/>
      <c r="AW342" s="72"/>
      <c r="AZ342" s="72"/>
    </row>
    <row r="343" spans="1:52">
      <c r="A343" s="131"/>
      <c r="B343" s="72"/>
      <c r="D343" s="72"/>
      <c r="G343" s="72"/>
      <c r="J343" s="72"/>
      <c r="M343" s="72"/>
      <c r="P343" s="72"/>
      <c r="S343" s="72"/>
      <c r="V343" s="72"/>
      <c r="Y343" s="72"/>
      <c r="AB343" s="72"/>
      <c r="AE343" s="72"/>
      <c r="AH343" s="72"/>
      <c r="AK343" s="72"/>
      <c r="AN343" s="72"/>
      <c r="AQ343" s="72"/>
      <c r="AT343" s="72"/>
      <c r="AW343" s="72"/>
      <c r="AZ343" s="72"/>
    </row>
    <row r="344" spans="1:52">
      <c r="A344" s="131"/>
      <c r="B344" s="72"/>
      <c r="D344" s="72"/>
      <c r="G344" s="72"/>
      <c r="J344" s="72"/>
      <c r="M344" s="72"/>
      <c r="P344" s="72"/>
      <c r="S344" s="72"/>
      <c r="V344" s="72"/>
      <c r="Y344" s="72"/>
      <c r="AB344" s="72"/>
      <c r="AE344" s="72"/>
      <c r="AH344" s="72"/>
      <c r="AK344" s="72"/>
      <c r="AN344" s="72"/>
      <c r="AQ344" s="72"/>
      <c r="AT344" s="72"/>
      <c r="AW344" s="72"/>
      <c r="AZ344" s="72"/>
    </row>
    <row r="345" spans="1:52">
      <c r="A345" s="131"/>
      <c r="B345" s="72"/>
      <c r="D345" s="72"/>
      <c r="G345" s="72"/>
      <c r="J345" s="72"/>
      <c r="M345" s="72"/>
      <c r="P345" s="72"/>
      <c r="S345" s="72"/>
      <c r="V345" s="72"/>
      <c r="Y345" s="72"/>
      <c r="AB345" s="72"/>
      <c r="AE345" s="72"/>
      <c r="AH345" s="72"/>
      <c r="AK345" s="72"/>
      <c r="AN345" s="72"/>
      <c r="AQ345" s="72"/>
      <c r="AT345" s="72"/>
      <c r="AW345" s="72"/>
      <c r="AZ345" s="72"/>
    </row>
    <row r="346" spans="1:52">
      <c r="A346" s="131"/>
      <c r="B346" s="72"/>
      <c r="D346" s="72"/>
      <c r="G346" s="72"/>
      <c r="J346" s="72"/>
      <c r="M346" s="72"/>
      <c r="P346" s="72"/>
      <c r="S346" s="72"/>
      <c r="V346" s="72"/>
      <c r="Y346" s="72"/>
      <c r="AB346" s="72"/>
      <c r="AE346" s="72"/>
      <c r="AH346" s="72"/>
      <c r="AK346" s="72"/>
      <c r="AN346" s="72"/>
      <c r="AQ346" s="72"/>
      <c r="AT346" s="72"/>
      <c r="AW346" s="72"/>
      <c r="AZ346" s="72"/>
    </row>
    <row r="347" spans="1:52">
      <c r="A347" s="131"/>
      <c r="B347" s="72"/>
      <c r="D347" s="72"/>
      <c r="G347" s="72"/>
      <c r="J347" s="72"/>
      <c r="M347" s="72"/>
      <c r="P347" s="72"/>
      <c r="S347" s="72"/>
      <c r="V347" s="72"/>
      <c r="Y347" s="72"/>
      <c r="AB347" s="72"/>
      <c r="AE347" s="72"/>
      <c r="AH347" s="72"/>
      <c r="AK347" s="72"/>
      <c r="AN347" s="72"/>
      <c r="AQ347" s="72"/>
      <c r="AT347" s="72"/>
      <c r="AW347" s="72"/>
      <c r="AZ347" s="72"/>
    </row>
    <row r="348" spans="1:52">
      <c r="A348" s="131"/>
      <c r="B348" s="72"/>
      <c r="D348" s="72"/>
      <c r="G348" s="72"/>
      <c r="J348" s="72"/>
      <c r="M348" s="72"/>
      <c r="P348" s="72"/>
      <c r="S348" s="72"/>
      <c r="V348" s="72"/>
      <c r="Y348" s="72"/>
      <c r="AB348" s="72"/>
      <c r="AE348" s="72"/>
      <c r="AH348" s="72"/>
      <c r="AK348" s="72"/>
      <c r="AN348" s="72"/>
      <c r="AQ348" s="72"/>
      <c r="AT348" s="72"/>
      <c r="AW348" s="72"/>
      <c r="AZ348" s="72"/>
    </row>
    <row r="349" spans="1:52">
      <c r="A349" s="131"/>
      <c r="B349" s="72"/>
      <c r="D349" s="72"/>
      <c r="G349" s="72"/>
      <c r="J349" s="72"/>
      <c r="M349" s="72"/>
      <c r="P349" s="72"/>
      <c r="S349" s="72"/>
      <c r="V349" s="72"/>
      <c r="Y349" s="72"/>
      <c r="AB349" s="72"/>
      <c r="AE349" s="72"/>
      <c r="AH349" s="72"/>
      <c r="AK349" s="72"/>
      <c r="AN349" s="72"/>
      <c r="AQ349" s="72"/>
      <c r="AT349" s="72"/>
      <c r="AW349" s="72"/>
      <c r="AZ349" s="72"/>
    </row>
    <row r="350" spans="1:52">
      <c r="A350" s="131"/>
      <c r="B350" s="72"/>
      <c r="D350" s="72"/>
      <c r="G350" s="72"/>
      <c r="J350" s="72"/>
      <c r="M350" s="72"/>
      <c r="P350" s="72"/>
      <c r="S350" s="72"/>
      <c r="V350" s="72"/>
      <c r="Y350" s="72"/>
      <c r="AB350" s="72"/>
      <c r="AE350" s="72"/>
      <c r="AH350" s="72"/>
      <c r="AK350" s="72"/>
      <c r="AN350" s="72"/>
      <c r="AQ350" s="72"/>
      <c r="AT350" s="72"/>
      <c r="AW350" s="72"/>
      <c r="AZ350" s="72"/>
    </row>
    <row r="351" spans="1:52">
      <c r="A351" s="131"/>
      <c r="B351" s="72"/>
      <c r="D351" s="72"/>
      <c r="G351" s="72"/>
      <c r="J351" s="72"/>
      <c r="M351" s="72"/>
      <c r="P351" s="72"/>
      <c r="S351" s="72"/>
      <c r="V351" s="72"/>
      <c r="Y351" s="72"/>
      <c r="AB351" s="72"/>
      <c r="AE351" s="72"/>
      <c r="AH351" s="72"/>
      <c r="AK351" s="72"/>
      <c r="AN351" s="72"/>
      <c r="AQ351" s="72"/>
      <c r="AT351" s="72"/>
      <c r="AW351" s="72"/>
      <c r="AZ351" s="72"/>
    </row>
    <row r="352" spans="1:52">
      <c r="A352" s="131"/>
      <c r="B352" s="72"/>
      <c r="D352" s="72"/>
      <c r="G352" s="72"/>
      <c r="J352" s="72"/>
      <c r="M352" s="72"/>
      <c r="P352" s="72"/>
      <c r="S352" s="72"/>
      <c r="V352" s="72"/>
      <c r="Y352" s="72"/>
      <c r="AB352" s="72"/>
      <c r="AE352" s="72"/>
      <c r="AH352" s="72"/>
      <c r="AK352" s="72"/>
      <c r="AN352" s="72"/>
      <c r="AQ352" s="72"/>
      <c r="AT352" s="72"/>
      <c r="AW352" s="72"/>
      <c r="AZ352" s="72"/>
    </row>
    <row r="353" spans="1:52">
      <c r="A353" s="131"/>
      <c r="B353" s="72"/>
      <c r="D353" s="72"/>
      <c r="G353" s="72"/>
      <c r="J353" s="72"/>
      <c r="M353" s="72"/>
      <c r="P353" s="72"/>
      <c r="S353" s="72"/>
      <c r="V353" s="72"/>
      <c r="Y353" s="72"/>
      <c r="AB353" s="72"/>
      <c r="AE353" s="72"/>
      <c r="AH353" s="72"/>
      <c r="AK353" s="72"/>
      <c r="AN353" s="72"/>
      <c r="AQ353" s="72"/>
      <c r="AT353" s="72"/>
      <c r="AW353" s="72"/>
      <c r="AZ353" s="72"/>
    </row>
    <row r="354" spans="1:52">
      <c r="A354" s="131"/>
      <c r="B354" s="72"/>
      <c r="D354" s="72"/>
      <c r="G354" s="72"/>
      <c r="J354" s="72"/>
      <c r="M354" s="72"/>
      <c r="P354" s="72"/>
      <c r="S354" s="72"/>
      <c r="V354" s="72"/>
      <c r="Y354" s="72"/>
      <c r="AB354" s="72"/>
      <c r="AE354" s="72"/>
      <c r="AH354" s="72"/>
      <c r="AK354" s="72"/>
      <c r="AN354" s="72"/>
      <c r="AQ354" s="72"/>
      <c r="AT354" s="72"/>
      <c r="AW354" s="72"/>
      <c r="AZ354" s="72"/>
    </row>
    <row r="355" spans="1:52">
      <c r="A355" s="131"/>
      <c r="B355" s="72"/>
      <c r="D355" s="72"/>
      <c r="G355" s="72"/>
      <c r="J355" s="72"/>
      <c r="M355" s="72"/>
      <c r="P355" s="72"/>
      <c r="S355" s="72"/>
      <c r="V355" s="72"/>
      <c r="Y355" s="72"/>
      <c r="AB355" s="72"/>
      <c r="AE355" s="72"/>
      <c r="AH355" s="72"/>
      <c r="AK355" s="72"/>
      <c r="AN355" s="72"/>
      <c r="AQ355" s="72"/>
      <c r="AT355" s="72"/>
      <c r="AW355" s="72"/>
      <c r="AZ355" s="72"/>
    </row>
    <row r="356" spans="1:52">
      <c r="A356" s="131"/>
      <c r="B356" s="72"/>
      <c r="D356" s="72"/>
      <c r="G356" s="72"/>
      <c r="J356" s="72"/>
      <c r="M356" s="72"/>
      <c r="P356" s="72"/>
      <c r="S356" s="72"/>
      <c r="V356" s="72"/>
      <c r="Y356" s="72"/>
      <c r="AB356" s="72"/>
      <c r="AE356" s="72"/>
      <c r="AH356" s="72"/>
      <c r="AK356" s="72"/>
      <c r="AN356" s="72"/>
      <c r="AQ356" s="72"/>
      <c r="AT356" s="72"/>
      <c r="AW356" s="72"/>
      <c r="AZ356" s="72"/>
    </row>
    <row r="357" spans="1:52">
      <c r="A357" s="131"/>
      <c r="B357" s="72"/>
      <c r="D357" s="72"/>
      <c r="G357" s="72"/>
      <c r="J357" s="72"/>
      <c r="M357" s="72"/>
      <c r="P357" s="72"/>
      <c r="S357" s="72"/>
      <c r="V357" s="72"/>
      <c r="Y357" s="72"/>
      <c r="AB357" s="72"/>
      <c r="AE357" s="72"/>
      <c r="AH357" s="72"/>
      <c r="AK357" s="72"/>
      <c r="AN357" s="72"/>
      <c r="AQ357" s="72"/>
      <c r="AT357" s="72"/>
      <c r="AW357" s="72"/>
      <c r="AZ357" s="72"/>
    </row>
    <row r="358" spans="1:52">
      <c r="A358" s="131"/>
      <c r="B358" s="72"/>
      <c r="D358" s="72"/>
      <c r="G358" s="72"/>
      <c r="J358" s="72"/>
      <c r="M358" s="72"/>
      <c r="P358" s="72"/>
      <c r="S358" s="72"/>
      <c r="V358" s="72"/>
      <c r="Y358" s="72"/>
      <c r="AB358" s="72"/>
      <c r="AE358" s="72"/>
      <c r="AH358" s="72"/>
      <c r="AK358" s="72"/>
      <c r="AN358" s="72"/>
      <c r="AQ358" s="72"/>
      <c r="AT358" s="72"/>
      <c r="AW358" s="72"/>
      <c r="AZ358" s="72"/>
    </row>
    <row r="359" spans="1:52">
      <c r="A359" s="131"/>
      <c r="B359" s="72"/>
      <c r="D359" s="72"/>
      <c r="G359" s="72"/>
      <c r="J359" s="72"/>
      <c r="M359" s="72"/>
      <c r="P359" s="72"/>
      <c r="S359" s="72"/>
      <c r="V359" s="72"/>
      <c r="Y359" s="72"/>
      <c r="AB359" s="72"/>
      <c r="AE359" s="72"/>
      <c r="AH359" s="72"/>
      <c r="AK359" s="72"/>
      <c r="AN359" s="72"/>
      <c r="AQ359" s="72"/>
      <c r="AT359" s="72"/>
      <c r="AW359" s="72"/>
      <c r="AZ359" s="72"/>
    </row>
    <row r="360" spans="1:52">
      <c r="A360" s="131"/>
      <c r="B360" s="72"/>
      <c r="D360" s="72"/>
      <c r="G360" s="72"/>
      <c r="J360" s="72"/>
      <c r="M360" s="72"/>
      <c r="P360" s="72"/>
      <c r="S360" s="72"/>
      <c r="V360" s="72"/>
      <c r="Y360" s="72"/>
      <c r="AB360" s="72"/>
      <c r="AE360" s="72"/>
      <c r="AH360" s="72"/>
      <c r="AK360" s="72"/>
      <c r="AN360" s="72"/>
      <c r="AQ360" s="72"/>
      <c r="AT360" s="72"/>
      <c r="AW360" s="72"/>
      <c r="AZ360" s="72"/>
    </row>
    <row r="361" spans="1:52">
      <c r="A361" s="131"/>
      <c r="B361" s="72"/>
      <c r="D361" s="72"/>
      <c r="G361" s="72"/>
      <c r="J361" s="72"/>
      <c r="M361" s="72"/>
      <c r="P361" s="72"/>
      <c r="S361" s="72"/>
      <c r="V361" s="72"/>
      <c r="Y361" s="72"/>
      <c r="AB361" s="72"/>
      <c r="AE361" s="72"/>
      <c r="AH361" s="72"/>
      <c r="AK361" s="72"/>
      <c r="AN361" s="72"/>
      <c r="AQ361" s="72"/>
      <c r="AT361" s="72"/>
      <c r="AW361" s="72"/>
      <c r="AZ361" s="72"/>
    </row>
    <row r="362" spans="1:52">
      <c r="A362" s="131"/>
      <c r="B362" s="72"/>
      <c r="D362" s="72"/>
      <c r="G362" s="72"/>
      <c r="J362" s="72"/>
      <c r="M362" s="72"/>
      <c r="P362" s="72"/>
      <c r="S362" s="72"/>
      <c r="V362" s="72"/>
      <c r="Y362" s="72"/>
      <c r="AB362" s="72"/>
      <c r="AE362" s="72"/>
      <c r="AH362" s="72"/>
      <c r="AK362" s="72"/>
      <c r="AN362" s="72"/>
      <c r="AQ362" s="72"/>
      <c r="AT362" s="72"/>
      <c r="AW362" s="72"/>
      <c r="AZ362" s="72"/>
    </row>
    <row r="363" spans="1:52">
      <c r="A363" s="131"/>
      <c r="B363" s="72"/>
      <c r="D363" s="72"/>
      <c r="G363" s="72"/>
      <c r="J363" s="72"/>
      <c r="M363" s="72"/>
      <c r="P363" s="72"/>
      <c r="S363" s="72"/>
      <c r="V363" s="72"/>
      <c r="Y363" s="72"/>
      <c r="AB363" s="72"/>
      <c r="AE363" s="72"/>
      <c r="AH363" s="72"/>
      <c r="AK363" s="72"/>
      <c r="AN363" s="72"/>
      <c r="AQ363" s="72"/>
      <c r="AT363" s="72"/>
      <c r="AW363" s="72"/>
      <c r="AZ363" s="72"/>
    </row>
    <row r="364" spans="1:52">
      <c r="A364" s="131"/>
      <c r="B364" s="72"/>
      <c r="D364" s="72"/>
      <c r="G364" s="72"/>
      <c r="J364" s="72"/>
      <c r="M364" s="72"/>
      <c r="P364" s="72"/>
      <c r="S364" s="72"/>
      <c r="V364" s="72"/>
      <c r="Y364" s="72"/>
      <c r="AB364" s="72"/>
      <c r="AE364" s="72"/>
      <c r="AH364" s="72"/>
      <c r="AK364" s="72"/>
      <c r="AN364" s="72"/>
      <c r="AQ364" s="72"/>
      <c r="AT364" s="72"/>
      <c r="AW364" s="72"/>
      <c r="AZ364" s="72"/>
    </row>
    <row r="365" spans="1:52">
      <c r="A365" s="131"/>
      <c r="B365" s="72"/>
      <c r="D365" s="72"/>
      <c r="G365" s="72"/>
      <c r="J365" s="72"/>
      <c r="M365" s="72"/>
      <c r="P365" s="72"/>
      <c r="S365" s="72"/>
      <c r="V365" s="72"/>
      <c r="Y365" s="72"/>
      <c r="AB365" s="72"/>
      <c r="AE365" s="72"/>
      <c r="AH365" s="72"/>
      <c r="AK365" s="72"/>
      <c r="AN365" s="72"/>
      <c r="AQ365" s="72"/>
      <c r="AT365" s="72"/>
      <c r="AW365" s="72"/>
      <c r="AZ365" s="72"/>
    </row>
    <row r="366" spans="1:52">
      <c r="A366" s="131"/>
      <c r="B366" s="72"/>
      <c r="D366" s="72"/>
      <c r="G366" s="72"/>
      <c r="J366" s="72"/>
      <c r="M366" s="72"/>
      <c r="P366" s="72"/>
      <c r="S366" s="72"/>
      <c r="V366" s="72"/>
      <c r="Y366" s="72"/>
      <c r="AB366" s="72"/>
      <c r="AE366" s="72"/>
      <c r="AH366" s="72"/>
      <c r="AK366" s="72"/>
      <c r="AN366" s="72"/>
      <c r="AQ366" s="72"/>
      <c r="AT366" s="72"/>
      <c r="AW366" s="72"/>
      <c r="AZ366" s="72"/>
    </row>
    <row r="367" spans="1:52">
      <c r="A367" s="131"/>
      <c r="B367" s="72"/>
      <c r="D367" s="72"/>
      <c r="G367" s="72"/>
      <c r="J367" s="72"/>
      <c r="M367" s="72"/>
      <c r="P367" s="72"/>
      <c r="S367" s="72"/>
      <c r="V367" s="72"/>
      <c r="Y367" s="72"/>
      <c r="AB367" s="72"/>
      <c r="AE367" s="72"/>
      <c r="AH367" s="72"/>
      <c r="AK367" s="72"/>
      <c r="AN367" s="72"/>
      <c r="AQ367" s="72"/>
      <c r="AT367" s="72"/>
      <c r="AW367" s="72"/>
      <c r="AZ367" s="72"/>
    </row>
    <row r="368" spans="1:52">
      <c r="A368" s="131"/>
      <c r="B368" s="72"/>
      <c r="D368" s="72"/>
      <c r="G368" s="72"/>
      <c r="J368" s="72"/>
      <c r="M368" s="72"/>
      <c r="P368" s="72"/>
      <c r="S368" s="72"/>
      <c r="V368" s="72"/>
      <c r="Y368" s="72"/>
      <c r="AB368" s="72"/>
      <c r="AE368" s="72"/>
      <c r="AH368" s="72"/>
      <c r="AK368" s="72"/>
      <c r="AN368" s="72"/>
      <c r="AQ368" s="72"/>
      <c r="AT368" s="72"/>
      <c r="AW368" s="72"/>
      <c r="AZ368" s="72"/>
    </row>
    <row r="369" spans="1:52">
      <c r="A369" s="131"/>
      <c r="B369" s="72"/>
      <c r="D369" s="72"/>
      <c r="G369" s="72"/>
      <c r="J369" s="72"/>
      <c r="M369" s="72"/>
      <c r="P369" s="72"/>
      <c r="S369" s="72"/>
      <c r="V369" s="72"/>
      <c r="Y369" s="72"/>
      <c r="AB369" s="72"/>
      <c r="AE369" s="72"/>
      <c r="AH369" s="72"/>
      <c r="AK369" s="72"/>
      <c r="AN369" s="72"/>
      <c r="AQ369" s="72"/>
      <c r="AT369" s="72"/>
      <c r="AW369" s="72"/>
      <c r="AZ369" s="72"/>
    </row>
    <row r="370" spans="1:52">
      <c r="A370" s="131"/>
      <c r="B370" s="72"/>
      <c r="D370" s="72"/>
      <c r="G370" s="72"/>
      <c r="J370" s="72"/>
      <c r="M370" s="72"/>
      <c r="P370" s="72"/>
      <c r="S370" s="72"/>
      <c r="V370" s="72"/>
      <c r="Y370" s="72"/>
      <c r="AB370" s="72"/>
      <c r="AE370" s="72"/>
      <c r="AH370" s="72"/>
      <c r="AK370" s="72"/>
      <c r="AN370" s="72"/>
      <c r="AQ370" s="72"/>
      <c r="AT370" s="72"/>
      <c r="AW370" s="72"/>
      <c r="AZ370" s="72"/>
    </row>
    <row r="371" spans="1:52">
      <c r="A371" s="131"/>
      <c r="B371" s="72"/>
      <c r="D371" s="72"/>
      <c r="G371" s="72"/>
      <c r="J371" s="72"/>
      <c r="M371" s="72"/>
      <c r="P371" s="72"/>
      <c r="S371" s="72"/>
      <c r="V371" s="72"/>
      <c r="Y371" s="72"/>
      <c r="AB371" s="72"/>
      <c r="AE371" s="72"/>
      <c r="AH371" s="72"/>
      <c r="AK371" s="72"/>
      <c r="AN371" s="72"/>
      <c r="AQ371" s="72"/>
      <c r="AT371" s="72"/>
      <c r="AW371" s="72"/>
      <c r="AZ371" s="72"/>
    </row>
    <row r="372" spans="1:52">
      <c r="A372" s="131"/>
      <c r="B372" s="72"/>
      <c r="D372" s="72"/>
      <c r="G372" s="72"/>
      <c r="J372" s="72"/>
      <c r="M372" s="72"/>
      <c r="P372" s="72"/>
      <c r="S372" s="72"/>
      <c r="V372" s="72"/>
      <c r="Y372" s="72"/>
      <c r="AB372" s="72"/>
      <c r="AE372" s="72"/>
      <c r="AH372" s="72"/>
      <c r="AK372" s="72"/>
      <c r="AN372" s="72"/>
      <c r="AQ372" s="72"/>
      <c r="AT372" s="72"/>
      <c r="AW372" s="72"/>
      <c r="AZ372" s="72"/>
    </row>
    <row r="373" spans="1:52">
      <c r="A373" s="131"/>
      <c r="B373" s="72"/>
      <c r="D373" s="72"/>
      <c r="G373" s="72"/>
      <c r="J373" s="72"/>
      <c r="M373" s="72"/>
      <c r="P373" s="72"/>
      <c r="S373" s="72"/>
      <c r="V373" s="72"/>
      <c r="Y373" s="72"/>
      <c r="AB373" s="72"/>
      <c r="AE373" s="72"/>
      <c r="AH373" s="72"/>
      <c r="AK373" s="72"/>
      <c r="AN373" s="72"/>
      <c r="AQ373" s="72"/>
      <c r="AT373" s="72"/>
      <c r="AW373" s="72"/>
      <c r="AZ373" s="72"/>
    </row>
    <row r="374" spans="1:52">
      <c r="A374" s="131"/>
      <c r="B374" s="72"/>
      <c r="D374" s="72"/>
      <c r="G374" s="72"/>
      <c r="J374" s="72"/>
      <c r="M374" s="72"/>
      <c r="P374" s="72"/>
      <c r="S374" s="72"/>
      <c r="V374" s="72"/>
      <c r="Y374" s="72"/>
      <c r="AB374" s="72"/>
      <c r="AE374" s="72"/>
      <c r="AH374" s="72"/>
      <c r="AK374" s="72"/>
      <c r="AN374" s="72"/>
      <c r="AQ374" s="72"/>
      <c r="AT374" s="72"/>
      <c r="AW374" s="72"/>
      <c r="AZ374" s="72"/>
    </row>
    <row r="375" spans="1:52">
      <c r="A375" s="131"/>
      <c r="B375" s="72"/>
      <c r="D375" s="72"/>
      <c r="G375" s="72"/>
      <c r="J375" s="72"/>
      <c r="M375" s="72"/>
      <c r="P375" s="72"/>
      <c r="S375" s="72"/>
      <c r="V375" s="72"/>
      <c r="Y375" s="72"/>
      <c r="AB375" s="72"/>
      <c r="AE375" s="72"/>
      <c r="AH375" s="72"/>
      <c r="AK375" s="72"/>
      <c r="AN375" s="72"/>
      <c r="AQ375" s="72"/>
      <c r="AT375" s="72"/>
      <c r="AW375" s="72"/>
      <c r="AZ375" s="72"/>
    </row>
    <row r="376" spans="1:52">
      <c r="A376" s="131"/>
      <c r="B376" s="72"/>
      <c r="D376" s="72"/>
      <c r="G376" s="72"/>
      <c r="J376" s="72"/>
      <c r="M376" s="72"/>
      <c r="P376" s="72"/>
      <c r="S376" s="72"/>
      <c r="V376" s="72"/>
      <c r="Y376" s="72"/>
      <c r="AB376" s="72"/>
      <c r="AE376" s="72"/>
      <c r="AH376" s="72"/>
      <c r="AK376" s="72"/>
      <c r="AN376" s="72"/>
      <c r="AQ376" s="72"/>
      <c r="AT376" s="72"/>
      <c r="AW376" s="72"/>
      <c r="AZ376" s="72"/>
    </row>
    <row r="377" spans="1:52">
      <c r="A377" s="131"/>
      <c r="B377" s="72"/>
      <c r="D377" s="72"/>
      <c r="G377" s="72"/>
      <c r="J377" s="72"/>
      <c r="M377" s="72"/>
      <c r="P377" s="72"/>
      <c r="S377" s="72"/>
      <c r="V377" s="72"/>
      <c r="Y377" s="72"/>
      <c r="AB377" s="72"/>
      <c r="AE377" s="72"/>
      <c r="AH377" s="72"/>
      <c r="AK377" s="72"/>
      <c r="AN377" s="72"/>
      <c r="AQ377" s="72"/>
      <c r="AT377" s="72"/>
      <c r="AW377" s="72"/>
      <c r="AZ377" s="72"/>
    </row>
    <row r="378" spans="1:52">
      <c r="A378" s="131"/>
      <c r="B378" s="72"/>
      <c r="D378" s="72"/>
      <c r="G378" s="72"/>
      <c r="J378" s="72"/>
      <c r="M378" s="72"/>
      <c r="P378" s="72"/>
      <c r="S378" s="72"/>
      <c r="V378" s="72"/>
      <c r="Y378" s="72"/>
      <c r="AB378" s="72"/>
      <c r="AE378" s="72"/>
      <c r="AH378" s="72"/>
      <c r="AK378" s="72"/>
      <c r="AN378" s="72"/>
      <c r="AQ378" s="72"/>
      <c r="AT378" s="72"/>
      <c r="AW378" s="72"/>
      <c r="AZ378" s="72"/>
    </row>
    <row r="379" spans="1:52">
      <c r="A379" s="131"/>
      <c r="B379" s="72"/>
      <c r="D379" s="72"/>
      <c r="G379" s="72"/>
      <c r="J379" s="72"/>
      <c r="M379" s="72"/>
      <c r="P379" s="72"/>
      <c r="S379" s="72"/>
      <c r="V379" s="72"/>
      <c r="Y379" s="72"/>
      <c r="AB379" s="72"/>
      <c r="AE379" s="72"/>
      <c r="AH379" s="72"/>
      <c r="AK379" s="72"/>
      <c r="AN379" s="72"/>
      <c r="AQ379" s="72"/>
      <c r="AT379" s="72"/>
      <c r="AW379" s="72"/>
      <c r="AZ379" s="72"/>
    </row>
    <row r="380" spans="1:52">
      <c r="A380" s="131"/>
      <c r="B380" s="72"/>
      <c r="D380" s="72"/>
      <c r="G380" s="72"/>
      <c r="J380" s="72"/>
      <c r="M380" s="72"/>
      <c r="P380" s="72"/>
      <c r="S380" s="72"/>
      <c r="V380" s="72"/>
      <c r="Y380" s="72"/>
      <c r="AB380" s="72"/>
      <c r="AE380" s="72"/>
      <c r="AH380" s="72"/>
      <c r="AK380" s="72"/>
      <c r="AN380" s="72"/>
      <c r="AQ380" s="72"/>
      <c r="AT380" s="72"/>
      <c r="AW380" s="72"/>
      <c r="AZ380" s="72"/>
    </row>
    <row r="381" spans="1:52">
      <c r="A381" s="131"/>
      <c r="B381" s="72"/>
      <c r="D381" s="72"/>
      <c r="G381" s="72"/>
      <c r="J381" s="72"/>
      <c r="M381" s="72"/>
      <c r="P381" s="72"/>
      <c r="S381" s="72"/>
      <c r="V381" s="72"/>
      <c r="Y381" s="72"/>
      <c r="AB381" s="72"/>
      <c r="AE381" s="72"/>
      <c r="AH381" s="72"/>
      <c r="AK381" s="72"/>
      <c r="AN381" s="72"/>
      <c r="AQ381" s="72"/>
      <c r="AT381" s="72"/>
      <c r="AW381" s="72"/>
      <c r="AZ381" s="72"/>
    </row>
    <row r="382" spans="1:52">
      <c r="A382" s="131"/>
      <c r="B382" s="72"/>
      <c r="D382" s="72"/>
      <c r="G382" s="72"/>
      <c r="J382" s="72"/>
      <c r="M382" s="72"/>
      <c r="P382" s="72"/>
      <c r="S382" s="72"/>
      <c r="V382" s="72"/>
      <c r="Y382" s="72"/>
      <c r="AB382" s="72"/>
      <c r="AE382" s="72"/>
      <c r="AH382" s="72"/>
      <c r="AK382" s="72"/>
      <c r="AN382" s="72"/>
      <c r="AQ382" s="72"/>
      <c r="AT382" s="72"/>
      <c r="AW382" s="72"/>
      <c r="AZ382" s="72"/>
    </row>
    <row r="383" spans="1:52">
      <c r="A383" s="131"/>
      <c r="B383" s="72"/>
      <c r="D383" s="72"/>
      <c r="G383" s="72"/>
      <c r="J383" s="72"/>
      <c r="M383" s="72"/>
      <c r="P383" s="72"/>
      <c r="S383" s="72"/>
      <c r="V383" s="72"/>
      <c r="Y383" s="72"/>
      <c r="AB383" s="72"/>
      <c r="AE383" s="72"/>
      <c r="AH383" s="72"/>
      <c r="AK383" s="72"/>
      <c r="AN383" s="72"/>
      <c r="AQ383" s="72"/>
      <c r="AT383" s="72"/>
      <c r="AW383" s="72"/>
      <c r="AZ383" s="72"/>
    </row>
    <row r="384" spans="1:52">
      <c r="A384" s="131"/>
      <c r="B384" s="72"/>
      <c r="D384" s="72"/>
      <c r="G384" s="72"/>
      <c r="J384" s="72"/>
      <c r="M384" s="72"/>
      <c r="P384" s="72"/>
      <c r="S384" s="72"/>
      <c r="V384" s="72"/>
      <c r="Y384" s="72"/>
      <c r="AB384" s="72"/>
      <c r="AE384" s="72"/>
      <c r="AH384" s="72"/>
      <c r="AK384" s="72"/>
      <c r="AN384" s="72"/>
      <c r="AQ384" s="72"/>
      <c r="AT384" s="72"/>
      <c r="AW384" s="72"/>
      <c r="AZ384" s="72"/>
    </row>
    <row r="385" spans="1:52">
      <c r="A385" s="131"/>
      <c r="B385" s="72"/>
      <c r="D385" s="72"/>
      <c r="G385" s="72"/>
      <c r="J385" s="72"/>
      <c r="M385" s="72"/>
      <c r="P385" s="72"/>
      <c r="S385" s="72"/>
      <c r="V385" s="72"/>
      <c r="Y385" s="72"/>
      <c r="AB385" s="72"/>
      <c r="AE385" s="72"/>
      <c r="AH385" s="72"/>
      <c r="AK385" s="72"/>
      <c r="AN385" s="72"/>
      <c r="AQ385" s="72"/>
      <c r="AT385" s="72"/>
      <c r="AW385" s="72"/>
      <c r="AZ385" s="72"/>
    </row>
    <row r="386" spans="1:52">
      <c r="A386" s="131"/>
      <c r="B386" s="72"/>
      <c r="D386" s="72"/>
      <c r="G386" s="72"/>
      <c r="J386" s="72"/>
      <c r="M386" s="72"/>
      <c r="P386" s="72"/>
      <c r="S386" s="72"/>
      <c r="V386" s="72"/>
      <c r="Y386" s="72"/>
      <c r="AB386" s="72"/>
      <c r="AE386" s="72"/>
      <c r="AH386" s="72"/>
      <c r="AK386" s="72"/>
      <c r="AN386" s="72"/>
      <c r="AQ386" s="72"/>
      <c r="AT386" s="72"/>
      <c r="AW386" s="72"/>
      <c r="AZ386" s="72"/>
    </row>
    <row r="387" spans="1:52">
      <c r="A387" s="131"/>
      <c r="B387" s="72"/>
      <c r="D387" s="72"/>
      <c r="G387" s="72"/>
      <c r="J387" s="72"/>
      <c r="M387" s="72"/>
      <c r="P387" s="72"/>
      <c r="S387" s="72"/>
      <c r="V387" s="72"/>
      <c r="Y387" s="72"/>
      <c r="AB387" s="72"/>
      <c r="AE387" s="72"/>
      <c r="AH387" s="72"/>
      <c r="AK387" s="72"/>
      <c r="AN387" s="72"/>
      <c r="AQ387" s="72"/>
      <c r="AT387" s="72"/>
      <c r="AW387" s="72"/>
      <c r="AZ387" s="72"/>
    </row>
    <row r="388" spans="1:52">
      <c r="A388" s="131"/>
      <c r="B388" s="72"/>
      <c r="D388" s="72"/>
      <c r="G388" s="72"/>
      <c r="J388" s="72"/>
      <c r="M388" s="72"/>
      <c r="P388" s="72"/>
      <c r="S388" s="72"/>
      <c r="V388" s="72"/>
      <c r="Y388" s="72"/>
      <c r="AB388" s="72"/>
      <c r="AE388" s="72"/>
      <c r="AH388" s="72"/>
      <c r="AK388" s="72"/>
      <c r="AN388" s="72"/>
      <c r="AQ388" s="72"/>
      <c r="AT388" s="72"/>
      <c r="AW388" s="72"/>
      <c r="AZ388" s="72"/>
    </row>
    <row r="389" spans="1:52">
      <c r="A389" s="131"/>
      <c r="B389" s="72"/>
      <c r="D389" s="72"/>
      <c r="G389" s="72"/>
      <c r="J389" s="72"/>
      <c r="M389" s="72"/>
      <c r="P389" s="72"/>
      <c r="S389" s="72"/>
      <c r="V389" s="72"/>
      <c r="Y389" s="72"/>
      <c r="AB389" s="72"/>
      <c r="AE389" s="72"/>
      <c r="AH389" s="72"/>
      <c r="AK389" s="72"/>
      <c r="AN389" s="72"/>
      <c r="AQ389" s="72"/>
      <c r="AT389" s="72"/>
      <c r="AW389" s="72"/>
      <c r="AZ389" s="72"/>
    </row>
    <row r="390" spans="1:52">
      <c r="A390" s="131"/>
      <c r="B390" s="72"/>
      <c r="D390" s="72"/>
      <c r="G390" s="72"/>
      <c r="J390" s="72"/>
      <c r="M390" s="72"/>
      <c r="P390" s="72"/>
      <c r="S390" s="72"/>
      <c r="V390" s="72"/>
      <c r="Y390" s="72"/>
      <c r="AB390" s="72"/>
      <c r="AE390" s="72"/>
      <c r="AH390" s="72"/>
      <c r="AK390" s="72"/>
      <c r="AN390" s="72"/>
      <c r="AQ390" s="72"/>
      <c r="AT390" s="72"/>
      <c r="AW390" s="72"/>
      <c r="AZ390" s="72"/>
    </row>
    <row r="391" spans="1:52">
      <c r="A391" s="131"/>
      <c r="B391" s="72"/>
      <c r="D391" s="72"/>
      <c r="G391" s="72"/>
      <c r="J391" s="72"/>
      <c r="M391" s="72"/>
      <c r="P391" s="72"/>
      <c r="S391" s="72"/>
      <c r="V391" s="72"/>
      <c r="Y391" s="72"/>
      <c r="AB391" s="72"/>
      <c r="AE391" s="72"/>
      <c r="AH391" s="72"/>
      <c r="AK391" s="72"/>
      <c r="AN391" s="72"/>
      <c r="AQ391" s="72"/>
      <c r="AT391" s="72"/>
      <c r="AW391" s="72"/>
      <c r="AZ391" s="72"/>
    </row>
    <row r="392" spans="1:52">
      <c r="A392" s="131"/>
      <c r="B392" s="72"/>
      <c r="D392" s="72"/>
      <c r="G392" s="72"/>
      <c r="J392" s="72"/>
      <c r="M392" s="72"/>
      <c r="P392" s="72"/>
      <c r="S392" s="72"/>
      <c r="V392" s="72"/>
      <c r="Y392" s="72"/>
      <c r="AB392" s="72"/>
      <c r="AE392" s="72"/>
      <c r="AH392" s="72"/>
      <c r="AK392" s="72"/>
      <c r="AN392" s="72"/>
      <c r="AQ392" s="72"/>
      <c r="AT392" s="72"/>
      <c r="AW392" s="72"/>
      <c r="AZ392" s="72"/>
    </row>
    <row r="393" spans="1:52">
      <c r="A393" s="131"/>
      <c r="B393" s="72"/>
      <c r="D393" s="72"/>
      <c r="G393" s="72"/>
      <c r="J393" s="72"/>
      <c r="M393" s="72"/>
      <c r="P393" s="72"/>
      <c r="S393" s="72"/>
      <c r="V393" s="72"/>
      <c r="Y393" s="72"/>
      <c r="AB393" s="72"/>
      <c r="AE393" s="72"/>
      <c r="AH393" s="72"/>
      <c r="AK393" s="72"/>
      <c r="AN393" s="72"/>
      <c r="AQ393" s="72"/>
      <c r="AT393" s="72"/>
      <c r="AW393" s="72"/>
      <c r="AZ393" s="72"/>
    </row>
    <row r="394" spans="1:52">
      <c r="A394" s="131"/>
      <c r="B394" s="72"/>
      <c r="D394" s="72"/>
      <c r="G394" s="72"/>
      <c r="J394" s="72"/>
      <c r="M394" s="72"/>
      <c r="P394" s="72"/>
      <c r="S394" s="72"/>
      <c r="V394" s="72"/>
      <c r="Y394" s="72"/>
      <c r="AB394" s="72"/>
      <c r="AE394" s="72"/>
      <c r="AH394" s="72"/>
      <c r="AK394" s="72"/>
      <c r="AN394" s="72"/>
      <c r="AQ394" s="72"/>
      <c r="AT394" s="72"/>
      <c r="AW394" s="72"/>
      <c r="AZ394" s="72"/>
    </row>
    <row r="395" spans="1:52">
      <c r="A395" s="131"/>
      <c r="B395" s="72"/>
      <c r="D395" s="72"/>
      <c r="G395" s="72"/>
      <c r="J395" s="72"/>
      <c r="M395" s="72"/>
      <c r="P395" s="72"/>
      <c r="S395" s="72"/>
      <c r="V395" s="72"/>
      <c r="Y395" s="72"/>
      <c r="AB395" s="72"/>
      <c r="AE395" s="72"/>
      <c r="AH395" s="72"/>
      <c r="AK395" s="72"/>
      <c r="AN395" s="72"/>
      <c r="AQ395" s="72"/>
      <c r="AT395" s="72"/>
      <c r="AW395" s="72"/>
      <c r="AZ395" s="72"/>
    </row>
    <row r="396" spans="1:52">
      <c r="A396" s="131"/>
      <c r="B396" s="72"/>
      <c r="D396" s="72"/>
      <c r="G396" s="72"/>
      <c r="J396" s="72"/>
      <c r="M396" s="72"/>
      <c r="P396" s="72"/>
      <c r="S396" s="72"/>
      <c r="V396" s="72"/>
      <c r="Y396" s="72"/>
      <c r="AB396" s="72"/>
      <c r="AE396" s="72"/>
      <c r="AH396" s="72"/>
      <c r="AK396" s="72"/>
      <c r="AN396" s="72"/>
      <c r="AQ396" s="72"/>
      <c r="AT396" s="72"/>
      <c r="AW396" s="72"/>
      <c r="AZ396" s="72"/>
    </row>
    <row r="397" spans="1:52">
      <c r="A397" s="131"/>
      <c r="B397" s="72"/>
      <c r="D397" s="72"/>
      <c r="G397" s="72"/>
      <c r="J397" s="72"/>
      <c r="M397" s="72"/>
      <c r="P397" s="72"/>
      <c r="S397" s="72"/>
      <c r="V397" s="72"/>
      <c r="Y397" s="72"/>
      <c r="AB397" s="72"/>
      <c r="AE397" s="72"/>
      <c r="AH397" s="72"/>
      <c r="AK397" s="72"/>
      <c r="AN397" s="72"/>
      <c r="AQ397" s="72"/>
      <c r="AT397" s="72"/>
      <c r="AW397" s="72"/>
      <c r="AZ397" s="72"/>
    </row>
    <row r="398" spans="1:52">
      <c r="A398" s="131"/>
      <c r="B398" s="72"/>
      <c r="D398" s="72"/>
      <c r="G398" s="72"/>
      <c r="J398" s="72"/>
      <c r="M398" s="72"/>
      <c r="P398" s="72"/>
      <c r="S398" s="72"/>
      <c r="V398" s="72"/>
      <c r="Y398" s="72"/>
      <c r="AB398" s="72"/>
      <c r="AE398" s="72"/>
      <c r="AH398" s="72"/>
      <c r="AK398" s="72"/>
      <c r="AN398" s="72"/>
      <c r="AQ398" s="72"/>
      <c r="AT398" s="72"/>
      <c r="AW398" s="72"/>
      <c r="AZ398" s="72"/>
    </row>
    <row r="399" spans="1:52">
      <c r="A399" s="131"/>
      <c r="B399" s="72"/>
      <c r="D399" s="72"/>
      <c r="G399" s="72"/>
      <c r="J399" s="72"/>
      <c r="M399" s="72"/>
      <c r="P399" s="72"/>
      <c r="S399" s="72"/>
      <c r="V399" s="72"/>
      <c r="Y399" s="72"/>
      <c r="AB399" s="72"/>
      <c r="AE399" s="72"/>
      <c r="AH399" s="72"/>
      <c r="AK399" s="72"/>
      <c r="AN399" s="72"/>
      <c r="AQ399" s="72"/>
      <c r="AT399" s="72"/>
      <c r="AW399" s="72"/>
      <c r="AZ399" s="72"/>
    </row>
    <row r="400" spans="1:52">
      <c r="A400" s="131"/>
      <c r="B400" s="72"/>
      <c r="D400" s="72"/>
      <c r="G400" s="72"/>
      <c r="J400" s="72"/>
      <c r="M400" s="72"/>
      <c r="P400" s="72"/>
      <c r="S400" s="72"/>
      <c r="V400" s="72"/>
      <c r="Y400" s="72"/>
      <c r="AB400" s="72"/>
      <c r="AE400" s="72"/>
      <c r="AH400" s="72"/>
      <c r="AK400" s="72"/>
      <c r="AN400" s="72"/>
      <c r="AQ400" s="72"/>
      <c r="AT400" s="72"/>
      <c r="AW400" s="72"/>
      <c r="AZ400" s="72"/>
    </row>
    <row r="401" spans="1:52">
      <c r="A401" s="131"/>
      <c r="B401" s="72"/>
      <c r="D401" s="72"/>
      <c r="G401" s="72"/>
      <c r="J401" s="72"/>
      <c r="M401" s="72"/>
      <c r="P401" s="72"/>
      <c r="S401" s="72"/>
      <c r="V401" s="72"/>
      <c r="Y401" s="72"/>
      <c r="AB401" s="72"/>
      <c r="AE401" s="72"/>
      <c r="AH401" s="72"/>
      <c r="AK401" s="72"/>
      <c r="AN401" s="72"/>
      <c r="AQ401" s="72"/>
      <c r="AT401" s="72"/>
      <c r="AW401" s="72"/>
      <c r="AZ401" s="72"/>
    </row>
    <row r="402" spans="1:52">
      <c r="A402" s="131"/>
      <c r="B402" s="72"/>
      <c r="D402" s="72"/>
      <c r="G402" s="72"/>
      <c r="J402" s="72"/>
      <c r="M402" s="72"/>
      <c r="P402" s="72"/>
      <c r="S402" s="72"/>
      <c r="V402" s="72"/>
      <c r="Y402" s="72"/>
      <c r="AB402" s="72"/>
      <c r="AE402" s="72"/>
      <c r="AH402" s="72"/>
      <c r="AK402" s="72"/>
      <c r="AN402" s="72"/>
      <c r="AQ402" s="72"/>
      <c r="AT402" s="72"/>
      <c r="AW402" s="72"/>
      <c r="AZ402" s="72"/>
    </row>
    <row r="403" spans="1:52">
      <c r="A403" s="131"/>
      <c r="B403" s="72"/>
      <c r="D403" s="72"/>
      <c r="G403" s="72"/>
      <c r="J403" s="72"/>
      <c r="M403" s="72"/>
      <c r="P403" s="72"/>
      <c r="S403" s="72"/>
      <c r="V403" s="72"/>
      <c r="Y403" s="72"/>
      <c r="AB403" s="72"/>
      <c r="AE403" s="72"/>
      <c r="AH403" s="72"/>
      <c r="AK403" s="72"/>
      <c r="AN403" s="72"/>
      <c r="AQ403" s="72"/>
      <c r="AT403" s="72"/>
      <c r="AW403" s="72"/>
      <c r="AZ403" s="72"/>
    </row>
    <row r="404" spans="1:52">
      <c r="A404" s="131"/>
      <c r="B404" s="72"/>
      <c r="D404" s="72"/>
      <c r="G404" s="72"/>
      <c r="J404" s="72"/>
      <c r="M404" s="72"/>
      <c r="P404" s="72"/>
      <c r="S404" s="72"/>
      <c r="V404" s="72"/>
      <c r="Y404" s="72"/>
      <c r="AB404" s="72"/>
      <c r="AE404" s="72"/>
      <c r="AH404" s="72"/>
      <c r="AK404" s="72"/>
      <c r="AN404" s="72"/>
      <c r="AQ404" s="72"/>
      <c r="AT404" s="72"/>
      <c r="AW404" s="72"/>
      <c r="AZ404" s="72"/>
    </row>
    <row r="405" spans="1:52">
      <c r="A405" s="131"/>
      <c r="B405" s="72"/>
      <c r="D405" s="72"/>
      <c r="G405" s="72"/>
      <c r="J405" s="72"/>
      <c r="M405" s="72"/>
      <c r="P405" s="72"/>
      <c r="S405" s="72"/>
      <c r="V405" s="72"/>
      <c r="Y405" s="72"/>
      <c r="AB405" s="72"/>
      <c r="AE405" s="72"/>
      <c r="AH405" s="72"/>
      <c r="AK405" s="72"/>
      <c r="AN405" s="72"/>
      <c r="AQ405" s="72"/>
      <c r="AT405" s="72"/>
      <c r="AW405" s="72"/>
      <c r="AZ405" s="72"/>
    </row>
    <row r="406" spans="1:52">
      <c r="A406" s="131"/>
      <c r="B406" s="72"/>
      <c r="D406" s="72"/>
      <c r="G406" s="72"/>
      <c r="J406" s="72"/>
      <c r="M406" s="72"/>
      <c r="P406" s="72"/>
      <c r="S406" s="72"/>
      <c r="V406" s="72"/>
      <c r="Y406" s="72"/>
      <c r="AB406" s="72"/>
      <c r="AE406" s="72"/>
      <c r="AH406" s="72"/>
      <c r="AK406" s="72"/>
      <c r="AN406" s="72"/>
      <c r="AQ406" s="72"/>
      <c r="AT406" s="72"/>
      <c r="AW406" s="72"/>
      <c r="AZ406" s="72"/>
    </row>
    <row r="407" spans="1:52">
      <c r="A407" s="131"/>
      <c r="B407" s="72"/>
      <c r="D407" s="72"/>
      <c r="G407" s="72"/>
      <c r="J407" s="72"/>
      <c r="M407" s="72"/>
      <c r="P407" s="72"/>
      <c r="S407" s="72"/>
      <c r="V407" s="72"/>
      <c r="Y407" s="72"/>
      <c r="AB407" s="72"/>
      <c r="AE407" s="72"/>
      <c r="AH407" s="72"/>
      <c r="AK407" s="72"/>
      <c r="AN407" s="72"/>
      <c r="AQ407" s="72"/>
      <c r="AT407" s="72"/>
      <c r="AW407" s="72"/>
      <c r="AZ407" s="72"/>
    </row>
    <row r="408" spans="1:52">
      <c r="A408" s="131"/>
      <c r="B408" s="72"/>
      <c r="D408" s="72"/>
      <c r="G408" s="72"/>
      <c r="J408" s="72"/>
      <c r="M408" s="72"/>
      <c r="P408" s="72"/>
      <c r="S408" s="72"/>
      <c r="V408" s="72"/>
      <c r="Y408" s="72"/>
      <c r="AB408" s="72"/>
      <c r="AE408" s="72"/>
      <c r="AH408" s="72"/>
      <c r="AK408" s="72"/>
      <c r="AN408" s="72"/>
      <c r="AQ408" s="72"/>
      <c r="AT408" s="72"/>
      <c r="AW408" s="72"/>
      <c r="AZ408" s="72"/>
    </row>
    <row r="409" spans="1:52">
      <c r="A409" s="131"/>
      <c r="B409" s="72"/>
      <c r="D409" s="72"/>
      <c r="G409" s="72"/>
      <c r="J409" s="72"/>
      <c r="M409" s="72"/>
      <c r="P409" s="72"/>
      <c r="S409" s="72"/>
      <c r="V409" s="72"/>
      <c r="Y409" s="72"/>
      <c r="AB409" s="72"/>
      <c r="AE409" s="72"/>
      <c r="AH409" s="72"/>
      <c r="AK409" s="72"/>
      <c r="AN409" s="72"/>
      <c r="AQ409" s="72"/>
      <c r="AT409" s="72"/>
      <c r="AW409" s="72"/>
      <c r="AZ409" s="72"/>
    </row>
    <row r="410" spans="1:52">
      <c r="A410" s="131"/>
      <c r="B410" s="72"/>
      <c r="D410" s="72"/>
      <c r="G410" s="72"/>
      <c r="J410" s="72"/>
      <c r="M410" s="72"/>
      <c r="P410" s="72"/>
      <c r="S410" s="72"/>
      <c r="V410" s="72"/>
      <c r="Y410" s="72"/>
      <c r="AB410" s="72"/>
      <c r="AE410" s="72"/>
      <c r="AH410" s="72"/>
      <c r="AK410" s="72"/>
      <c r="AN410" s="72"/>
      <c r="AQ410" s="72"/>
      <c r="AT410" s="72"/>
      <c r="AW410" s="72"/>
      <c r="AZ410" s="72"/>
    </row>
    <row r="411" spans="1:52">
      <c r="A411" s="131"/>
      <c r="B411" s="72"/>
      <c r="D411" s="72"/>
      <c r="G411" s="72"/>
      <c r="J411" s="72"/>
      <c r="M411" s="72"/>
      <c r="P411" s="72"/>
      <c r="S411" s="72"/>
      <c r="V411" s="72"/>
      <c r="Y411" s="72"/>
      <c r="AB411" s="72"/>
      <c r="AE411" s="72"/>
      <c r="AH411" s="72"/>
      <c r="AK411" s="72"/>
      <c r="AN411" s="72"/>
      <c r="AQ411" s="72"/>
      <c r="AT411" s="72"/>
      <c r="AW411" s="72"/>
      <c r="AZ411" s="72"/>
    </row>
    <row r="412" spans="1:52">
      <c r="A412" s="131"/>
      <c r="B412" s="72"/>
      <c r="D412" s="72"/>
      <c r="G412" s="72"/>
      <c r="J412" s="72"/>
      <c r="M412" s="72"/>
      <c r="P412" s="72"/>
      <c r="S412" s="72"/>
      <c r="V412" s="72"/>
      <c r="Y412" s="72"/>
      <c r="AB412" s="72"/>
      <c r="AE412" s="72"/>
      <c r="AH412" s="72"/>
      <c r="AK412" s="72"/>
      <c r="AN412" s="72"/>
      <c r="AQ412" s="72"/>
      <c r="AT412" s="72"/>
      <c r="AW412" s="72"/>
      <c r="AZ412" s="72"/>
    </row>
    <row r="413" spans="1:52">
      <c r="A413" s="131"/>
      <c r="B413" s="72"/>
      <c r="D413" s="72"/>
      <c r="G413" s="72"/>
      <c r="J413" s="72"/>
      <c r="M413" s="72"/>
      <c r="P413" s="72"/>
      <c r="S413" s="72"/>
      <c r="V413" s="72"/>
      <c r="Y413" s="72"/>
      <c r="AB413" s="72"/>
      <c r="AE413" s="72"/>
      <c r="AH413" s="72"/>
      <c r="AK413" s="72"/>
      <c r="AN413" s="72"/>
      <c r="AQ413" s="72"/>
      <c r="AT413" s="72"/>
      <c r="AW413" s="72"/>
      <c r="AZ413" s="72"/>
    </row>
    <row r="414" spans="1:52">
      <c r="A414" s="131"/>
      <c r="B414" s="72"/>
      <c r="D414" s="72"/>
      <c r="G414" s="72"/>
      <c r="J414" s="72"/>
      <c r="M414" s="72"/>
      <c r="P414" s="72"/>
      <c r="S414" s="72"/>
      <c r="V414" s="72"/>
      <c r="Y414" s="72"/>
      <c r="AB414" s="72"/>
      <c r="AE414" s="72"/>
      <c r="AH414" s="72"/>
      <c r="AK414" s="72"/>
      <c r="AN414" s="72"/>
      <c r="AQ414" s="72"/>
      <c r="AT414" s="72"/>
      <c r="AW414" s="72"/>
      <c r="AZ414" s="72"/>
    </row>
    <row r="415" spans="1:52">
      <c r="A415" s="131"/>
      <c r="B415" s="72"/>
      <c r="D415" s="72"/>
      <c r="G415" s="72"/>
      <c r="J415" s="72"/>
      <c r="M415" s="72"/>
      <c r="P415" s="72"/>
      <c r="S415" s="72"/>
      <c r="V415" s="72"/>
      <c r="Y415" s="72"/>
      <c r="AB415" s="72"/>
      <c r="AE415" s="72"/>
      <c r="AH415" s="72"/>
      <c r="AK415" s="72"/>
      <c r="AN415" s="72"/>
      <c r="AQ415" s="72"/>
      <c r="AT415" s="72"/>
      <c r="AW415" s="72"/>
      <c r="AZ415" s="72"/>
    </row>
    <row r="416" spans="1:52">
      <c r="A416" s="131"/>
      <c r="B416" s="72"/>
      <c r="D416" s="72"/>
      <c r="G416" s="72"/>
      <c r="J416" s="72"/>
      <c r="M416" s="72"/>
      <c r="P416" s="72"/>
      <c r="S416" s="72"/>
      <c r="V416" s="72"/>
      <c r="Y416" s="72"/>
      <c r="AB416" s="72"/>
      <c r="AE416" s="72"/>
      <c r="AH416" s="72"/>
      <c r="AK416" s="72"/>
      <c r="AN416" s="72"/>
      <c r="AQ416" s="72"/>
      <c r="AT416" s="72"/>
      <c r="AW416" s="72"/>
      <c r="AZ416" s="72"/>
    </row>
    <row r="417" spans="1:52">
      <c r="A417" s="131"/>
      <c r="B417" s="72"/>
      <c r="D417" s="72"/>
      <c r="G417" s="72"/>
      <c r="J417" s="72"/>
      <c r="M417" s="72"/>
      <c r="P417" s="72"/>
      <c r="S417" s="72"/>
      <c r="V417" s="72"/>
      <c r="Y417" s="72"/>
      <c r="AB417" s="72"/>
      <c r="AE417" s="72"/>
      <c r="AH417" s="72"/>
      <c r="AK417" s="72"/>
      <c r="AN417" s="72"/>
      <c r="AQ417" s="72"/>
      <c r="AT417" s="72"/>
      <c r="AW417" s="72"/>
      <c r="AZ417" s="72"/>
    </row>
    <row r="418" spans="1:52">
      <c r="A418" s="131"/>
      <c r="B418" s="72"/>
      <c r="D418" s="72"/>
      <c r="G418" s="72"/>
      <c r="J418" s="72"/>
      <c r="M418" s="72"/>
      <c r="P418" s="72"/>
      <c r="S418" s="72"/>
      <c r="V418" s="72"/>
      <c r="Y418" s="72"/>
      <c r="AB418" s="72"/>
      <c r="AE418" s="72"/>
      <c r="AH418" s="72"/>
      <c r="AK418" s="72"/>
      <c r="AN418" s="72"/>
      <c r="AQ418" s="72"/>
      <c r="AT418" s="72"/>
      <c r="AW418" s="72"/>
      <c r="AZ418" s="72"/>
    </row>
    <row r="419" spans="1:52">
      <c r="A419" s="131"/>
      <c r="B419" s="72"/>
      <c r="D419" s="72"/>
      <c r="G419" s="72"/>
      <c r="J419" s="72"/>
      <c r="M419" s="72"/>
      <c r="P419" s="72"/>
      <c r="S419" s="72"/>
      <c r="V419" s="72"/>
      <c r="Y419" s="72"/>
      <c r="AB419" s="72"/>
      <c r="AE419" s="72"/>
      <c r="AH419" s="72"/>
      <c r="AK419" s="72"/>
      <c r="AN419" s="72"/>
      <c r="AQ419" s="72"/>
      <c r="AT419" s="72"/>
      <c r="AW419" s="72"/>
      <c r="AZ419" s="72"/>
    </row>
    <row r="420" spans="1:52">
      <c r="A420" s="131"/>
      <c r="B420" s="72"/>
      <c r="D420" s="72"/>
      <c r="G420" s="72"/>
      <c r="J420" s="72"/>
      <c r="M420" s="72"/>
      <c r="P420" s="72"/>
      <c r="S420" s="72"/>
      <c r="V420" s="72"/>
      <c r="Y420" s="72"/>
      <c r="AB420" s="72"/>
      <c r="AE420" s="72"/>
      <c r="AH420" s="72"/>
      <c r="AK420" s="72"/>
      <c r="AN420" s="72"/>
      <c r="AQ420" s="72"/>
      <c r="AT420" s="72"/>
      <c r="AW420" s="72"/>
      <c r="AZ420" s="72"/>
    </row>
    <row r="421" spans="1:52">
      <c r="A421" s="131"/>
      <c r="B421" s="72"/>
      <c r="D421" s="72"/>
      <c r="G421" s="72"/>
      <c r="J421" s="72"/>
      <c r="M421" s="72"/>
      <c r="P421" s="72"/>
      <c r="S421" s="72"/>
      <c r="V421" s="72"/>
      <c r="Y421" s="72"/>
      <c r="AB421" s="72"/>
      <c r="AE421" s="72"/>
      <c r="AH421" s="72"/>
      <c r="AK421" s="72"/>
      <c r="AN421" s="72"/>
      <c r="AQ421" s="72"/>
      <c r="AT421" s="72"/>
      <c r="AW421" s="72"/>
      <c r="AZ421" s="72"/>
    </row>
    <row r="422" spans="1:52">
      <c r="A422" s="131"/>
      <c r="B422" s="72"/>
      <c r="D422" s="72"/>
      <c r="G422" s="72"/>
      <c r="J422" s="72"/>
      <c r="M422" s="72"/>
      <c r="P422" s="72"/>
      <c r="S422" s="72"/>
      <c r="V422" s="72"/>
      <c r="Y422" s="72"/>
      <c r="AB422" s="72"/>
      <c r="AE422" s="72"/>
      <c r="AH422" s="72"/>
      <c r="AK422" s="72"/>
      <c r="AN422" s="72"/>
      <c r="AQ422" s="72"/>
      <c r="AT422" s="72"/>
      <c r="AW422" s="72"/>
      <c r="AZ422" s="72"/>
    </row>
    <row r="423" spans="1:52">
      <c r="A423" s="131"/>
      <c r="B423" s="72"/>
      <c r="D423" s="72"/>
      <c r="G423" s="72"/>
      <c r="J423" s="72"/>
      <c r="M423" s="72"/>
      <c r="P423" s="72"/>
      <c r="S423" s="72"/>
      <c r="V423" s="72"/>
      <c r="Y423" s="72"/>
      <c r="AB423" s="72"/>
      <c r="AE423" s="72"/>
      <c r="AH423" s="72"/>
      <c r="AK423" s="72"/>
      <c r="AN423" s="72"/>
      <c r="AQ423" s="72"/>
      <c r="AT423" s="72"/>
      <c r="AW423" s="72"/>
      <c r="AZ423" s="72"/>
    </row>
    <row r="424" spans="1:52">
      <c r="A424" s="131"/>
      <c r="B424" s="72"/>
      <c r="D424" s="72"/>
      <c r="G424" s="72"/>
      <c r="J424" s="72"/>
      <c r="M424" s="72"/>
      <c r="P424" s="72"/>
      <c r="S424" s="72"/>
      <c r="V424" s="72"/>
      <c r="Y424" s="72"/>
      <c r="AB424" s="72"/>
      <c r="AE424" s="72"/>
      <c r="AH424" s="72"/>
      <c r="AK424" s="72"/>
      <c r="AN424" s="72"/>
      <c r="AQ424" s="72"/>
      <c r="AT424" s="72"/>
      <c r="AW424" s="72"/>
      <c r="AZ424" s="72"/>
    </row>
    <row r="425" spans="1:52">
      <c r="A425" s="131"/>
      <c r="B425" s="72"/>
      <c r="D425" s="72"/>
      <c r="G425" s="72"/>
      <c r="J425" s="72"/>
      <c r="M425" s="72"/>
      <c r="P425" s="72"/>
      <c r="S425" s="72"/>
      <c r="V425" s="72"/>
      <c r="Y425" s="72"/>
      <c r="AB425" s="72"/>
      <c r="AE425" s="72"/>
      <c r="AH425" s="72"/>
      <c r="AK425" s="72"/>
      <c r="AN425" s="72"/>
      <c r="AQ425" s="72"/>
      <c r="AT425" s="72"/>
      <c r="AW425" s="72"/>
      <c r="AZ425" s="72"/>
    </row>
    <row r="426" spans="1:52">
      <c r="A426" s="131"/>
      <c r="B426" s="72"/>
      <c r="D426" s="72"/>
      <c r="G426" s="72"/>
      <c r="J426" s="72"/>
      <c r="M426" s="72"/>
      <c r="P426" s="72"/>
      <c r="S426" s="72"/>
      <c r="V426" s="72"/>
      <c r="Y426" s="72"/>
      <c r="AB426" s="72"/>
      <c r="AE426" s="72"/>
      <c r="AH426" s="72"/>
      <c r="AK426" s="72"/>
      <c r="AN426" s="72"/>
      <c r="AQ426" s="72"/>
      <c r="AT426" s="72"/>
      <c r="AW426" s="72"/>
      <c r="AZ426" s="72"/>
    </row>
    <row r="427" spans="1:52">
      <c r="A427" s="131"/>
      <c r="B427" s="72"/>
      <c r="D427" s="72"/>
      <c r="G427" s="72"/>
      <c r="J427" s="72"/>
      <c r="M427" s="72"/>
      <c r="P427" s="72"/>
      <c r="S427" s="72"/>
      <c r="V427" s="72"/>
      <c r="Y427" s="72"/>
      <c r="AB427" s="72"/>
      <c r="AE427" s="72"/>
      <c r="AH427" s="72"/>
      <c r="AK427" s="72"/>
      <c r="AN427" s="72"/>
      <c r="AQ427" s="72"/>
      <c r="AT427" s="72"/>
      <c r="AW427" s="72"/>
      <c r="AZ427" s="72"/>
    </row>
    <row r="428" spans="1:52">
      <c r="A428" s="131"/>
      <c r="B428" s="72"/>
      <c r="D428" s="72"/>
      <c r="G428" s="72"/>
      <c r="J428" s="72"/>
      <c r="M428" s="72"/>
      <c r="P428" s="72"/>
      <c r="S428" s="72"/>
      <c r="V428" s="72"/>
      <c r="Y428" s="72"/>
      <c r="AB428" s="72"/>
      <c r="AE428" s="72"/>
      <c r="AH428" s="72"/>
      <c r="AK428" s="72"/>
      <c r="AN428" s="72"/>
      <c r="AQ428" s="72"/>
      <c r="AT428" s="72"/>
      <c r="AW428" s="72"/>
      <c r="AZ428" s="72"/>
    </row>
    <row r="429" spans="1:52">
      <c r="A429" s="131"/>
      <c r="B429" s="72"/>
      <c r="D429" s="72"/>
      <c r="G429" s="72"/>
      <c r="J429" s="72"/>
      <c r="M429" s="72"/>
      <c r="P429" s="72"/>
      <c r="S429" s="72"/>
      <c r="V429" s="72"/>
      <c r="Y429" s="72"/>
      <c r="AB429" s="72"/>
      <c r="AE429" s="72"/>
      <c r="AH429" s="72"/>
      <c r="AK429" s="72"/>
      <c r="AN429" s="72"/>
      <c r="AQ429" s="72"/>
      <c r="AT429" s="72"/>
      <c r="AW429" s="72"/>
      <c r="AZ429" s="72"/>
    </row>
    <row r="430" spans="1:52">
      <c r="A430" s="131"/>
      <c r="B430" s="72"/>
      <c r="D430" s="72"/>
      <c r="G430" s="72"/>
      <c r="J430" s="72"/>
      <c r="M430" s="72"/>
      <c r="P430" s="72"/>
      <c r="S430" s="72"/>
      <c r="V430" s="72"/>
      <c r="Y430" s="72"/>
      <c r="AB430" s="72"/>
      <c r="AE430" s="72"/>
      <c r="AH430" s="72"/>
      <c r="AK430" s="72"/>
      <c r="AN430" s="72"/>
      <c r="AQ430" s="72"/>
      <c r="AT430" s="72"/>
      <c r="AW430" s="72"/>
      <c r="AZ430" s="72"/>
    </row>
    <row r="431" spans="1:52">
      <c r="A431" s="131"/>
      <c r="B431" s="72"/>
      <c r="D431" s="72"/>
      <c r="G431" s="72"/>
      <c r="J431" s="72"/>
      <c r="M431" s="72"/>
      <c r="P431" s="72"/>
      <c r="S431" s="72"/>
      <c r="V431" s="72"/>
      <c r="Y431" s="72"/>
      <c r="AB431" s="72"/>
      <c r="AE431" s="72"/>
      <c r="AH431" s="72"/>
      <c r="AK431" s="72"/>
      <c r="AN431" s="72"/>
      <c r="AQ431" s="72"/>
      <c r="AT431" s="72"/>
      <c r="AW431" s="72"/>
      <c r="AZ431" s="72"/>
    </row>
    <row r="432" spans="1:52">
      <c r="A432" s="131"/>
      <c r="B432" s="72"/>
      <c r="D432" s="72"/>
      <c r="G432" s="72"/>
      <c r="J432" s="72"/>
      <c r="M432" s="72"/>
      <c r="P432" s="72"/>
      <c r="S432" s="72"/>
      <c r="V432" s="72"/>
      <c r="Y432" s="72"/>
      <c r="AB432" s="72"/>
      <c r="AE432" s="72"/>
      <c r="AH432" s="72"/>
      <c r="AK432" s="72"/>
      <c r="AN432" s="72"/>
      <c r="AQ432" s="72"/>
      <c r="AT432" s="72"/>
      <c r="AW432" s="72"/>
      <c r="AZ432" s="72"/>
    </row>
    <row r="433" spans="1:52">
      <c r="A433" s="131"/>
      <c r="B433" s="72"/>
      <c r="D433" s="72"/>
      <c r="G433" s="72"/>
      <c r="J433" s="72"/>
      <c r="M433" s="72"/>
      <c r="P433" s="72"/>
      <c r="S433" s="72"/>
      <c r="V433" s="72"/>
      <c r="Y433" s="72"/>
      <c r="AB433" s="72"/>
      <c r="AE433" s="72"/>
      <c r="AH433" s="72"/>
      <c r="AK433" s="72"/>
      <c r="AN433" s="72"/>
      <c r="AQ433" s="72"/>
      <c r="AT433" s="72"/>
      <c r="AW433" s="72"/>
      <c r="AZ433" s="72"/>
    </row>
    <row r="434" spans="1:52">
      <c r="A434" s="131"/>
      <c r="B434" s="72"/>
      <c r="D434" s="72"/>
      <c r="G434" s="72"/>
      <c r="J434" s="72"/>
      <c r="M434" s="72"/>
      <c r="P434" s="72"/>
      <c r="S434" s="72"/>
      <c r="V434" s="72"/>
      <c r="Y434" s="72"/>
      <c r="AB434" s="72"/>
      <c r="AE434" s="72"/>
      <c r="AH434" s="72"/>
      <c r="AK434" s="72"/>
      <c r="AN434" s="72"/>
      <c r="AQ434" s="72"/>
      <c r="AT434" s="72"/>
      <c r="AW434" s="72"/>
      <c r="AZ434" s="72"/>
    </row>
    <row r="435" spans="1:52">
      <c r="A435" s="131"/>
      <c r="B435" s="72"/>
      <c r="D435" s="72"/>
      <c r="G435" s="72"/>
      <c r="J435" s="72"/>
      <c r="M435" s="72"/>
      <c r="P435" s="72"/>
      <c r="S435" s="72"/>
      <c r="V435" s="72"/>
      <c r="Y435" s="72"/>
      <c r="AB435" s="72"/>
      <c r="AE435" s="72"/>
      <c r="AH435" s="72"/>
      <c r="AK435" s="72"/>
      <c r="AN435" s="72"/>
      <c r="AQ435" s="72"/>
      <c r="AT435" s="72"/>
      <c r="AW435" s="72"/>
      <c r="AZ435" s="72"/>
    </row>
    <row r="436" spans="1:52">
      <c r="A436" s="131"/>
      <c r="B436" s="72"/>
      <c r="D436" s="72"/>
      <c r="G436" s="72"/>
      <c r="J436" s="72"/>
      <c r="M436" s="72"/>
      <c r="P436" s="72"/>
      <c r="S436" s="72"/>
      <c r="V436" s="72"/>
      <c r="Y436" s="72"/>
      <c r="AB436" s="72"/>
      <c r="AE436" s="72"/>
      <c r="AH436" s="72"/>
      <c r="AK436" s="72"/>
      <c r="AN436" s="72"/>
      <c r="AQ436" s="72"/>
      <c r="AT436" s="72"/>
      <c r="AW436" s="72"/>
      <c r="AZ436" s="72"/>
    </row>
    <row r="437" spans="1:52">
      <c r="A437" s="131"/>
      <c r="B437" s="72"/>
      <c r="D437" s="72"/>
      <c r="G437" s="72"/>
      <c r="J437" s="72"/>
      <c r="M437" s="72"/>
      <c r="P437" s="72"/>
      <c r="S437" s="72"/>
      <c r="V437" s="72"/>
      <c r="Y437" s="72"/>
      <c r="AB437" s="72"/>
      <c r="AE437" s="72"/>
      <c r="AH437" s="72"/>
      <c r="AK437" s="72"/>
      <c r="AN437" s="72"/>
      <c r="AQ437" s="72"/>
      <c r="AT437" s="72"/>
      <c r="AW437" s="72"/>
      <c r="AZ437" s="72"/>
    </row>
    <row r="438" spans="1:52">
      <c r="A438" s="131"/>
      <c r="B438" s="72"/>
      <c r="D438" s="72"/>
      <c r="G438" s="72"/>
      <c r="J438" s="72"/>
      <c r="M438" s="72"/>
      <c r="P438" s="72"/>
      <c r="S438" s="72"/>
      <c r="V438" s="72"/>
      <c r="Y438" s="72"/>
      <c r="AB438" s="72"/>
      <c r="AE438" s="72"/>
      <c r="AH438" s="72"/>
      <c r="AK438" s="72"/>
      <c r="AN438" s="72"/>
      <c r="AQ438" s="72"/>
      <c r="AT438" s="72"/>
      <c r="AW438" s="72"/>
      <c r="AZ438" s="72"/>
    </row>
    <row r="439" spans="1:52">
      <c r="A439" s="131"/>
      <c r="B439" s="72"/>
      <c r="D439" s="72"/>
      <c r="G439" s="72"/>
      <c r="J439" s="72"/>
      <c r="M439" s="72"/>
      <c r="P439" s="72"/>
      <c r="S439" s="72"/>
      <c r="V439" s="72"/>
      <c r="Y439" s="72"/>
      <c r="AB439" s="72"/>
      <c r="AE439" s="72"/>
      <c r="AH439" s="72"/>
      <c r="AK439" s="72"/>
      <c r="AN439" s="72"/>
      <c r="AQ439" s="72"/>
      <c r="AT439" s="72"/>
      <c r="AW439" s="72"/>
      <c r="AZ439" s="72"/>
    </row>
    <row r="440" spans="1:52">
      <c r="A440" s="131"/>
      <c r="B440" s="72"/>
      <c r="D440" s="72"/>
      <c r="G440" s="72"/>
      <c r="J440" s="72"/>
      <c r="M440" s="72"/>
      <c r="P440" s="72"/>
      <c r="S440" s="72"/>
      <c r="V440" s="72"/>
      <c r="Y440" s="72"/>
      <c r="AB440" s="72"/>
      <c r="AE440" s="72"/>
      <c r="AH440" s="72"/>
      <c r="AK440" s="72"/>
      <c r="AN440" s="72"/>
      <c r="AQ440" s="72"/>
      <c r="AT440" s="72"/>
      <c r="AW440" s="72"/>
      <c r="AZ440" s="72"/>
    </row>
    <row r="441" spans="1:52">
      <c r="A441" s="131"/>
      <c r="B441" s="72"/>
      <c r="D441" s="72"/>
      <c r="G441" s="72"/>
      <c r="J441" s="72"/>
      <c r="M441" s="72"/>
      <c r="P441" s="72"/>
      <c r="S441" s="72"/>
      <c r="V441" s="72"/>
      <c r="Y441" s="72"/>
      <c r="AB441" s="72"/>
      <c r="AE441" s="72"/>
      <c r="AH441" s="72"/>
      <c r="AK441" s="72"/>
      <c r="AN441" s="72"/>
      <c r="AQ441" s="72"/>
      <c r="AT441" s="72"/>
      <c r="AW441" s="72"/>
      <c r="AZ441" s="72"/>
    </row>
    <row r="442" spans="1:52">
      <c r="A442" s="131"/>
      <c r="B442" s="72"/>
      <c r="D442" s="72"/>
      <c r="G442" s="72"/>
      <c r="J442" s="72"/>
      <c r="M442" s="72"/>
      <c r="P442" s="72"/>
      <c r="S442" s="72"/>
      <c r="V442" s="72"/>
      <c r="Y442" s="72"/>
      <c r="AB442" s="72"/>
      <c r="AE442" s="72"/>
      <c r="AH442" s="72"/>
      <c r="AK442" s="72"/>
      <c r="AN442" s="72"/>
      <c r="AQ442" s="72"/>
      <c r="AT442" s="72"/>
      <c r="AW442" s="72"/>
      <c r="AZ442" s="72"/>
    </row>
    <row r="443" spans="1:52">
      <c r="A443" s="131"/>
      <c r="B443" s="72"/>
      <c r="D443" s="72"/>
      <c r="G443" s="72"/>
      <c r="J443" s="72"/>
      <c r="M443" s="72"/>
      <c r="P443" s="72"/>
      <c r="S443" s="72"/>
      <c r="V443" s="72"/>
      <c r="Y443" s="72"/>
      <c r="AB443" s="72"/>
      <c r="AE443" s="72"/>
      <c r="AH443" s="72"/>
      <c r="AK443" s="72"/>
      <c r="AN443" s="72"/>
      <c r="AQ443" s="72"/>
      <c r="AT443" s="72"/>
      <c r="AW443" s="72"/>
      <c r="AZ443" s="72"/>
    </row>
    <row r="444" spans="1:52">
      <c r="A444" s="131"/>
      <c r="B444" s="72"/>
      <c r="D444" s="72"/>
      <c r="G444" s="72"/>
      <c r="J444" s="72"/>
      <c r="M444" s="72"/>
      <c r="P444" s="72"/>
      <c r="S444" s="72"/>
      <c r="V444" s="72"/>
      <c r="Y444" s="72"/>
      <c r="AB444" s="72"/>
      <c r="AE444" s="72"/>
      <c r="AH444" s="72"/>
      <c r="AK444" s="72"/>
      <c r="AN444" s="72"/>
      <c r="AQ444" s="72"/>
      <c r="AT444" s="72"/>
      <c r="AW444" s="72"/>
      <c r="AZ444" s="72"/>
    </row>
    <row r="445" spans="1:52">
      <c r="A445" s="131"/>
      <c r="B445" s="72"/>
      <c r="D445" s="72"/>
      <c r="G445" s="72"/>
      <c r="J445" s="72"/>
      <c r="M445" s="72"/>
      <c r="P445" s="72"/>
      <c r="S445" s="72"/>
      <c r="V445" s="72"/>
      <c r="Y445" s="72"/>
      <c r="AB445" s="72"/>
      <c r="AE445" s="72"/>
      <c r="AH445" s="72"/>
      <c r="AK445" s="72"/>
      <c r="AN445" s="72"/>
      <c r="AQ445" s="72"/>
      <c r="AT445" s="72"/>
      <c r="AW445" s="72"/>
      <c r="AZ445" s="72"/>
    </row>
    <row r="446" spans="1:52">
      <c r="A446" s="131"/>
      <c r="B446" s="72"/>
      <c r="D446" s="72"/>
      <c r="G446" s="72"/>
      <c r="J446" s="72"/>
      <c r="M446" s="72"/>
      <c r="P446" s="72"/>
      <c r="S446" s="72"/>
      <c r="V446" s="72"/>
      <c r="Y446" s="72"/>
      <c r="AB446" s="72"/>
      <c r="AE446" s="72"/>
      <c r="AH446" s="72"/>
      <c r="AK446" s="72"/>
      <c r="AN446" s="72"/>
      <c r="AQ446" s="72"/>
      <c r="AT446" s="72"/>
      <c r="AW446" s="72"/>
      <c r="AZ446" s="72"/>
    </row>
    <row r="447" spans="1:52">
      <c r="A447" s="131"/>
      <c r="B447" s="72"/>
      <c r="D447" s="72"/>
      <c r="G447" s="72"/>
      <c r="J447" s="72"/>
      <c r="M447" s="72"/>
      <c r="P447" s="72"/>
      <c r="S447" s="72"/>
      <c r="V447" s="72"/>
      <c r="Y447" s="72"/>
      <c r="AB447" s="72"/>
      <c r="AE447" s="72"/>
      <c r="AH447" s="72"/>
      <c r="AK447" s="72"/>
      <c r="AN447" s="72"/>
      <c r="AQ447" s="72"/>
      <c r="AT447" s="72"/>
      <c r="AW447" s="72"/>
      <c r="AZ447" s="72"/>
    </row>
    <row r="448" spans="1:52">
      <c r="A448" s="131"/>
      <c r="B448" s="72"/>
      <c r="D448" s="72"/>
      <c r="G448" s="72"/>
      <c r="J448" s="72"/>
      <c r="M448" s="72"/>
      <c r="P448" s="72"/>
      <c r="S448" s="72"/>
      <c r="V448" s="72"/>
      <c r="Y448" s="72"/>
      <c r="AB448" s="72"/>
      <c r="AE448" s="72"/>
      <c r="AH448" s="72"/>
      <c r="AK448" s="72"/>
      <c r="AN448" s="72"/>
      <c r="AQ448" s="72"/>
      <c r="AT448" s="72"/>
      <c r="AW448" s="72"/>
      <c r="AZ448" s="72"/>
    </row>
    <row r="449" spans="1:52">
      <c r="A449" s="131"/>
      <c r="B449" s="72"/>
      <c r="D449" s="72"/>
      <c r="G449" s="72"/>
      <c r="J449" s="72"/>
      <c r="M449" s="72"/>
      <c r="P449" s="72"/>
      <c r="S449" s="72"/>
      <c r="V449" s="72"/>
      <c r="Y449" s="72"/>
      <c r="AB449" s="72"/>
      <c r="AE449" s="72"/>
      <c r="AH449" s="72"/>
      <c r="AK449" s="72"/>
      <c r="AN449" s="72"/>
      <c r="AQ449" s="72"/>
      <c r="AT449" s="72"/>
      <c r="AW449" s="72"/>
      <c r="AZ449" s="72"/>
    </row>
    <row r="450" spans="1:52">
      <c r="A450" s="131"/>
      <c r="B450" s="72"/>
      <c r="D450" s="72"/>
      <c r="G450" s="72"/>
      <c r="J450" s="72"/>
      <c r="M450" s="72"/>
      <c r="P450" s="72"/>
      <c r="S450" s="72"/>
      <c r="V450" s="72"/>
      <c r="Y450" s="72"/>
      <c r="AB450" s="72"/>
      <c r="AE450" s="72"/>
      <c r="AH450" s="72"/>
      <c r="AK450" s="72"/>
      <c r="AN450" s="72"/>
      <c r="AQ450" s="72"/>
      <c r="AT450" s="72"/>
      <c r="AW450" s="72"/>
      <c r="AZ450" s="72"/>
    </row>
    <row r="451" spans="1:52">
      <c r="A451" s="131"/>
      <c r="B451" s="72"/>
      <c r="D451" s="72"/>
      <c r="G451" s="72"/>
      <c r="J451" s="72"/>
      <c r="M451" s="72"/>
      <c r="P451" s="72"/>
      <c r="S451" s="72"/>
      <c r="V451" s="72"/>
      <c r="Y451" s="72"/>
      <c r="AB451" s="72"/>
      <c r="AE451" s="72"/>
      <c r="AH451" s="72"/>
      <c r="AK451" s="72"/>
      <c r="AN451" s="72"/>
      <c r="AQ451" s="72"/>
      <c r="AT451" s="72"/>
      <c r="AW451" s="72"/>
      <c r="AZ451" s="72"/>
    </row>
    <row r="452" spans="1:52">
      <c r="A452" s="131"/>
      <c r="B452" s="72"/>
      <c r="D452" s="72"/>
      <c r="G452" s="72"/>
      <c r="J452" s="72"/>
      <c r="M452" s="72"/>
      <c r="P452" s="72"/>
      <c r="S452" s="72"/>
      <c r="V452" s="72"/>
      <c r="Y452" s="72"/>
      <c r="AB452" s="72"/>
      <c r="AE452" s="72"/>
      <c r="AH452" s="72"/>
      <c r="AK452" s="72"/>
      <c r="AN452" s="72"/>
      <c r="AQ452" s="72"/>
      <c r="AT452" s="72"/>
      <c r="AW452" s="72"/>
      <c r="AZ452" s="72"/>
    </row>
    <row r="453" spans="1:52">
      <c r="A453" s="131"/>
      <c r="B453" s="72"/>
      <c r="D453" s="72"/>
      <c r="G453" s="72"/>
      <c r="J453" s="72"/>
      <c r="M453" s="72"/>
      <c r="P453" s="72"/>
      <c r="S453" s="72"/>
      <c r="V453" s="72"/>
      <c r="Y453" s="72"/>
      <c r="AB453" s="72"/>
      <c r="AE453" s="72"/>
      <c r="AH453" s="72"/>
      <c r="AK453" s="72"/>
      <c r="AN453" s="72"/>
      <c r="AQ453" s="72"/>
      <c r="AT453" s="72"/>
      <c r="AW453" s="72"/>
      <c r="AZ453" s="72"/>
    </row>
    <row r="454" spans="1:52">
      <c r="A454" s="131"/>
      <c r="B454" s="72"/>
      <c r="D454" s="72"/>
      <c r="G454" s="72"/>
      <c r="J454" s="72"/>
      <c r="M454" s="72"/>
      <c r="P454" s="72"/>
      <c r="S454" s="72"/>
      <c r="V454" s="72"/>
      <c r="Y454" s="72"/>
      <c r="AB454" s="72"/>
      <c r="AE454" s="72"/>
      <c r="AH454" s="72"/>
      <c r="AK454" s="72"/>
      <c r="AN454" s="72"/>
      <c r="AQ454" s="72"/>
      <c r="AT454" s="72"/>
      <c r="AW454" s="72"/>
      <c r="AZ454" s="72"/>
    </row>
    <row r="455" spans="1:52">
      <c r="A455" s="131"/>
      <c r="B455" s="72"/>
      <c r="D455" s="72"/>
      <c r="G455" s="72"/>
      <c r="J455" s="72"/>
      <c r="M455" s="72"/>
      <c r="P455" s="72"/>
      <c r="S455" s="72"/>
      <c r="V455" s="72"/>
      <c r="Y455" s="72"/>
      <c r="AB455" s="72"/>
      <c r="AE455" s="72"/>
      <c r="AH455" s="72"/>
      <c r="AK455" s="72"/>
      <c r="AN455" s="72"/>
      <c r="AQ455" s="72"/>
      <c r="AT455" s="72"/>
      <c r="AW455" s="72"/>
      <c r="AZ455" s="72"/>
    </row>
    <row r="456" spans="1:52">
      <c r="A456" s="131"/>
      <c r="B456" s="72"/>
      <c r="D456" s="72"/>
      <c r="G456" s="72"/>
      <c r="J456" s="72"/>
      <c r="M456" s="72"/>
      <c r="P456" s="72"/>
      <c r="S456" s="72"/>
      <c r="V456" s="72"/>
      <c r="Y456" s="72"/>
      <c r="AB456" s="72"/>
      <c r="AE456" s="72"/>
      <c r="AH456" s="72"/>
      <c r="AK456" s="72"/>
      <c r="AN456" s="72"/>
      <c r="AQ456" s="72"/>
      <c r="AT456" s="72"/>
      <c r="AW456" s="72"/>
      <c r="AZ456" s="72"/>
    </row>
    <row r="457" spans="1:52">
      <c r="A457" s="131"/>
      <c r="B457" s="72"/>
      <c r="D457" s="72"/>
      <c r="G457" s="72"/>
      <c r="J457" s="72"/>
      <c r="M457" s="72"/>
      <c r="P457" s="72"/>
      <c r="S457" s="72"/>
      <c r="V457" s="72"/>
      <c r="Y457" s="72"/>
      <c r="AB457" s="72"/>
      <c r="AE457" s="72"/>
      <c r="AH457" s="72"/>
      <c r="AK457" s="72"/>
      <c r="AN457" s="72"/>
      <c r="AQ457" s="72"/>
      <c r="AT457" s="72"/>
      <c r="AW457" s="72"/>
      <c r="AZ457" s="72"/>
    </row>
    <row r="458" spans="1:52">
      <c r="A458" s="131"/>
      <c r="B458" s="72"/>
      <c r="D458" s="72"/>
      <c r="G458" s="72"/>
      <c r="J458" s="72"/>
      <c r="M458" s="72"/>
      <c r="P458" s="72"/>
      <c r="S458" s="72"/>
      <c r="V458" s="72"/>
      <c r="Y458" s="72"/>
      <c r="AB458" s="72"/>
      <c r="AE458" s="72"/>
      <c r="AH458" s="72"/>
      <c r="AK458" s="72"/>
      <c r="AN458" s="72"/>
      <c r="AQ458" s="72"/>
      <c r="AT458" s="72"/>
      <c r="AW458" s="72"/>
      <c r="AZ458" s="72"/>
    </row>
    <row r="459" spans="1:52">
      <c r="A459" s="131"/>
      <c r="B459" s="72"/>
      <c r="D459" s="72"/>
      <c r="G459" s="72"/>
      <c r="J459" s="72"/>
      <c r="M459" s="72"/>
      <c r="P459" s="72"/>
      <c r="S459" s="72"/>
      <c r="V459" s="72"/>
      <c r="Y459" s="72"/>
      <c r="AB459" s="72"/>
      <c r="AE459" s="72"/>
      <c r="AH459" s="72"/>
      <c r="AK459" s="72"/>
      <c r="AN459" s="72"/>
      <c r="AQ459" s="72"/>
      <c r="AT459" s="72"/>
      <c r="AW459" s="72"/>
      <c r="AZ459" s="72"/>
    </row>
    <row r="460" spans="1:52">
      <c r="A460" s="131"/>
      <c r="B460" s="72"/>
      <c r="D460" s="72"/>
      <c r="G460" s="72"/>
      <c r="J460" s="72"/>
      <c r="M460" s="72"/>
      <c r="P460" s="72"/>
      <c r="S460" s="72"/>
      <c r="V460" s="72"/>
      <c r="Y460" s="72"/>
      <c r="AB460" s="72"/>
      <c r="AE460" s="72"/>
      <c r="AH460" s="72"/>
      <c r="AK460" s="72"/>
      <c r="AN460" s="72"/>
      <c r="AQ460" s="72"/>
      <c r="AT460" s="72"/>
      <c r="AW460" s="72"/>
      <c r="AZ460" s="72"/>
    </row>
    <row r="461" spans="1:52">
      <c r="A461" s="131"/>
      <c r="B461" s="72"/>
      <c r="D461" s="72"/>
      <c r="G461" s="72"/>
      <c r="J461" s="72"/>
      <c r="M461" s="72"/>
      <c r="P461" s="72"/>
      <c r="S461" s="72"/>
      <c r="V461" s="72"/>
      <c r="Y461" s="72"/>
      <c r="AB461" s="72"/>
      <c r="AE461" s="72"/>
      <c r="AH461" s="72"/>
      <c r="AK461" s="72"/>
      <c r="AN461" s="72"/>
      <c r="AQ461" s="72"/>
      <c r="AT461" s="72"/>
      <c r="AW461" s="72"/>
      <c r="AZ461" s="72"/>
    </row>
    <row r="462" spans="1:52">
      <c r="A462" s="131"/>
      <c r="B462" s="72"/>
      <c r="D462" s="72"/>
      <c r="G462" s="72"/>
      <c r="J462" s="72"/>
      <c r="M462" s="72"/>
      <c r="P462" s="72"/>
      <c r="S462" s="72"/>
      <c r="V462" s="72"/>
      <c r="Y462" s="72"/>
      <c r="AB462" s="72"/>
      <c r="AE462" s="72"/>
      <c r="AH462" s="72"/>
      <c r="AK462" s="72"/>
      <c r="AN462" s="72"/>
      <c r="AQ462" s="72"/>
      <c r="AT462" s="72"/>
      <c r="AW462" s="72"/>
      <c r="AZ462" s="72"/>
    </row>
    <row r="463" spans="1:52">
      <c r="A463" s="131"/>
      <c r="B463" s="72"/>
      <c r="D463" s="72"/>
      <c r="G463" s="72"/>
      <c r="J463" s="72"/>
      <c r="M463" s="72"/>
      <c r="P463" s="72"/>
      <c r="S463" s="72"/>
      <c r="V463" s="72"/>
      <c r="Y463" s="72"/>
      <c r="AB463" s="72"/>
      <c r="AE463" s="72"/>
      <c r="AH463" s="72"/>
      <c r="AK463" s="72"/>
      <c r="AN463" s="72"/>
      <c r="AQ463" s="72"/>
      <c r="AT463" s="72"/>
      <c r="AW463" s="72"/>
      <c r="AZ463" s="72"/>
    </row>
    <row r="464" spans="1:52">
      <c r="A464" s="131"/>
      <c r="B464" s="72"/>
      <c r="D464" s="72"/>
      <c r="G464" s="72"/>
      <c r="J464" s="72"/>
      <c r="M464" s="72"/>
      <c r="P464" s="72"/>
      <c r="S464" s="72"/>
      <c r="V464" s="72"/>
      <c r="Y464" s="72"/>
      <c r="AB464" s="72"/>
      <c r="AE464" s="72"/>
      <c r="AH464" s="72"/>
      <c r="AK464" s="72"/>
      <c r="AN464" s="72"/>
      <c r="AQ464" s="72"/>
      <c r="AT464" s="72"/>
      <c r="AW464" s="72"/>
      <c r="AZ464" s="72"/>
    </row>
    <row r="465" spans="1:52">
      <c r="A465" s="131"/>
      <c r="B465" s="72"/>
      <c r="D465" s="72"/>
      <c r="G465" s="72"/>
      <c r="J465" s="72"/>
      <c r="M465" s="72"/>
      <c r="P465" s="72"/>
      <c r="S465" s="72"/>
      <c r="V465" s="72"/>
      <c r="Y465" s="72"/>
      <c r="AB465" s="72"/>
      <c r="AE465" s="72"/>
      <c r="AH465" s="72"/>
      <c r="AK465" s="72"/>
      <c r="AN465" s="72"/>
      <c r="AQ465" s="72"/>
      <c r="AT465" s="72"/>
      <c r="AW465" s="72"/>
      <c r="AZ465" s="72"/>
    </row>
    <row r="466" spans="1:52">
      <c r="A466" s="131"/>
      <c r="B466" s="72"/>
      <c r="D466" s="72"/>
      <c r="G466" s="72"/>
      <c r="J466" s="72"/>
      <c r="M466" s="72"/>
      <c r="P466" s="72"/>
      <c r="S466" s="72"/>
      <c r="V466" s="72"/>
      <c r="Y466" s="72"/>
      <c r="AB466" s="72"/>
      <c r="AE466" s="72"/>
      <c r="AH466" s="72"/>
      <c r="AK466" s="72"/>
      <c r="AN466" s="72"/>
      <c r="AQ466" s="72"/>
      <c r="AT466" s="72"/>
      <c r="AW466" s="72"/>
      <c r="AZ466" s="72"/>
    </row>
    <row r="467" spans="1:52">
      <c r="A467" s="131"/>
      <c r="B467" s="72"/>
      <c r="D467" s="72"/>
      <c r="G467" s="72"/>
      <c r="J467" s="72"/>
      <c r="M467" s="72"/>
      <c r="P467" s="72"/>
      <c r="S467" s="72"/>
      <c r="V467" s="72"/>
      <c r="Y467" s="72"/>
      <c r="AB467" s="72"/>
      <c r="AE467" s="72"/>
      <c r="AH467" s="72"/>
      <c r="AK467" s="72"/>
      <c r="AN467" s="72"/>
      <c r="AQ467" s="72"/>
      <c r="AT467" s="72"/>
      <c r="AW467" s="72"/>
      <c r="AZ467" s="72"/>
    </row>
    <row r="468" spans="1:52">
      <c r="A468" s="131"/>
      <c r="B468" s="72"/>
      <c r="D468" s="72"/>
      <c r="G468" s="72"/>
      <c r="J468" s="72"/>
      <c r="M468" s="72"/>
      <c r="P468" s="72"/>
      <c r="S468" s="72"/>
      <c r="V468" s="72"/>
      <c r="Y468" s="72"/>
      <c r="AB468" s="72"/>
      <c r="AE468" s="72"/>
      <c r="AH468" s="72"/>
      <c r="AK468" s="72"/>
      <c r="AN468" s="72"/>
      <c r="AQ468" s="72"/>
      <c r="AT468" s="72"/>
      <c r="AW468" s="72"/>
      <c r="AZ468" s="72"/>
    </row>
    <row r="469" spans="1:52">
      <c r="A469" s="131"/>
      <c r="B469" s="72"/>
      <c r="D469" s="72"/>
      <c r="G469" s="72"/>
      <c r="J469" s="72"/>
      <c r="M469" s="72"/>
      <c r="P469" s="72"/>
      <c r="S469" s="72"/>
      <c r="V469" s="72"/>
      <c r="Y469" s="72"/>
      <c r="AB469" s="72"/>
      <c r="AE469" s="72"/>
      <c r="AH469" s="72"/>
      <c r="AK469" s="72"/>
      <c r="AN469" s="72"/>
      <c r="AQ469" s="72"/>
      <c r="AT469" s="72"/>
      <c r="AW469" s="72"/>
      <c r="AZ469" s="72"/>
    </row>
    <row r="470" spans="1:52">
      <c r="A470" s="131"/>
      <c r="B470" s="72"/>
      <c r="D470" s="72"/>
      <c r="G470" s="72"/>
      <c r="J470" s="72"/>
      <c r="M470" s="72"/>
      <c r="P470" s="72"/>
      <c r="S470" s="72"/>
      <c r="V470" s="72"/>
      <c r="Y470" s="72"/>
      <c r="AB470" s="72"/>
      <c r="AE470" s="72"/>
      <c r="AH470" s="72"/>
      <c r="AK470" s="72"/>
      <c r="AN470" s="72"/>
      <c r="AQ470" s="72"/>
      <c r="AT470" s="72"/>
      <c r="AW470" s="72"/>
      <c r="AZ470" s="72"/>
    </row>
    <row r="471" spans="1:52">
      <c r="A471" s="131"/>
      <c r="B471" s="72"/>
      <c r="D471" s="72"/>
      <c r="G471" s="72"/>
      <c r="J471" s="72"/>
      <c r="M471" s="72"/>
      <c r="P471" s="72"/>
      <c r="S471" s="72"/>
      <c r="V471" s="72"/>
      <c r="Y471" s="72"/>
      <c r="AB471" s="72"/>
      <c r="AE471" s="72"/>
      <c r="AH471" s="72"/>
      <c r="AK471" s="72"/>
      <c r="AN471" s="72"/>
      <c r="AQ471" s="72"/>
      <c r="AT471" s="72"/>
      <c r="AW471" s="72"/>
      <c r="AZ471" s="72"/>
    </row>
    <row r="472" spans="1:52">
      <c r="A472" s="131"/>
      <c r="B472" s="72"/>
      <c r="D472" s="72"/>
      <c r="G472" s="72"/>
      <c r="J472" s="72"/>
      <c r="M472" s="72"/>
      <c r="P472" s="72"/>
      <c r="S472" s="72"/>
      <c r="V472" s="72"/>
      <c r="Y472" s="72"/>
      <c r="AB472" s="72"/>
      <c r="AE472" s="72"/>
      <c r="AH472" s="72"/>
      <c r="AK472" s="72"/>
      <c r="AN472" s="72"/>
      <c r="AQ472" s="72"/>
      <c r="AT472" s="72"/>
      <c r="AW472" s="72"/>
      <c r="AZ472" s="72"/>
    </row>
    <row r="473" spans="1:52">
      <c r="A473" s="131"/>
      <c r="B473" s="72"/>
      <c r="D473" s="72"/>
      <c r="G473" s="72"/>
      <c r="J473" s="72"/>
      <c r="M473" s="72"/>
      <c r="P473" s="72"/>
      <c r="S473" s="72"/>
      <c r="V473" s="72"/>
      <c r="Y473" s="72"/>
      <c r="AB473" s="72"/>
      <c r="AE473" s="72"/>
      <c r="AH473" s="72"/>
      <c r="AK473" s="72"/>
      <c r="AN473" s="72"/>
      <c r="AQ473" s="72"/>
      <c r="AT473" s="72"/>
      <c r="AW473" s="72"/>
      <c r="AZ473" s="72"/>
    </row>
    <row r="474" spans="1:52">
      <c r="A474" s="131"/>
      <c r="B474" s="72"/>
      <c r="D474" s="72"/>
      <c r="G474" s="72"/>
      <c r="J474" s="72"/>
      <c r="M474" s="72"/>
      <c r="P474" s="72"/>
      <c r="S474" s="72"/>
      <c r="V474" s="72"/>
      <c r="Y474" s="72"/>
      <c r="AB474" s="72"/>
      <c r="AE474" s="72"/>
      <c r="AH474" s="72"/>
      <c r="AK474" s="72"/>
      <c r="AN474" s="72"/>
      <c r="AQ474" s="72"/>
      <c r="AT474" s="72"/>
      <c r="AW474" s="72"/>
      <c r="AZ474" s="72"/>
    </row>
    <row r="475" spans="1:52">
      <c r="A475" s="131"/>
      <c r="B475" s="72"/>
      <c r="D475" s="72"/>
      <c r="G475" s="72"/>
      <c r="J475" s="72"/>
      <c r="M475" s="72"/>
      <c r="P475" s="72"/>
      <c r="S475" s="72"/>
      <c r="V475" s="72"/>
      <c r="Y475" s="72"/>
      <c r="AB475" s="72"/>
      <c r="AE475" s="72"/>
      <c r="AH475" s="72"/>
      <c r="AK475" s="72"/>
      <c r="AN475" s="72"/>
      <c r="AQ475" s="72"/>
      <c r="AT475" s="72"/>
      <c r="AW475" s="72"/>
      <c r="AZ475" s="72"/>
    </row>
    <row r="476" spans="1:52">
      <c r="A476" s="131"/>
      <c r="B476" s="72"/>
      <c r="D476" s="72"/>
      <c r="G476" s="72"/>
      <c r="J476" s="72"/>
      <c r="M476" s="72"/>
      <c r="P476" s="72"/>
      <c r="S476" s="72"/>
      <c r="V476" s="72"/>
      <c r="Y476" s="72"/>
      <c r="AB476" s="72"/>
      <c r="AE476" s="72"/>
      <c r="AH476" s="72"/>
      <c r="AK476" s="72"/>
      <c r="AN476" s="72"/>
      <c r="AQ476" s="72"/>
      <c r="AT476" s="72"/>
      <c r="AW476" s="72"/>
      <c r="AZ476" s="72"/>
    </row>
    <row r="477" spans="1:52">
      <c r="A477" s="131"/>
      <c r="B477" s="72"/>
      <c r="D477" s="72"/>
      <c r="G477" s="72"/>
      <c r="J477" s="72"/>
      <c r="M477" s="72"/>
      <c r="P477" s="72"/>
      <c r="S477" s="72"/>
      <c r="V477" s="72"/>
      <c r="Y477" s="72"/>
      <c r="AB477" s="72"/>
      <c r="AE477" s="72"/>
      <c r="AH477" s="72"/>
      <c r="AK477" s="72"/>
      <c r="AN477" s="72"/>
      <c r="AQ477" s="72"/>
      <c r="AT477" s="72"/>
      <c r="AW477" s="72"/>
      <c r="AZ477" s="72"/>
    </row>
    <row r="478" spans="1:52">
      <c r="A478" s="131"/>
      <c r="B478" s="72"/>
      <c r="D478" s="72"/>
      <c r="G478" s="72"/>
      <c r="J478" s="72"/>
      <c r="M478" s="72"/>
      <c r="P478" s="72"/>
      <c r="S478" s="72"/>
      <c r="V478" s="72"/>
      <c r="Y478" s="72"/>
      <c r="AB478" s="72"/>
      <c r="AE478" s="72"/>
      <c r="AH478" s="72"/>
      <c r="AK478" s="72"/>
      <c r="AN478" s="72"/>
      <c r="AQ478" s="72"/>
      <c r="AT478" s="72"/>
      <c r="AW478" s="72"/>
      <c r="AZ478" s="72"/>
    </row>
    <row r="479" spans="1:52">
      <c r="A479" s="131"/>
      <c r="B479" s="72"/>
      <c r="D479" s="72"/>
      <c r="G479" s="72"/>
      <c r="J479" s="72"/>
      <c r="M479" s="72"/>
      <c r="P479" s="72"/>
      <c r="S479" s="72"/>
      <c r="V479" s="72"/>
      <c r="Y479" s="72"/>
      <c r="AB479" s="72"/>
      <c r="AE479" s="72"/>
      <c r="AH479" s="72"/>
      <c r="AK479" s="72"/>
      <c r="AN479" s="72"/>
      <c r="AQ479" s="72"/>
      <c r="AT479" s="72"/>
      <c r="AW479" s="72"/>
      <c r="AZ479" s="72"/>
    </row>
    <row r="480" spans="1:52">
      <c r="A480" s="131"/>
      <c r="B480" s="72"/>
      <c r="D480" s="72"/>
      <c r="G480" s="72"/>
      <c r="J480" s="72"/>
      <c r="M480" s="72"/>
      <c r="P480" s="72"/>
      <c r="S480" s="72"/>
      <c r="V480" s="72"/>
      <c r="Y480" s="72"/>
      <c r="AB480" s="72"/>
      <c r="AE480" s="72"/>
      <c r="AH480" s="72"/>
      <c r="AK480" s="72"/>
      <c r="AN480" s="72"/>
      <c r="AQ480" s="72"/>
      <c r="AT480" s="72"/>
      <c r="AW480" s="72"/>
      <c r="AZ480" s="72"/>
    </row>
    <row r="481" spans="1:52">
      <c r="A481" s="131"/>
      <c r="B481" s="72"/>
      <c r="D481" s="72"/>
      <c r="G481" s="72"/>
      <c r="J481" s="72"/>
      <c r="M481" s="72"/>
      <c r="P481" s="72"/>
      <c r="S481" s="72"/>
      <c r="V481" s="72"/>
      <c r="Y481" s="72"/>
      <c r="AB481" s="72"/>
      <c r="AE481" s="72"/>
      <c r="AH481" s="72"/>
      <c r="AK481" s="72"/>
      <c r="AN481" s="72"/>
      <c r="AQ481" s="72"/>
      <c r="AT481" s="72"/>
      <c r="AW481" s="72"/>
      <c r="AZ481" s="72"/>
    </row>
    <row r="482" spans="1:52">
      <c r="A482" s="131"/>
      <c r="B482" s="72"/>
      <c r="D482" s="72"/>
      <c r="G482" s="72"/>
      <c r="J482" s="72"/>
      <c r="M482" s="72"/>
      <c r="P482" s="72"/>
      <c r="S482" s="72"/>
      <c r="V482" s="72"/>
      <c r="Y482" s="72"/>
      <c r="AB482" s="72"/>
      <c r="AE482" s="72"/>
      <c r="AH482" s="72"/>
      <c r="AK482" s="72"/>
      <c r="AN482" s="72"/>
      <c r="AQ482" s="72"/>
      <c r="AT482" s="72"/>
      <c r="AW482" s="72"/>
      <c r="AZ482" s="72"/>
    </row>
    <row r="483" spans="1:52">
      <c r="A483" s="131"/>
      <c r="B483" s="72"/>
      <c r="D483" s="72"/>
      <c r="G483" s="72"/>
      <c r="J483" s="72"/>
      <c r="M483" s="72"/>
      <c r="P483" s="72"/>
      <c r="S483" s="72"/>
      <c r="V483" s="72"/>
      <c r="Y483" s="72"/>
      <c r="AB483" s="72"/>
      <c r="AE483" s="72"/>
      <c r="AH483" s="72"/>
      <c r="AK483" s="72"/>
      <c r="AN483" s="72"/>
      <c r="AQ483" s="72"/>
      <c r="AT483" s="72"/>
      <c r="AW483" s="72"/>
      <c r="AZ483" s="72"/>
    </row>
    <row r="484" spans="1:52">
      <c r="A484" s="131"/>
      <c r="B484" s="72"/>
      <c r="D484" s="72"/>
      <c r="G484" s="72"/>
      <c r="J484" s="72"/>
      <c r="M484" s="72"/>
      <c r="P484" s="72"/>
      <c r="S484" s="72"/>
      <c r="V484" s="72"/>
      <c r="Y484" s="72"/>
      <c r="AB484" s="72"/>
      <c r="AE484" s="72"/>
      <c r="AH484" s="72"/>
      <c r="AK484" s="72"/>
      <c r="AN484" s="72"/>
      <c r="AQ484" s="72"/>
      <c r="AT484" s="72"/>
      <c r="AW484" s="72"/>
      <c r="AZ484" s="72"/>
    </row>
    <row r="485" spans="1:52">
      <c r="A485" s="131"/>
      <c r="B485" s="72"/>
      <c r="D485" s="72"/>
      <c r="G485" s="72"/>
      <c r="J485" s="72"/>
      <c r="M485" s="72"/>
      <c r="P485" s="72"/>
      <c r="S485" s="72"/>
      <c r="V485" s="72"/>
      <c r="Y485" s="72"/>
      <c r="AB485" s="72"/>
      <c r="AE485" s="72"/>
      <c r="AH485" s="72"/>
      <c r="AK485" s="72"/>
      <c r="AN485" s="72"/>
      <c r="AQ485" s="72"/>
      <c r="AT485" s="72"/>
      <c r="AW485" s="72"/>
      <c r="AZ485" s="72"/>
    </row>
    <row r="486" spans="1:52">
      <c r="A486" s="131"/>
      <c r="B486" s="72"/>
      <c r="D486" s="72"/>
      <c r="G486" s="72"/>
      <c r="J486" s="72"/>
      <c r="M486" s="72"/>
      <c r="P486" s="72"/>
      <c r="S486" s="72"/>
      <c r="V486" s="72"/>
      <c r="Y486" s="72"/>
      <c r="AB486" s="72"/>
      <c r="AE486" s="72"/>
      <c r="AH486" s="72"/>
      <c r="AK486" s="72"/>
      <c r="AN486" s="72"/>
      <c r="AQ486" s="72"/>
      <c r="AT486" s="72"/>
      <c r="AW486" s="72"/>
      <c r="AZ486" s="72"/>
    </row>
    <row r="487" spans="1:52">
      <c r="A487" s="131"/>
      <c r="B487" s="72"/>
      <c r="D487" s="72"/>
      <c r="G487" s="72"/>
      <c r="J487" s="72"/>
      <c r="M487" s="72"/>
      <c r="P487" s="72"/>
      <c r="S487" s="72"/>
      <c r="V487" s="72"/>
      <c r="Y487" s="72"/>
      <c r="AB487" s="72"/>
      <c r="AE487" s="72"/>
      <c r="AH487" s="72"/>
      <c r="AK487" s="72"/>
      <c r="AN487" s="72"/>
      <c r="AQ487" s="72"/>
      <c r="AT487" s="72"/>
      <c r="AW487" s="72"/>
      <c r="AZ487" s="72"/>
    </row>
    <row r="488" spans="1:52">
      <c r="A488" s="131"/>
      <c r="B488" s="72"/>
      <c r="D488" s="72"/>
      <c r="G488" s="72"/>
      <c r="J488" s="72"/>
      <c r="M488" s="72"/>
      <c r="P488" s="72"/>
      <c r="S488" s="72"/>
      <c r="V488" s="72"/>
      <c r="Y488" s="72"/>
      <c r="AB488" s="72"/>
      <c r="AE488" s="72"/>
      <c r="AH488" s="72"/>
      <c r="AK488" s="72"/>
      <c r="AN488" s="72"/>
      <c r="AQ488" s="72"/>
      <c r="AT488" s="72"/>
      <c r="AW488" s="72"/>
      <c r="AZ488" s="72"/>
    </row>
    <row r="489" spans="1:52">
      <c r="A489" s="131"/>
      <c r="B489" s="72"/>
      <c r="D489" s="72"/>
      <c r="G489" s="72"/>
      <c r="J489" s="72"/>
      <c r="M489" s="72"/>
      <c r="P489" s="72"/>
      <c r="S489" s="72"/>
      <c r="V489" s="72"/>
      <c r="Y489" s="72"/>
      <c r="AB489" s="72"/>
      <c r="AE489" s="72"/>
      <c r="AH489" s="72"/>
      <c r="AK489" s="72"/>
      <c r="AN489" s="72"/>
      <c r="AQ489" s="72"/>
      <c r="AT489" s="72"/>
      <c r="AW489" s="72"/>
      <c r="AZ489" s="72"/>
    </row>
    <row r="490" spans="1:52">
      <c r="A490" s="131"/>
      <c r="B490" s="72"/>
      <c r="D490" s="72"/>
      <c r="G490" s="72"/>
      <c r="J490" s="72"/>
      <c r="M490" s="72"/>
      <c r="P490" s="72"/>
      <c r="S490" s="72"/>
      <c r="V490" s="72"/>
      <c r="Y490" s="72"/>
      <c r="AB490" s="72"/>
      <c r="AE490" s="72"/>
      <c r="AH490" s="72"/>
      <c r="AK490" s="72"/>
      <c r="AN490" s="72"/>
      <c r="AQ490" s="72"/>
      <c r="AT490" s="72"/>
      <c r="AW490" s="72"/>
      <c r="AZ490" s="72"/>
    </row>
    <row r="491" spans="1:52">
      <c r="A491" s="131"/>
      <c r="B491" s="72"/>
      <c r="D491" s="72"/>
      <c r="G491" s="72"/>
      <c r="J491" s="72"/>
      <c r="M491" s="72"/>
      <c r="P491" s="72"/>
      <c r="S491" s="72"/>
      <c r="V491" s="72"/>
      <c r="Y491" s="72"/>
      <c r="AB491" s="72"/>
      <c r="AE491" s="72"/>
      <c r="AH491" s="72"/>
      <c r="AK491" s="72"/>
      <c r="AN491" s="72"/>
      <c r="AQ491" s="72"/>
      <c r="AT491" s="72"/>
      <c r="AW491" s="72"/>
      <c r="AZ491" s="72"/>
    </row>
    <row r="492" spans="1:52">
      <c r="A492" s="131"/>
      <c r="B492" s="72"/>
      <c r="D492" s="72"/>
      <c r="G492" s="72"/>
      <c r="J492" s="72"/>
      <c r="M492" s="72"/>
      <c r="P492" s="72"/>
      <c r="S492" s="72"/>
      <c r="V492" s="72"/>
      <c r="Y492" s="72"/>
      <c r="AB492" s="72"/>
      <c r="AE492" s="72"/>
      <c r="AH492" s="72"/>
      <c r="AK492" s="72"/>
      <c r="AN492" s="72"/>
      <c r="AQ492" s="72"/>
      <c r="AT492" s="72"/>
      <c r="AW492" s="72"/>
      <c r="AZ492" s="72"/>
    </row>
    <row r="493" spans="1:52">
      <c r="A493" s="131"/>
      <c r="B493" s="72"/>
      <c r="D493" s="72"/>
      <c r="G493" s="72"/>
      <c r="J493" s="72"/>
      <c r="M493" s="72"/>
      <c r="P493" s="72"/>
      <c r="S493" s="72"/>
      <c r="V493" s="72"/>
      <c r="Y493" s="72"/>
      <c r="AB493" s="72"/>
      <c r="AE493" s="72"/>
      <c r="AH493" s="72"/>
      <c r="AK493" s="72"/>
      <c r="AN493" s="72"/>
      <c r="AQ493" s="72"/>
      <c r="AT493" s="72"/>
      <c r="AW493" s="72"/>
      <c r="AZ493" s="72"/>
    </row>
    <row r="494" spans="1:52">
      <c r="A494" s="131"/>
      <c r="B494" s="72"/>
      <c r="D494" s="72"/>
      <c r="G494" s="72"/>
      <c r="J494" s="72"/>
      <c r="M494" s="72"/>
      <c r="P494" s="72"/>
      <c r="S494" s="72"/>
      <c r="V494" s="72"/>
      <c r="Y494" s="72"/>
      <c r="AB494" s="72"/>
      <c r="AE494" s="72"/>
      <c r="AH494" s="72"/>
      <c r="AK494" s="72"/>
      <c r="AN494" s="72"/>
      <c r="AQ494" s="72"/>
      <c r="AT494" s="72"/>
      <c r="AW494" s="72"/>
      <c r="AZ494" s="72"/>
    </row>
    <row r="495" spans="1:52">
      <c r="A495" s="131"/>
      <c r="B495" s="72"/>
      <c r="D495" s="72"/>
      <c r="G495" s="72"/>
      <c r="J495" s="72"/>
      <c r="M495" s="72"/>
      <c r="P495" s="72"/>
      <c r="S495" s="72"/>
      <c r="V495" s="72"/>
      <c r="Y495" s="72"/>
      <c r="AB495" s="72"/>
      <c r="AE495" s="72"/>
      <c r="AH495" s="72"/>
      <c r="AK495" s="72"/>
      <c r="AN495" s="72"/>
      <c r="AQ495" s="72"/>
      <c r="AT495" s="72"/>
      <c r="AW495" s="72"/>
      <c r="AZ495" s="72"/>
    </row>
    <row r="496" spans="1:52">
      <c r="A496" s="131"/>
      <c r="B496" s="72"/>
      <c r="D496" s="72"/>
      <c r="G496" s="72"/>
      <c r="J496" s="72"/>
      <c r="M496" s="72"/>
      <c r="P496" s="72"/>
      <c r="S496" s="72"/>
      <c r="V496" s="72"/>
      <c r="Y496" s="72"/>
      <c r="AB496" s="72"/>
      <c r="AE496" s="72"/>
      <c r="AH496" s="72"/>
      <c r="AK496" s="72"/>
      <c r="AN496" s="72"/>
      <c r="AQ496" s="72"/>
      <c r="AT496" s="72"/>
      <c r="AW496" s="72"/>
      <c r="AZ496" s="72"/>
    </row>
    <row r="497" spans="1:52">
      <c r="A497" s="131"/>
      <c r="B497" s="72"/>
      <c r="D497" s="72"/>
      <c r="G497" s="72"/>
      <c r="J497" s="72"/>
      <c r="M497" s="72"/>
      <c r="P497" s="72"/>
      <c r="S497" s="72"/>
      <c r="V497" s="72"/>
      <c r="Y497" s="72"/>
      <c r="AB497" s="72"/>
      <c r="AE497" s="72"/>
      <c r="AH497" s="72"/>
      <c r="AK497" s="72"/>
      <c r="AN497" s="72"/>
      <c r="AQ497" s="72"/>
      <c r="AT497" s="72"/>
      <c r="AW497" s="72"/>
      <c r="AZ497" s="72"/>
    </row>
    <row r="498" spans="1:52">
      <c r="A498" s="131"/>
      <c r="B498" s="72"/>
      <c r="D498" s="72"/>
      <c r="G498" s="72"/>
      <c r="J498" s="72"/>
      <c r="M498" s="72"/>
      <c r="P498" s="72"/>
      <c r="S498" s="72"/>
      <c r="V498" s="72"/>
      <c r="Y498" s="72"/>
      <c r="AB498" s="72"/>
      <c r="AE498" s="72"/>
      <c r="AH498" s="72"/>
      <c r="AK498" s="72"/>
      <c r="AN498" s="72"/>
      <c r="AQ498" s="72"/>
      <c r="AT498" s="72"/>
      <c r="AW498" s="72"/>
      <c r="AZ498" s="72"/>
    </row>
    <row r="499" spans="1:52">
      <c r="A499" s="131"/>
      <c r="B499" s="72"/>
      <c r="D499" s="72"/>
      <c r="G499" s="72"/>
      <c r="J499" s="72"/>
      <c r="M499" s="72"/>
      <c r="P499" s="72"/>
      <c r="S499" s="72"/>
      <c r="V499" s="72"/>
      <c r="Y499" s="72"/>
      <c r="AB499" s="72"/>
      <c r="AE499" s="72"/>
      <c r="AH499" s="72"/>
      <c r="AK499" s="72"/>
      <c r="AN499" s="72"/>
      <c r="AQ499" s="72"/>
      <c r="AT499" s="72"/>
      <c r="AW499" s="72"/>
      <c r="AZ499" s="72"/>
    </row>
    <row r="500" spans="1:52">
      <c r="A500" s="131"/>
      <c r="B500" s="72"/>
      <c r="D500" s="72"/>
      <c r="G500" s="72"/>
      <c r="J500" s="72"/>
      <c r="M500" s="72"/>
      <c r="P500" s="72"/>
      <c r="S500" s="72"/>
      <c r="V500" s="72"/>
      <c r="Y500" s="72"/>
      <c r="AB500" s="72"/>
      <c r="AE500" s="72"/>
      <c r="AH500" s="72"/>
      <c r="AK500" s="72"/>
      <c r="AN500" s="72"/>
      <c r="AQ500" s="72"/>
      <c r="AT500" s="72"/>
      <c r="AW500" s="72"/>
      <c r="AZ500" s="72"/>
    </row>
    <row r="501" spans="1:52">
      <c r="A501" s="131"/>
      <c r="B501" s="72"/>
      <c r="D501" s="72"/>
      <c r="G501" s="72"/>
      <c r="J501" s="72"/>
      <c r="M501" s="72"/>
      <c r="P501" s="72"/>
      <c r="S501" s="72"/>
      <c r="V501" s="72"/>
      <c r="Y501" s="72"/>
      <c r="AB501" s="72"/>
      <c r="AE501" s="72"/>
      <c r="AH501" s="72"/>
      <c r="AK501" s="72"/>
      <c r="AN501" s="72"/>
      <c r="AQ501" s="72"/>
      <c r="AT501" s="72"/>
      <c r="AW501" s="72"/>
      <c r="AZ501" s="72"/>
    </row>
    <row r="502" spans="1:52">
      <c r="A502" s="131"/>
      <c r="B502" s="72"/>
      <c r="D502" s="72"/>
      <c r="G502" s="72"/>
      <c r="J502" s="72"/>
      <c r="M502" s="72"/>
      <c r="P502" s="72"/>
      <c r="S502" s="72"/>
      <c r="V502" s="72"/>
      <c r="Y502" s="72"/>
      <c r="AB502" s="72"/>
      <c r="AE502" s="72"/>
      <c r="AH502" s="72"/>
      <c r="AK502" s="72"/>
      <c r="AN502" s="72"/>
      <c r="AQ502" s="72"/>
      <c r="AT502" s="72"/>
      <c r="AW502" s="72"/>
      <c r="AZ502" s="72"/>
    </row>
    <row r="503" spans="1:52">
      <c r="A503" s="131"/>
      <c r="B503" s="72"/>
      <c r="D503" s="72"/>
      <c r="G503" s="72"/>
      <c r="J503" s="72"/>
      <c r="M503" s="72"/>
      <c r="P503" s="72"/>
      <c r="S503" s="72"/>
      <c r="V503" s="72"/>
      <c r="Y503" s="72"/>
      <c r="AB503" s="72"/>
      <c r="AE503" s="72"/>
      <c r="AH503" s="72"/>
      <c r="AK503" s="72"/>
      <c r="AN503" s="72"/>
      <c r="AQ503" s="72"/>
      <c r="AT503" s="72"/>
      <c r="AW503" s="72"/>
      <c r="AZ503" s="72"/>
    </row>
    <row r="504" spans="1:52">
      <c r="A504" s="131"/>
      <c r="B504" s="72"/>
      <c r="D504" s="72"/>
      <c r="G504" s="72"/>
      <c r="J504" s="72"/>
      <c r="M504" s="72"/>
      <c r="P504" s="72"/>
      <c r="S504" s="72"/>
      <c r="V504" s="72"/>
      <c r="Y504" s="72"/>
      <c r="AB504" s="72"/>
      <c r="AE504" s="72"/>
      <c r="AH504" s="72"/>
      <c r="AK504" s="72"/>
      <c r="AN504" s="72"/>
      <c r="AQ504" s="72"/>
      <c r="AT504" s="72"/>
      <c r="AW504" s="72"/>
      <c r="AZ504" s="72"/>
    </row>
    <row r="505" spans="1:52">
      <c r="A505" s="131"/>
      <c r="B505" s="72"/>
      <c r="D505" s="72"/>
      <c r="G505" s="72"/>
      <c r="J505" s="72"/>
      <c r="M505" s="72"/>
      <c r="P505" s="72"/>
      <c r="S505" s="72"/>
      <c r="V505" s="72"/>
      <c r="Y505" s="72"/>
      <c r="AB505" s="72"/>
      <c r="AE505" s="72"/>
      <c r="AH505" s="72"/>
      <c r="AK505" s="72"/>
      <c r="AN505" s="72"/>
      <c r="AQ505" s="72"/>
      <c r="AT505" s="72"/>
      <c r="AW505" s="72"/>
      <c r="AZ505" s="72"/>
    </row>
    <row r="506" spans="1:52">
      <c r="A506" s="131"/>
      <c r="B506" s="72"/>
      <c r="D506" s="72"/>
      <c r="G506" s="72"/>
      <c r="J506" s="72"/>
      <c r="M506" s="72"/>
      <c r="P506" s="72"/>
      <c r="S506" s="72"/>
      <c r="V506" s="72"/>
      <c r="Y506" s="72"/>
      <c r="AB506" s="72"/>
      <c r="AE506" s="72"/>
      <c r="AH506" s="72"/>
      <c r="AK506" s="72"/>
      <c r="AN506" s="72"/>
      <c r="AQ506" s="72"/>
      <c r="AT506" s="72"/>
      <c r="AW506" s="72"/>
      <c r="AZ506" s="72"/>
    </row>
    <row r="507" spans="1:52">
      <c r="A507" s="131"/>
      <c r="B507" s="72"/>
      <c r="D507" s="72"/>
      <c r="G507" s="72"/>
      <c r="J507" s="72"/>
      <c r="M507" s="72"/>
      <c r="P507" s="72"/>
      <c r="S507" s="72"/>
      <c r="V507" s="72"/>
      <c r="Y507" s="72"/>
      <c r="AB507" s="72"/>
      <c r="AE507" s="72"/>
      <c r="AH507" s="72"/>
      <c r="AK507" s="72"/>
      <c r="AN507" s="72"/>
      <c r="AQ507" s="72"/>
      <c r="AT507" s="72"/>
      <c r="AW507" s="72"/>
      <c r="AZ507" s="72"/>
    </row>
    <row r="508" spans="1:52">
      <c r="A508" s="131"/>
      <c r="B508" s="72"/>
      <c r="D508" s="72"/>
      <c r="G508" s="72"/>
      <c r="J508" s="72"/>
      <c r="M508" s="72"/>
      <c r="P508" s="72"/>
      <c r="S508" s="72"/>
      <c r="V508" s="72"/>
      <c r="Y508" s="72"/>
      <c r="AB508" s="72"/>
      <c r="AE508" s="72"/>
      <c r="AH508" s="72"/>
      <c r="AK508" s="72"/>
      <c r="AN508" s="72"/>
      <c r="AQ508" s="72"/>
      <c r="AT508" s="72"/>
      <c r="AW508" s="72"/>
      <c r="AZ508" s="72"/>
    </row>
    <row r="509" spans="1:52">
      <c r="A509" s="131"/>
      <c r="B509" s="72"/>
      <c r="D509" s="72"/>
      <c r="G509" s="72"/>
      <c r="J509" s="72"/>
      <c r="M509" s="72"/>
      <c r="P509" s="72"/>
      <c r="S509" s="72"/>
      <c r="V509" s="72"/>
      <c r="Y509" s="72"/>
      <c r="AB509" s="72"/>
      <c r="AE509" s="72"/>
      <c r="AH509" s="72"/>
      <c r="AK509" s="72"/>
      <c r="AN509" s="72"/>
      <c r="AQ509" s="72"/>
      <c r="AT509" s="72"/>
      <c r="AW509" s="72"/>
      <c r="AZ509" s="72"/>
    </row>
    <row r="510" spans="1:52">
      <c r="A510" s="131"/>
      <c r="B510" s="72"/>
      <c r="D510" s="72"/>
      <c r="G510" s="72"/>
      <c r="J510" s="72"/>
      <c r="M510" s="72"/>
      <c r="P510" s="72"/>
      <c r="S510" s="72"/>
      <c r="V510" s="72"/>
      <c r="Y510" s="72"/>
      <c r="AB510" s="72"/>
      <c r="AE510" s="72"/>
      <c r="AH510" s="72"/>
      <c r="AK510" s="72"/>
      <c r="AN510" s="72"/>
      <c r="AQ510" s="72"/>
      <c r="AT510" s="72"/>
      <c r="AW510" s="72"/>
      <c r="AZ510" s="72"/>
    </row>
    <row r="511" spans="1:52">
      <c r="A511" s="131"/>
      <c r="B511" s="72"/>
      <c r="D511" s="72"/>
      <c r="G511" s="72"/>
      <c r="J511" s="72"/>
      <c r="M511" s="72"/>
      <c r="P511" s="72"/>
      <c r="S511" s="72"/>
      <c r="V511" s="72"/>
      <c r="Y511" s="72"/>
      <c r="AB511" s="72"/>
      <c r="AE511" s="72"/>
      <c r="AH511" s="72"/>
      <c r="AK511" s="72"/>
      <c r="AN511" s="72"/>
      <c r="AQ511" s="72"/>
      <c r="AT511" s="72"/>
      <c r="AW511" s="72"/>
      <c r="AZ511" s="72"/>
    </row>
    <row r="512" spans="1:52">
      <c r="A512" s="131"/>
      <c r="B512" s="72"/>
      <c r="D512" s="72"/>
      <c r="G512" s="72"/>
      <c r="J512" s="72"/>
      <c r="M512" s="72"/>
      <c r="P512" s="72"/>
      <c r="S512" s="72"/>
      <c r="V512" s="72"/>
      <c r="Y512" s="72"/>
      <c r="AB512" s="72"/>
      <c r="AE512" s="72"/>
      <c r="AH512" s="72"/>
      <c r="AK512" s="72"/>
      <c r="AN512" s="72"/>
      <c r="AQ512" s="72"/>
      <c r="AT512" s="72"/>
      <c r="AW512" s="72"/>
      <c r="AZ512" s="72"/>
    </row>
    <row r="513" spans="1:52">
      <c r="A513" s="131"/>
      <c r="B513" s="72"/>
      <c r="D513" s="72"/>
      <c r="G513" s="72"/>
      <c r="J513" s="72"/>
      <c r="M513" s="72"/>
      <c r="P513" s="72"/>
      <c r="S513" s="72"/>
      <c r="V513" s="72"/>
      <c r="Y513" s="72"/>
      <c r="AB513" s="72"/>
      <c r="AE513" s="72"/>
      <c r="AH513" s="72"/>
      <c r="AK513" s="72"/>
      <c r="AN513" s="72"/>
      <c r="AQ513" s="72"/>
      <c r="AT513" s="72"/>
      <c r="AW513" s="72"/>
      <c r="AZ513" s="72"/>
    </row>
    <row r="514" spans="1:52">
      <c r="A514" s="131"/>
      <c r="B514" s="72"/>
      <c r="D514" s="72"/>
      <c r="G514" s="72"/>
      <c r="J514" s="72"/>
      <c r="M514" s="72"/>
      <c r="P514" s="72"/>
      <c r="S514" s="72"/>
      <c r="V514" s="72"/>
      <c r="Y514" s="72"/>
      <c r="AB514" s="72"/>
      <c r="AE514" s="72"/>
      <c r="AH514" s="72"/>
      <c r="AK514" s="72"/>
      <c r="AN514" s="72"/>
      <c r="AQ514" s="72"/>
      <c r="AT514" s="72"/>
      <c r="AW514" s="72"/>
      <c r="AZ514" s="72"/>
    </row>
    <row r="515" spans="1:52">
      <c r="A515" s="131"/>
      <c r="B515" s="72"/>
      <c r="D515" s="72"/>
      <c r="G515" s="72"/>
      <c r="J515" s="72"/>
      <c r="M515" s="72"/>
      <c r="P515" s="72"/>
      <c r="S515" s="72"/>
      <c r="V515" s="72"/>
      <c r="Y515" s="72"/>
      <c r="AB515" s="72"/>
      <c r="AE515" s="72"/>
      <c r="AH515" s="72"/>
      <c r="AK515" s="72"/>
      <c r="AN515" s="72"/>
      <c r="AQ515" s="72"/>
      <c r="AT515" s="72"/>
      <c r="AW515" s="72"/>
      <c r="AZ515" s="72"/>
    </row>
    <row r="516" spans="1:52">
      <c r="A516" s="131"/>
      <c r="B516" s="72"/>
      <c r="D516" s="72"/>
      <c r="G516" s="72"/>
      <c r="J516" s="72"/>
      <c r="M516" s="72"/>
      <c r="P516" s="72"/>
      <c r="S516" s="72"/>
      <c r="V516" s="72"/>
      <c r="Y516" s="72"/>
      <c r="AB516" s="72"/>
      <c r="AE516" s="72"/>
      <c r="AH516" s="72"/>
      <c r="AK516" s="72"/>
      <c r="AN516" s="72"/>
      <c r="AQ516" s="72"/>
      <c r="AT516" s="72"/>
      <c r="AW516" s="72"/>
      <c r="AZ516" s="72"/>
    </row>
    <row r="517" spans="1:52">
      <c r="A517" s="131"/>
      <c r="B517" s="72"/>
      <c r="D517" s="72"/>
      <c r="G517" s="72"/>
      <c r="J517" s="72"/>
      <c r="M517" s="72"/>
      <c r="P517" s="72"/>
      <c r="S517" s="72"/>
      <c r="V517" s="72"/>
      <c r="Y517" s="72"/>
      <c r="AB517" s="72"/>
      <c r="AE517" s="72"/>
      <c r="AH517" s="72"/>
      <c r="AK517" s="72"/>
      <c r="AN517" s="72"/>
      <c r="AQ517" s="72"/>
      <c r="AT517" s="72"/>
      <c r="AW517" s="72"/>
      <c r="AZ517" s="72"/>
    </row>
    <row r="518" spans="1:52">
      <c r="A518" s="131"/>
      <c r="B518" s="72"/>
      <c r="D518" s="72"/>
      <c r="G518" s="72"/>
      <c r="J518" s="72"/>
      <c r="M518" s="72"/>
      <c r="P518" s="72"/>
      <c r="S518" s="72"/>
      <c r="V518" s="72"/>
      <c r="Y518" s="72"/>
      <c r="AB518" s="72"/>
      <c r="AE518" s="72"/>
      <c r="AH518" s="72"/>
      <c r="AK518" s="72"/>
      <c r="AN518" s="72"/>
      <c r="AQ518" s="72"/>
      <c r="AT518" s="72"/>
      <c r="AW518" s="72"/>
      <c r="AZ518" s="72"/>
    </row>
    <row r="519" spans="1:52">
      <c r="A519" s="131"/>
      <c r="B519" s="72"/>
      <c r="D519" s="72"/>
      <c r="G519" s="72"/>
      <c r="J519" s="72"/>
      <c r="M519" s="72"/>
      <c r="P519" s="72"/>
      <c r="S519" s="72"/>
      <c r="V519" s="72"/>
      <c r="Y519" s="72"/>
      <c r="AB519" s="72"/>
      <c r="AE519" s="72"/>
      <c r="AH519" s="72"/>
      <c r="AK519" s="72"/>
      <c r="AN519" s="72"/>
      <c r="AQ519" s="72"/>
      <c r="AT519" s="72"/>
      <c r="AW519" s="72"/>
      <c r="AZ519" s="72"/>
    </row>
    <row r="520" spans="1:52">
      <c r="A520" s="131"/>
      <c r="B520" s="72"/>
      <c r="D520" s="72"/>
      <c r="G520" s="72"/>
      <c r="J520" s="72"/>
      <c r="M520" s="72"/>
      <c r="P520" s="72"/>
      <c r="S520" s="72"/>
      <c r="V520" s="72"/>
      <c r="Y520" s="72"/>
      <c r="AB520" s="72"/>
      <c r="AE520" s="72"/>
      <c r="AH520" s="72"/>
      <c r="AK520" s="72"/>
      <c r="AN520" s="72"/>
      <c r="AQ520" s="72"/>
      <c r="AT520" s="72"/>
      <c r="AW520" s="72"/>
      <c r="AZ520" s="72"/>
    </row>
    <row r="521" spans="1:52">
      <c r="A521" s="131"/>
      <c r="B521" s="72"/>
      <c r="D521" s="72"/>
      <c r="G521" s="72"/>
      <c r="J521" s="72"/>
      <c r="M521" s="72"/>
      <c r="P521" s="72"/>
      <c r="S521" s="72"/>
      <c r="V521" s="72"/>
      <c r="Y521" s="72"/>
      <c r="AB521" s="72"/>
      <c r="AE521" s="72"/>
      <c r="AH521" s="72"/>
      <c r="AK521" s="72"/>
      <c r="AN521" s="72"/>
      <c r="AQ521" s="72"/>
      <c r="AT521" s="72"/>
      <c r="AW521" s="72"/>
      <c r="AZ521" s="72"/>
    </row>
    <row r="522" spans="1:52">
      <c r="A522" s="131"/>
      <c r="B522" s="72"/>
      <c r="D522" s="72"/>
      <c r="G522" s="72"/>
      <c r="J522" s="72"/>
      <c r="M522" s="72"/>
      <c r="P522" s="72"/>
      <c r="S522" s="72"/>
      <c r="V522" s="72"/>
      <c r="Y522" s="72"/>
      <c r="AB522" s="72"/>
      <c r="AE522" s="72"/>
      <c r="AH522" s="72"/>
      <c r="AK522" s="72"/>
      <c r="AN522" s="72"/>
      <c r="AQ522" s="72"/>
      <c r="AT522" s="72"/>
      <c r="AW522" s="72"/>
      <c r="AZ522" s="72"/>
    </row>
    <row r="523" spans="1:52">
      <c r="A523" s="131"/>
      <c r="B523" s="72"/>
      <c r="D523" s="72"/>
      <c r="G523" s="72"/>
      <c r="J523" s="72"/>
      <c r="M523" s="72"/>
      <c r="P523" s="72"/>
      <c r="S523" s="72"/>
      <c r="V523" s="72"/>
      <c r="Y523" s="72"/>
      <c r="AB523" s="72"/>
      <c r="AE523" s="72"/>
      <c r="AH523" s="72"/>
      <c r="AK523" s="72"/>
      <c r="AN523" s="72"/>
      <c r="AQ523" s="72"/>
      <c r="AT523" s="72"/>
      <c r="AW523" s="72"/>
      <c r="AZ523" s="72"/>
    </row>
    <row r="524" spans="1:52">
      <c r="A524" s="131"/>
      <c r="B524" s="72"/>
      <c r="D524" s="72"/>
      <c r="G524" s="72"/>
      <c r="J524" s="72"/>
      <c r="M524" s="72"/>
      <c r="P524" s="72"/>
      <c r="S524" s="72"/>
      <c r="V524" s="72"/>
      <c r="Y524" s="72"/>
      <c r="AB524" s="72"/>
      <c r="AE524" s="72"/>
      <c r="AH524" s="72"/>
      <c r="AK524" s="72"/>
      <c r="AN524" s="72"/>
      <c r="AQ524" s="72"/>
      <c r="AT524" s="72"/>
      <c r="AW524" s="72"/>
      <c r="AZ524" s="72"/>
    </row>
    <row r="525" spans="1:52">
      <c r="A525" s="131"/>
      <c r="B525" s="72"/>
      <c r="D525" s="72"/>
      <c r="G525" s="72"/>
      <c r="J525" s="72"/>
      <c r="M525" s="72"/>
      <c r="P525" s="72"/>
      <c r="S525" s="72"/>
      <c r="V525" s="72"/>
      <c r="Y525" s="72"/>
      <c r="AB525" s="72"/>
      <c r="AE525" s="72"/>
      <c r="AH525" s="72"/>
      <c r="AK525" s="72"/>
      <c r="AN525" s="72"/>
      <c r="AQ525" s="72"/>
      <c r="AT525" s="72"/>
      <c r="AW525" s="72"/>
      <c r="AZ525" s="72"/>
    </row>
    <row r="526" spans="1:52">
      <c r="A526" s="131"/>
      <c r="B526" s="72"/>
      <c r="D526" s="72"/>
      <c r="G526" s="72"/>
      <c r="J526" s="72"/>
      <c r="M526" s="72"/>
      <c r="P526" s="72"/>
      <c r="S526" s="72"/>
      <c r="V526" s="72"/>
      <c r="Y526" s="72"/>
      <c r="AB526" s="72"/>
      <c r="AE526" s="72"/>
      <c r="AH526" s="72"/>
      <c r="AK526" s="72"/>
      <c r="AN526" s="72"/>
      <c r="AQ526" s="72"/>
      <c r="AT526" s="72"/>
      <c r="AW526" s="72"/>
      <c r="AZ526" s="72"/>
    </row>
    <row r="527" spans="1:52">
      <c r="A527" s="131"/>
      <c r="B527" s="72"/>
      <c r="D527" s="72"/>
      <c r="G527" s="72"/>
      <c r="J527" s="72"/>
      <c r="M527" s="72"/>
      <c r="P527" s="72"/>
      <c r="S527" s="72"/>
      <c r="V527" s="72"/>
      <c r="Y527" s="72"/>
      <c r="AB527" s="72"/>
      <c r="AE527" s="72"/>
      <c r="AH527" s="72"/>
      <c r="AK527" s="72"/>
      <c r="AN527" s="72"/>
      <c r="AQ527" s="72"/>
      <c r="AT527" s="72"/>
      <c r="AW527" s="72"/>
      <c r="AZ527" s="72"/>
    </row>
    <row r="528" spans="1:52">
      <c r="A528" s="131"/>
      <c r="B528" s="72"/>
      <c r="D528" s="72"/>
      <c r="G528" s="72"/>
      <c r="J528" s="72"/>
      <c r="M528" s="72"/>
      <c r="P528" s="72"/>
      <c r="S528" s="72"/>
      <c r="V528" s="72"/>
      <c r="Y528" s="72"/>
      <c r="AB528" s="72"/>
      <c r="AE528" s="72"/>
      <c r="AH528" s="72"/>
      <c r="AK528" s="72"/>
      <c r="AN528" s="72"/>
      <c r="AQ528" s="72"/>
      <c r="AT528" s="72"/>
      <c r="AW528" s="72"/>
      <c r="AZ528" s="72"/>
    </row>
    <row r="529" spans="1:52">
      <c r="A529" s="131"/>
      <c r="B529" s="72"/>
      <c r="D529" s="72"/>
      <c r="G529" s="72"/>
      <c r="J529" s="72"/>
      <c r="M529" s="72"/>
      <c r="P529" s="72"/>
      <c r="S529" s="72"/>
      <c r="V529" s="72"/>
      <c r="Y529" s="72"/>
      <c r="AB529" s="72"/>
      <c r="AE529" s="72"/>
      <c r="AH529" s="72"/>
      <c r="AK529" s="72"/>
      <c r="AN529" s="72"/>
      <c r="AQ529" s="72"/>
      <c r="AT529" s="72"/>
      <c r="AW529" s="72"/>
      <c r="AZ529" s="72"/>
    </row>
    <row r="530" spans="1:52">
      <c r="A530" s="131"/>
      <c r="B530" s="72"/>
      <c r="D530" s="72"/>
      <c r="G530" s="72"/>
      <c r="J530" s="72"/>
      <c r="M530" s="72"/>
      <c r="P530" s="72"/>
      <c r="S530" s="72"/>
      <c r="V530" s="72"/>
      <c r="Y530" s="72"/>
      <c r="AB530" s="72"/>
      <c r="AE530" s="72"/>
      <c r="AH530" s="72"/>
      <c r="AK530" s="72"/>
      <c r="AN530" s="72"/>
      <c r="AQ530" s="72"/>
      <c r="AT530" s="72"/>
      <c r="AW530" s="72"/>
      <c r="AZ530" s="72"/>
    </row>
    <row r="531" spans="1:52">
      <c r="A531" s="131"/>
      <c r="B531" s="72"/>
      <c r="D531" s="72"/>
      <c r="G531" s="72"/>
      <c r="J531" s="72"/>
      <c r="M531" s="72"/>
      <c r="P531" s="72"/>
      <c r="S531" s="72"/>
      <c r="V531" s="72"/>
      <c r="Y531" s="72"/>
      <c r="AB531" s="72"/>
      <c r="AE531" s="72"/>
      <c r="AH531" s="72"/>
      <c r="AK531" s="72"/>
      <c r="AN531" s="72"/>
      <c r="AQ531" s="72"/>
      <c r="AT531" s="72"/>
      <c r="AW531" s="72"/>
      <c r="AZ531" s="72"/>
    </row>
    <row r="532" spans="1:52">
      <c r="A532" s="131"/>
      <c r="B532" s="72"/>
      <c r="D532" s="72"/>
      <c r="G532" s="72"/>
      <c r="J532" s="72"/>
      <c r="M532" s="72"/>
      <c r="P532" s="72"/>
      <c r="S532" s="72"/>
      <c r="V532" s="72"/>
      <c r="Y532" s="72"/>
      <c r="AB532" s="72"/>
      <c r="AE532" s="72"/>
      <c r="AH532" s="72"/>
      <c r="AK532" s="72"/>
      <c r="AN532" s="72"/>
      <c r="AQ532" s="72"/>
      <c r="AT532" s="72"/>
      <c r="AW532" s="72"/>
      <c r="AZ532" s="72"/>
    </row>
    <row r="533" spans="1:52">
      <c r="A533" s="131"/>
      <c r="B533" s="72"/>
      <c r="D533" s="72"/>
      <c r="G533" s="72"/>
      <c r="J533" s="72"/>
      <c r="M533" s="72"/>
      <c r="P533" s="72"/>
      <c r="S533" s="72"/>
      <c r="V533" s="72"/>
      <c r="Y533" s="72"/>
      <c r="AB533" s="72"/>
      <c r="AE533" s="72"/>
      <c r="AH533" s="72"/>
      <c r="AK533" s="72"/>
      <c r="AN533" s="72"/>
      <c r="AQ533" s="72"/>
      <c r="AT533" s="72"/>
      <c r="AW533" s="72"/>
      <c r="AZ533" s="72"/>
    </row>
    <row r="534" spans="1:52">
      <c r="A534" s="131"/>
      <c r="B534" s="72"/>
      <c r="D534" s="72"/>
      <c r="G534" s="72"/>
      <c r="J534" s="72"/>
      <c r="M534" s="72"/>
      <c r="P534" s="72"/>
      <c r="S534" s="72"/>
      <c r="V534" s="72"/>
      <c r="Y534" s="72"/>
      <c r="AB534" s="72"/>
      <c r="AE534" s="72"/>
      <c r="AH534" s="72"/>
      <c r="AK534" s="72"/>
      <c r="AN534" s="72"/>
      <c r="AQ534" s="72"/>
      <c r="AT534" s="72"/>
      <c r="AW534" s="72"/>
      <c r="AZ534" s="72"/>
    </row>
    <row r="535" spans="1:52">
      <c r="A535" s="131"/>
      <c r="B535" s="72"/>
      <c r="D535" s="72"/>
      <c r="G535" s="72"/>
      <c r="J535" s="72"/>
      <c r="M535" s="72"/>
      <c r="P535" s="72"/>
      <c r="S535" s="72"/>
      <c r="V535" s="72"/>
      <c r="Y535" s="72"/>
      <c r="AB535" s="72"/>
      <c r="AE535" s="72"/>
      <c r="AH535" s="72"/>
      <c r="AK535" s="72"/>
      <c r="AN535" s="72"/>
      <c r="AQ535" s="72"/>
      <c r="AT535" s="72"/>
      <c r="AW535" s="72"/>
      <c r="AZ535" s="72"/>
    </row>
    <row r="536" spans="1:52">
      <c r="A536" s="131"/>
      <c r="B536" s="72"/>
      <c r="D536" s="72"/>
      <c r="G536" s="72"/>
      <c r="J536" s="72"/>
      <c r="M536" s="72"/>
      <c r="P536" s="72"/>
      <c r="S536" s="72"/>
      <c r="V536" s="72"/>
      <c r="Y536" s="72"/>
      <c r="AB536" s="72"/>
      <c r="AE536" s="72"/>
      <c r="AH536" s="72"/>
      <c r="AK536" s="72"/>
      <c r="AN536" s="72"/>
      <c r="AQ536" s="72"/>
      <c r="AT536" s="72"/>
      <c r="AW536" s="72"/>
      <c r="AZ536" s="72"/>
    </row>
    <row r="537" spans="1:52">
      <c r="A537" s="131"/>
      <c r="B537" s="72"/>
      <c r="D537" s="72"/>
      <c r="G537" s="72"/>
      <c r="J537" s="72"/>
      <c r="M537" s="72"/>
      <c r="P537" s="72"/>
      <c r="S537" s="72"/>
      <c r="V537" s="72"/>
      <c r="Y537" s="72"/>
      <c r="AB537" s="72"/>
      <c r="AE537" s="72"/>
      <c r="AH537" s="72"/>
      <c r="AK537" s="72"/>
      <c r="AN537" s="72"/>
      <c r="AQ537" s="72"/>
      <c r="AT537" s="72"/>
      <c r="AW537" s="72"/>
      <c r="AZ537" s="72"/>
    </row>
    <row r="538" spans="1:52">
      <c r="A538" s="131"/>
      <c r="B538" s="72"/>
      <c r="D538" s="72"/>
      <c r="G538" s="72"/>
      <c r="J538" s="72"/>
      <c r="M538" s="72"/>
      <c r="P538" s="72"/>
      <c r="S538" s="72"/>
      <c r="V538" s="72"/>
      <c r="Y538" s="72"/>
      <c r="AB538" s="72"/>
      <c r="AE538" s="72"/>
      <c r="AH538" s="72"/>
      <c r="AK538" s="72"/>
      <c r="AN538" s="72"/>
      <c r="AQ538" s="72"/>
      <c r="AT538" s="72"/>
      <c r="AW538" s="72"/>
      <c r="AZ538" s="72"/>
    </row>
    <row r="539" spans="1:52">
      <c r="A539" s="131"/>
      <c r="B539" s="72"/>
      <c r="D539" s="72"/>
      <c r="G539" s="72"/>
      <c r="J539" s="72"/>
      <c r="M539" s="72"/>
      <c r="P539" s="72"/>
      <c r="S539" s="72"/>
      <c r="V539" s="72"/>
      <c r="Y539" s="72"/>
      <c r="AB539" s="72"/>
      <c r="AE539" s="72"/>
      <c r="AH539" s="72"/>
      <c r="AK539" s="72"/>
      <c r="AN539" s="72"/>
      <c r="AQ539" s="72"/>
      <c r="AT539" s="72"/>
      <c r="AW539" s="72"/>
      <c r="AZ539" s="72"/>
    </row>
    <row r="540" spans="1:52">
      <c r="A540" s="131"/>
      <c r="B540" s="72"/>
      <c r="D540" s="72"/>
      <c r="G540" s="72"/>
      <c r="J540" s="72"/>
      <c r="M540" s="72"/>
      <c r="P540" s="72"/>
      <c r="S540" s="72"/>
      <c r="V540" s="72"/>
      <c r="Y540" s="72"/>
      <c r="AB540" s="72"/>
      <c r="AE540" s="72"/>
      <c r="AH540" s="72"/>
      <c r="AK540" s="72"/>
      <c r="AN540" s="72"/>
      <c r="AQ540" s="72"/>
      <c r="AT540" s="72"/>
      <c r="AW540" s="72"/>
      <c r="AZ540" s="72"/>
    </row>
    <row r="541" spans="1:52">
      <c r="A541" s="131"/>
      <c r="B541" s="72"/>
      <c r="D541" s="72"/>
      <c r="G541" s="72"/>
      <c r="J541" s="72"/>
      <c r="M541" s="72"/>
      <c r="P541" s="72"/>
      <c r="S541" s="72"/>
      <c r="V541" s="72"/>
      <c r="Y541" s="72"/>
      <c r="AB541" s="72"/>
      <c r="AE541" s="72"/>
      <c r="AH541" s="72"/>
      <c r="AK541" s="72"/>
      <c r="AN541" s="72"/>
      <c r="AQ541" s="72"/>
      <c r="AT541" s="72"/>
      <c r="AW541" s="72"/>
      <c r="AZ541" s="72"/>
    </row>
    <row r="542" spans="1:52">
      <c r="A542" s="131"/>
      <c r="B542" s="72"/>
      <c r="D542" s="72"/>
      <c r="G542" s="72"/>
      <c r="J542" s="72"/>
      <c r="M542" s="72"/>
      <c r="P542" s="72"/>
      <c r="S542" s="72"/>
      <c r="V542" s="72"/>
      <c r="Y542" s="72"/>
      <c r="AB542" s="72"/>
      <c r="AE542" s="72"/>
      <c r="AH542" s="72"/>
      <c r="AK542" s="72"/>
      <c r="AN542" s="72"/>
      <c r="AQ542" s="72"/>
      <c r="AT542" s="72"/>
      <c r="AW542" s="72"/>
      <c r="AZ542" s="72"/>
    </row>
    <row r="543" spans="1:52">
      <c r="A543" s="131"/>
      <c r="B543" s="72"/>
      <c r="D543" s="72"/>
      <c r="G543" s="72"/>
      <c r="J543" s="72"/>
      <c r="M543" s="72"/>
      <c r="P543" s="72"/>
      <c r="S543" s="72"/>
      <c r="V543" s="72"/>
      <c r="Y543" s="72"/>
      <c r="AB543" s="72"/>
      <c r="AE543" s="72"/>
      <c r="AH543" s="72"/>
      <c r="AK543" s="72"/>
      <c r="AN543" s="72"/>
      <c r="AQ543" s="72"/>
      <c r="AT543" s="72"/>
      <c r="AW543" s="72"/>
      <c r="AZ543" s="72"/>
    </row>
    <row r="544" spans="1:52">
      <c r="A544" s="131"/>
      <c r="B544" s="72"/>
      <c r="D544" s="72"/>
      <c r="G544" s="72"/>
      <c r="J544" s="72"/>
      <c r="M544" s="72"/>
      <c r="P544" s="72"/>
      <c r="S544" s="72"/>
      <c r="V544" s="72"/>
      <c r="Y544" s="72"/>
      <c r="AB544" s="72"/>
      <c r="AE544" s="72"/>
      <c r="AH544" s="72"/>
      <c r="AK544" s="72"/>
      <c r="AN544" s="72"/>
      <c r="AQ544" s="72"/>
      <c r="AT544" s="72"/>
      <c r="AW544" s="72"/>
      <c r="AZ544" s="72"/>
    </row>
    <row r="545" spans="1:52">
      <c r="A545" s="131"/>
      <c r="B545" s="72"/>
      <c r="D545" s="72"/>
      <c r="G545" s="72"/>
      <c r="J545" s="72"/>
      <c r="M545" s="72"/>
      <c r="P545" s="72"/>
      <c r="S545" s="72"/>
      <c r="V545" s="72"/>
      <c r="Y545" s="72"/>
      <c r="AB545" s="72"/>
      <c r="AE545" s="72"/>
      <c r="AH545" s="72"/>
      <c r="AK545" s="72"/>
      <c r="AN545" s="72"/>
      <c r="AQ545" s="72"/>
      <c r="AT545" s="72"/>
      <c r="AW545" s="72"/>
      <c r="AZ545" s="72"/>
    </row>
    <row r="546" spans="1:52">
      <c r="A546" s="131"/>
      <c r="B546" s="72"/>
      <c r="D546" s="72"/>
      <c r="G546" s="72"/>
      <c r="J546" s="72"/>
      <c r="M546" s="72"/>
      <c r="P546" s="72"/>
      <c r="S546" s="72"/>
      <c r="V546" s="72"/>
      <c r="Y546" s="72"/>
      <c r="AB546" s="72"/>
      <c r="AE546" s="72"/>
      <c r="AH546" s="72"/>
      <c r="AK546" s="72"/>
      <c r="AN546" s="72"/>
      <c r="AQ546" s="72"/>
      <c r="AT546" s="72"/>
      <c r="AW546" s="72"/>
      <c r="AZ546" s="72"/>
    </row>
    <row r="547" spans="1:52">
      <c r="A547" s="131"/>
      <c r="B547" s="72"/>
      <c r="D547" s="72"/>
      <c r="G547" s="72"/>
      <c r="J547" s="72"/>
      <c r="M547" s="72"/>
      <c r="P547" s="72"/>
      <c r="S547" s="72"/>
      <c r="V547" s="72"/>
      <c r="Y547" s="72"/>
      <c r="AB547" s="72"/>
      <c r="AE547" s="72"/>
      <c r="AH547" s="72"/>
      <c r="AK547" s="72"/>
      <c r="AN547" s="72"/>
      <c r="AQ547" s="72"/>
      <c r="AT547" s="72"/>
      <c r="AW547" s="72"/>
      <c r="AZ547" s="72"/>
    </row>
    <row r="548" spans="1:52">
      <c r="A548" s="131"/>
      <c r="B548" s="72"/>
      <c r="D548" s="72"/>
      <c r="G548" s="72"/>
      <c r="J548" s="72"/>
      <c r="M548" s="72"/>
      <c r="P548" s="72"/>
      <c r="S548" s="72"/>
      <c r="V548" s="72"/>
      <c r="Y548" s="72"/>
      <c r="AB548" s="72"/>
      <c r="AE548" s="72"/>
      <c r="AH548" s="72"/>
      <c r="AK548" s="72"/>
      <c r="AN548" s="72"/>
      <c r="AQ548" s="72"/>
      <c r="AT548" s="72"/>
      <c r="AW548" s="72"/>
      <c r="AZ548" s="72"/>
    </row>
    <row r="549" spans="1:52">
      <c r="A549" s="131"/>
      <c r="B549" s="72"/>
      <c r="D549" s="72"/>
      <c r="G549" s="72"/>
      <c r="J549" s="72"/>
      <c r="M549" s="72"/>
      <c r="P549" s="72"/>
      <c r="S549" s="72"/>
      <c r="V549" s="72"/>
      <c r="Y549" s="72"/>
      <c r="AB549" s="72"/>
      <c r="AE549" s="72"/>
      <c r="AH549" s="72"/>
      <c r="AK549" s="72"/>
      <c r="AN549" s="72"/>
      <c r="AQ549" s="72"/>
      <c r="AT549" s="72"/>
      <c r="AW549" s="72"/>
      <c r="AZ549" s="72"/>
    </row>
    <row r="550" spans="1:52">
      <c r="A550" s="131"/>
      <c r="B550" s="72"/>
      <c r="D550" s="72"/>
      <c r="G550" s="72"/>
      <c r="J550" s="72"/>
      <c r="M550" s="72"/>
      <c r="P550" s="72"/>
      <c r="S550" s="72"/>
      <c r="V550" s="72"/>
      <c r="Y550" s="72"/>
      <c r="AB550" s="72"/>
      <c r="AE550" s="72"/>
      <c r="AH550" s="72"/>
      <c r="AK550" s="72"/>
      <c r="AN550" s="72"/>
      <c r="AQ550" s="72"/>
      <c r="AT550" s="72"/>
      <c r="AW550" s="72"/>
      <c r="AZ550" s="72"/>
    </row>
    <row r="551" spans="1:52">
      <c r="A551" s="131"/>
      <c r="B551" s="72"/>
      <c r="D551" s="72"/>
      <c r="G551" s="72"/>
      <c r="J551" s="72"/>
      <c r="M551" s="72"/>
      <c r="P551" s="72"/>
      <c r="S551" s="72"/>
      <c r="V551" s="72"/>
      <c r="Y551" s="72"/>
      <c r="AB551" s="72"/>
      <c r="AE551" s="72"/>
      <c r="AH551" s="72"/>
      <c r="AK551" s="72"/>
      <c r="AN551" s="72"/>
      <c r="AQ551" s="72"/>
      <c r="AT551" s="72"/>
      <c r="AW551" s="72"/>
      <c r="AZ551" s="72"/>
    </row>
    <row r="552" spans="1:52">
      <c r="A552" s="131"/>
      <c r="B552" s="72"/>
      <c r="D552" s="72"/>
      <c r="G552" s="72"/>
      <c r="J552" s="72"/>
      <c r="M552" s="72"/>
      <c r="P552" s="72"/>
      <c r="S552" s="72"/>
      <c r="V552" s="72"/>
      <c r="Y552" s="72"/>
      <c r="AB552" s="72"/>
      <c r="AE552" s="72"/>
      <c r="AH552" s="72"/>
      <c r="AK552" s="72"/>
      <c r="AN552" s="72"/>
      <c r="AQ552" s="72"/>
      <c r="AT552" s="72"/>
      <c r="AW552" s="72"/>
      <c r="AZ552" s="72"/>
    </row>
    <row r="553" spans="1:52">
      <c r="A553" s="131"/>
      <c r="B553" s="72"/>
      <c r="D553" s="72"/>
      <c r="G553" s="72"/>
      <c r="J553" s="72"/>
      <c r="M553" s="72"/>
      <c r="P553" s="72"/>
      <c r="S553" s="72"/>
      <c r="V553" s="72"/>
      <c r="Y553" s="72"/>
      <c r="AB553" s="72"/>
      <c r="AE553" s="72"/>
      <c r="AH553" s="72"/>
      <c r="AK553" s="72"/>
      <c r="AN553" s="72"/>
      <c r="AQ553" s="72"/>
      <c r="AT553" s="72"/>
      <c r="AW553" s="72"/>
      <c r="AZ553" s="72"/>
    </row>
    <row r="554" spans="1:52">
      <c r="A554" s="131"/>
      <c r="B554" s="72"/>
      <c r="D554" s="72"/>
      <c r="G554" s="72"/>
      <c r="J554" s="72"/>
      <c r="M554" s="72"/>
      <c r="P554" s="72"/>
      <c r="S554" s="72"/>
      <c r="V554" s="72"/>
      <c r="Y554" s="72"/>
      <c r="AB554" s="72"/>
      <c r="AE554" s="72"/>
      <c r="AH554" s="72"/>
      <c r="AK554" s="72"/>
      <c r="AN554" s="72"/>
      <c r="AQ554" s="72"/>
      <c r="AT554" s="72"/>
      <c r="AW554" s="72"/>
      <c r="AZ554" s="72"/>
    </row>
    <row r="555" spans="1:52">
      <c r="A555" s="131"/>
      <c r="B555" s="72"/>
      <c r="D555" s="72"/>
      <c r="G555" s="72"/>
      <c r="J555" s="72"/>
      <c r="M555" s="72"/>
      <c r="P555" s="72"/>
      <c r="S555" s="72"/>
      <c r="V555" s="72"/>
      <c r="Y555" s="72"/>
      <c r="AB555" s="72"/>
      <c r="AE555" s="72"/>
      <c r="AH555" s="72"/>
      <c r="AK555" s="72"/>
      <c r="AN555" s="72"/>
      <c r="AQ555" s="72"/>
      <c r="AT555" s="72"/>
      <c r="AW555" s="72"/>
      <c r="AZ555" s="72"/>
    </row>
    <row r="556" spans="1:52">
      <c r="A556" s="131"/>
      <c r="B556" s="72"/>
      <c r="D556" s="72"/>
      <c r="G556" s="72"/>
      <c r="J556" s="72"/>
      <c r="M556" s="72"/>
      <c r="P556" s="72"/>
      <c r="S556" s="72"/>
      <c r="V556" s="72"/>
      <c r="Y556" s="72"/>
      <c r="AB556" s="72"/>
      <c r="AE556" s="72"/>
      <c r="AH556" s="72"/>
      <c r="AK556" s="72"/>
      <c r="AN556" s="72"/>
      <c r="AQ556" s="72"/>
      <c r="AT556" s="72"/>
      <c r="AW556" s="72"/>
      <c r="AZ556" s="72"/>
    </row>
    <row r="557" spans="1:52">
      <c r="A557" s="131"/>
      <c r="B557" s="72"/>
      <c r="D557" s="72"/>
      <c r="G557" s="72"/>
      <c r="J557" s="72"/>
      <c r="M557" s="72"/>
      <c r="P557" s="72"/>
      <c r="S557" s="72"/>
      <c r="V557" s="72"/>
      <c r="Y557" s="72"/>
      <c r="AB557" s="72"/>
      <c r="AE557" s="72"/>
      <c r="AH557" s="72"/>
      <c r="AK557" s="72"/>
      <c r="AN557" s="72"/>
      <c r="AQ557" s="72"/>
      <c r="AT557" s="72"/>
      <c r="AW557" s="72"/>
      <c r="AZ557" s="72"/>
    </row>
    <row r="558" spans="1:52">
      <c r="A558" s="131"/>
      <c r="B558" s="72"/>
      <c r="D558" s="72"/>
      <c r="G558" s="72"/>
      <c r="J558" s="72"/>
      <c r="M558" s="72"/>
      <c r="P558" s="72"/>
      <c r="S558" s="72"/>
      <c r="V558" s="72"/>
      <c r="Y558" s="72"/>
      <c r="AB558" s="72"/>
      <c r="AE558" s="72"/>
      <c r="AH558" s="72"/>
      <c r="AK558" s="72"/>
      <c r="AN558" s="72"/>
      <c r="AQ558" s="72"/>
      <c r="AT558" s="72"/>
      <c r="AW558" s="72"/>
      <c r="AZ558" s="72"/>
    </row>
    <row r="559" spans="1:52">
      <c r="A559" s="131"/>
      <c r="B559" s="72"/>
      <c r="D559" s="72"/>
      <c r="G559" s="72"/>
      <c r="J559" s="72"/>
      <c r="M559" s="72"/>
      <c r="P559" s="72"/>
      <c r="S559" s="72"/>
      <c r="V559" s="72"/>
      <c r="Y559" s="72"/>
      <c r="AB559" s="72"/>
      <c r="AE559" s="72"/>
      <c r="AH559" s="72"/>
      <c r="AK559" s="72"/>
      <c r="AN559" s="72"/>
      <c r="AQ559" s="72"/>
      <c r="AT559" s="72"/>
      <c r="AW559" s="72"/>
      <c r="AZ559" s="72"/>
    </row>
    <row r="560" spans="1:52">
      <c r="A560" s="131"/>
      <c r="B560" s="72"/>
      <c r="D560" s="72"/>
      <c r="G560" s="72"/>
      <c r="J560" s="72"/>
      <c r="M560" s="72"/>
      <c r="P560" s="72"/>
      <c r="S560" s="72"/>
      <c r="V560" s="72"/>
      <c r="Y560" s="72"/>
      <c r="AB560" s="72"/>
      <c r="AE560" s="72"/>
      <c r="AH560" s="72"/>
      <c r="AK560" s="72"/>
      <c r="AN560" s="72"/>
      <c r="AQ560" s="72"/>
      <c r="AT560" s="72"/>
      <c r="AW560" s="72"/>
      <c r="AZ560" s="72"/>
    </row>
    <row r="561" spans="1:52">
      <c r="A561" s="131"/>
      <c r="B561" s="72"/>
      <c r="D561" s="72"/>
      <c r="G561" s="72"/>
      <c r="J561" s="72"/>
      <c r="M561" s="72"/>
      <c r="P561" s="72"/>
      <c r="S561" s="72"/>
      <c r="V561" s="72"/>
      <c r="Y561" s="72"/>
      <c r="AB561" s="72"/>
      <c r="AE561" s="72"/>
      <c r="AH561" s="72"/>
      <c r="AK561" s="72"/>
      <c r="AN561" s="72"/>
      <c r="AQ561" s="72"/>
      <c r="AT561" s="72"/>
      <c r="AW561" s="72"/>
      <c r="AZ561" s="72"/>
    </row>
    <row r="562" spans="1:52">
      <c r="A562" s="131"/>
      <c r="B562" s="72"/>
      <c r="D562" s="72"/>
      <c r="G562" s="72"/>
      <c r="J562" s="72"/>
      <c r="M562" s="72"/>
      <c r="P562" s="72"/>
      <c r="S562" s="72"/>
      <c r="V562" s="72"/>
      <c r="Y562" s="72"/>
      <c r="AB562" s="72"/>
      <c r="AE562" s="72"/>
      <c r="AH562" s="72"/>
      <c r="AK562" s="72"/>
      <c r="AN562" s="72"/>
      <c r="AQ562" s="72"/>
      <c r="AT562" s="72"/>
      <c r="AW562" s="72"/>
      <c r="AZ562" s="72"/>
    </row>
    <row r="563" spans="1:52">
      <c r="A563" s="131"/>
      <c r="B563" s="72"/>
      <c r="D563" s="72"/>
      <c r="G563" s="72"/>
      <c r="J563" s="72"/>
      <c r="M563" s="72"/>
      <c r="P563" s="72"/>
      <c r="S563" s="72"/>
      <c r="V563" s="72"/>
      <c r="Y563" s="72"/>
      <c r="AB563" s="72"/>
      <c r="AE563" s="72"/>
      <c r="AH563" s="72"/>
      <c r="AK563" s="72"/>
      <c r="AN563" s="72"/>
      <c r="AQ563" s="72"/>
      <c r="AT563" s="72"/>
      <c r="AW563" s="72"/>
      <c r="AZ563" s="72"/>
    </row>
    <row r="564" spans="1:52">
      <c r="A564" s="131"/>
      <c r="B564" s="72"/>
      <c r="D564" s="72"/>
      <c r="G564" s="72"/>
      <c r="J564" s="72"/>
      <c r="M564" s="72"/>
      <c r="P564" s="72"/>
      <c r="S564" s="72"/>
      <c r="V564" s="72"/>
      <c r="Y564" s="72"/>
      <c r="AB564" s="72"/>
      <c r="AE564" s="72"/>
      <c r="AH564" s="72"/>
      <c r="AK564" s="72"/>
      <c r="AN564" s="72"/>
      <c r="AQ564" s="72"/>
      <c r="AT564" s="72"/>
      <c r="AW564" s="72"/>
      <c r="AZ564" s="72"/>
    </row>
    <row r="565" spans="1:52">
      <c r="A565" s="131"/>
      <c r="B565" s="72"/>
      <c r="D565" s="72"/>
      <c r="G565" s="72"/>
      <c r="J565" s="72"/>
      <c r="M565" s="72"/>
      <c r="P565" s="72"/>
      <c r="S565" s="72"/>
      <c r="V565" s="72"/>
      <c r="Y565" s="72"/>
      <c r="AB565" s="72"/>
      <c r="AE565" s="72"/>
      <c r="AH565" s="72"/>
      <c r="AK565" s="72"/>
      <c r="AN565" s="72"/>
      <c r="AQ565" s="72"/>
      <c r="AT565" s="72"/>
      <c r="AW565" s="72"/>
      <c r="AZ565" s="72"/>
    </row>
    <row r="566" spans="1:52">
      <c r="A566" s="131"/>
      <c r="B566" s="72"/>
      <c r="D566" s="72"/>
      <c r="G566" s="72"/>
      <c r="J566" s="72"/>
      <c r="M566" s="72"/>
      <c r="P566" s="72"/>
      <c r="S566" s="72"/>
      <c r="V566" s="72"/>
      <c r="Y566" s="72"/>
      <c r="AB566" s="72"/>
      <c r="AE566" s="72"/>
      <c r="AH566" s="72"/>
      <c r="AK566" s="72"/>
      <c r="AN566" s="72"/>
      <c r="AQ566" s="72"/>
      <c r="AT566" s="72"/>
      <c r="AW566" s="72"/>
      <c r="AZ566" s="72"/>
    </row>
    <row r="567" spans="1:52">
      <c r="A567" s="131"/>
      <c r="B567" s="72"/>
      <c r="D567" s="72"/>
      <c r="G567" s="72"/>
      <c r="J567" s="72"/>
      <c r="M567" s="72"/>
      <c r="P567" s="72"/>
      <c r="S567" s="72"/>
      <c r="V567" s="72"/>
      <c r="Y567" s="72"/>
      <c r="AB567" s="72"/>
      <c r="AE567" s="72"/>
      <c r="AH567" s="72"/>
      <c r="AK567" s="72"/>
      <c r="AN567" s="72"/>
      <c r="AQ567" s="72"/>
      <c r="AT567" s="72"/>
      <c r="AW567" s="72"/>
      <c r="AZ567" s="72"/>
    </row>
    <row r="568" spans="1:52">
      <c r="A568" s="131"/>
      <c r="B568" s="72"/>
      <c r="D568" s="72"/>
      <c r="G568" s="72"/>
      <c r="J568" s="72"/>
      <c r="M568" s="72"/>
      <c r="P568" s="72"/>
      <c r="S568" s="72"/>
      <c r="V568" s="72"/>
      <c r="Y568" s="72"/>
      <c r="AB568" s="72"/>
      <c r="AE568" s="72"/>
      <c r="AH568" s="72"/>
      <c r="AK568" s="72"/>
      <c r="AN568" s="72"/>
      <c r="AQ568" s="72"/>
      <c r="AT568" s="72"/>
      <c r="AW568" s="72"/>
      <c r="AZ568" s="72"/>
    </row>
    <row r="569" spans="1:52">
      <c r="A569" s="131"/>
      <c r="B569" s="72"/>
      <c r="D569" s="72"/>
      <c r="G569" s="72"/>
      <c r="J569" s="72"/>
      <c r="M569" s="72"/>
      <c r="P569" s="72"/>
      <c r="S569" s="72"/>
      <c r="V569" s="72"/>
      <c r="Y569" s="72"/>
      <c r="AB569" s="72"/>
      <c r="AE569" s="72"/>
      <c r="AH569" s="72"/>
      <c r="AK569" s="72"/>
      <c r="AN569" s="72"/>
      <c r="AQ569" s="72"/>
      <c r="AT569" s="72"/>
      <c r="AW569" s="72"/>
      <c r="AZ569" s="72"/>
    </row>
    <row r="570" spans="1:52">
      <c r="A570" s="131"/>
      <c r="B570" s="72"/>
      <c r="D570" s="72"/>
      <c r="G570" s="72"/>
      <c r="J570" s="72"/>
      <c r="M570" s="72"/>
      <c r="P570" s="72"/>
      <c r="S570" s="72"/>
      <c r="V570" s="72"/>
      <c r="Y570" s="72"/>
      <c r="AB570" s="72"/>
      <c r="AE570" s="72"/>
      <c r="AH570" s="72"/>
      <c r="AK570" s="72"/>
      <c r="AN570" s="72"/>
      <c r="AQ570" s="72"/>
      <c r="AT570" s="72"/>
      <c r="AW570" s="72"/>
      <c r="AZ570" s="72"/>
    </row>
    <row r="571" spans="1:52">
      <c r="A571" s="131"/>
      <c r="B571" s="72"/>
      <c r="D571" s="72"/>
      <c r="G571" s="72"/>
      <c r="J571" s="72"/>
      <c r="M571" s="72"/>
      <c r="P571" s="72"/>
      <c r="S571" s="72"/>
      <c r="V571" s="72"/>
      <c r="Y571" s="72"/>
      <c r="AB571" s="72"/>
      <c r="AE571" s="72"/>
      <c r="AH571" s="72"/>
      <c r="AK571" s="72"/>
      <c r="AN571" s="72"/>
      <c r="AQ571" s="72"/>
      <c r="AT571" s="72"/>
      <c r="AW571" s="72"/>
      <c r="AZ571" s="72"/>
    </row>
    <row r="572" spans="1:52">
      <c r="A572" s="131"/>
      <c r="B572" s="72"/>
      <c r="D572" s="72"/>
      <c r="G572" s="72"/>
      <c r="J572" s="72"/>
      <c r="M572" s="72"/>
      <c r="P572" s="72"/>
      <c r="S572" s="72"/>
      <c r="V572" s="72"/>
      <c r="Y572" s="72"/>
      <c r="AB572" s="72"/>
      <c r="AE572" s="72"/>
      <c r="AH572" s="72"/>
      <c r="AK572" s="72"/>
      <c r="AN572" s="72"/>
      <c r="AQ572" s="72"/>
      <c r="AT572" s="72"/>
      <c r="AW572" s="72"/>
      <c r="AZ572" s="72"/>
    </row>
    <row r="573" spans="1:52">
      <c r="A573" s="131"/>
      <c r="B573" s="72"/>
      <c r="D573" s="72"/>
      <c r="G573" s="72"/>
      <c r="J573" s="72"/>
      <c r="M573" s="72"/>
      <c r="P573" s="72"/>
      <c r="S573" s="72"/>
      <c r="V573" s="72"/>
      <c r="Y573" s="72"/>
      <c r="AB573" s="72"/>
      <c r="AE573" s="72"/>
      <c r="AH573" s="72"/>
      <c r="AK573" s="72"/>
      <c r="AN573" s="72"/>
      <c r="AQ573" s="72"/>
      <c r="AT573" s="72"/>
      <c r="AW573" s="72"/>
      <c r="AZ573" s="72"/>
    </row>
    <row r="574" spans="1:52">
      <c r="A574" s="131"/>
      <c r="B574" s="72"/>
      <c r="D574" s="72"/>
      <c r="G574" s="72"/>
      <c r="J574" s="72"/>
      <c r="M574" s="72"/>
      <c r="P574" s="72"/>
      <c r="S574" s="72"/>
      <c r="V574" s="72"/>
      <c r="Y574" s="72"/>
      <c r="AB574" s="72"/>
      <c r="AE574" s="72"/>
      <c r="AH574" s="72"/>
      <c r="AK574" s="72"/>
      <c r="AN574" s="72"/>
      <c r="AQ574" s="72"/>
      <c r="AT574" s="72"/>
      <c r="AW574" s="72"/>
      <c r="AZ574" s="72"/>
    </row>
    <row r="575" spans="1:52">
      <c r="A575" s="131"/>
      <c r="B575" s="72"/>
      <c r="D575" s="72"/>
      <c r="G575" s="72"/>
      <c r="J575" s="72"/>
      <c r="M575" s="72"/>
      <c r="P575" s="72"/>
      <c r="S575" s="72"/>
      <c r="V575" s="72"/>
      <c r="Y575" s="72"/>
      <c r="AB575" s="72"/>
      <c r="AE575" s="72"/>
      <c r="AH575" s="72"/>
      <c r="AK575" s="72"/>
      <c r="AN575" s="72"/>
      <c r="AQ575" s="72"/>
      <c r="AT575" s="72"/>
      <c r="AW575" s="72"/>
      <c r="AZ575" s="72"/>
    </row>
    <row r="576" spans="1:52">
      <c r="A576" s="131"/>
      <c r="B576" s="72"/>
      <c r="D576" s="72"/>
      <c r="G576" s="72"/>
      <c r="J576" s="72"/>
      <c r="M576" s="72"/>
      <c r="P576" s="72"/>
      <c r="S576" s="72"/>
      <c r="V576" s="72"/>
      <c r="Y576" s="72"/>
      <c r="AB576" s="72"/>
      <c r="AE576" s="72"/>
      <c r="AH576" s="72"/>
      <c r="AK576" s="72"/>
      <c r="AN576" s="72"/>
      <c r="AQ576" s="72"/>
      <c r="AT576" s="72"/>
      <c r="AW576" s="72"/>
      <c r="AZ576" s="72"/>
    </row>
    <row r="577" spans="1:52">
      <c r="A577" s="131"/>
      <c r="B577" s="72"/>
      <c r="D577" s="72"/>
      <c r="G577" s="72"/>
      <c r="J577" s="72"/>
      <c r="M577" s="72"/>
      <c r="P577" s="72"/>
      <c r="S577" s="72"/>
      <c r="V577" s="72"/>
      <c r="Y577" s="72"/>
      <c r="AB577" s="72"/>
      <c r="AE577" s="72"/>
      <c r="AH577" s="72"/>
      <c r="AK577" s="72"/>
      <c r="AN577" s="72"/>
      <c r="AQ577" s="72"/>
      <c r="AT577" s="72"/>
      <c r="AW577" s="72"/>
      <c r="AZ577" s="72"/>
    </row>
    <row r="578" spans="1:52">
      <c r="A578" s="131"/>
      <c r="B578" s="72"/>
      <c r="D578" s="72"/>
      <c r="G578" s="72"/>
      <c r="J578" s="72"/>
      <c r="M578" s="72"/>
      <c r="P578" s="72"/>
      <c r="S578" s="72"/>
      <c r="V578" s="72"/>
      <c r="Y578" s="72"/>
      <c r="AB578" s="72"/>
      <c r="AE578" s="72"/>
      <c r="AH578" s="72"/>
      <c r="AK578" s="72"/>
      <c r="AN578" s="72"/>
      <c r="AQ578" s="72"/>
      <c r="AT578" s="72"/>
      <c r="AW578" s="72"/>
      <c r="AZ578" s="72"/>
    </row>
    <row r="579" spans="1:52">
      <c r="A579" s="131"/>
      <c r="B579" s="72"/>
      <c r="D579" s="72"/>
      <c r="G579" s="72"/>
      <c r="J579" s="72"/>
      <c r="M579" s="72"/>
      <c r="P579" s="72"/>
      <c r="S579" s="72"/>
      <c r="V579" s="72"/>
      <c r="Y579" s="72"/>
      <c r="AB579" s="72"/>
      <c r="AE579" s="72"/>
      <c r="AH579" s="72"/>
      <c r="AK579" s="72"/>
      <c r="AN579" s="72"/>
      <c r="AQ579" s="72"/>
      <c r="AT579" s="72"/>
      <c r="AW579" s="72"/>
      <c r="AZ579" s="72"/>
    </row>
    <row r="580" spans="1:52">
      <c r="A580" s="131"/>
      <c r="B580" s="72"/>
      <c r="D580" s="72"/>
      <c r="G580" s="72"/>
      <c r="J580" s="72"/>
      <c r="M580" s="72"/>
      <c r="P580" s="72"/>
      <c r="S580" s="72"/>
      <c r="V580" s="72"/>
      <c r="Y580" s="72"/>
      <c r="AB580" s="72"/>
      <c r="AE580" s="72"/>
      <c r="AH580" s="72"/>
      <c r="AK580" s="72"/>
      <c r="AN580" s="72"/>
      <c r="AQ580" s="72"/>
      <c r="AT580" s="72"/>
      <c r="AW580" s="72"/>
      <c r="AZ580" s="72"/>
    </row>
    <row r="581" spans="1:52">
      <c r="A581" s="131"/>
      <c r="B581" s="72"/>
      <c r="D581" s="72"/>
      <c r="G581" s="72"/>
      <c r="J581" s="72"/>
      <c r="M581" s="72"/>
      <c r="P581" s="72"/>
      <c r="S581" s="72"/>
      <c r="V581" s="72"/>
      <c r="Y581" s="72"/>
      <c r="AB581" s="72"/>
      <c r="AE581" s="72"/>
      <c r="AH581" s="72"/>
      <c r="AK581" s="72"/>
      <c r="AN581" s="72"/>
      <c r="AQ581" s="72"/>
      <c r="AT581" s="72"/>
      <c r="AW581" s="72"/>
      <c r="AZ581" s="72"/>
    </row>
    <row r="582" spans="1:52">
      <c r="A582" s="131"/>
      <c r="B582" s="72"/>
      <c r="D582" s="72"/>
      <c r="G582" s="72"/>
      <c r="J582" s="72"/>
      <c r="M582" s="72"/>
      <c r="P582" s="72"/>
      <c r="S582" s="72"/>
      <c r="V582" s="72"/>
      <c r="Y582" s="72"/>
      <c r="AB582" s="72"/>
      <c r="AE582" s="72"/>
      <c r="AH582" s="72"/>
      <c r="AK582" s="72"/>
      <c r="AN582" s="72"/>
      <c r="AQ582" s="72"/>
      <c r="AT582" s="72"/>
      <c r="AW582" s="72"/>
      <c r="AZ582" s="72"/>
    </row>
    <row r="583" spans="1:52">
      <c r="A583" s="131"/>
      <c r="B583" s="72"/>
      <c r="D583" s="72"/>
      <c r="G583" s="72"/>
      <c r="J583" s="72"/>
      <c r="M583" s="72"/>
      <c r="P583" s="72"/>
      <c r="S583" s="72"/>
      <c r="V583" s="72"/>
      <c r="Y583" s="72"/>
      <c r="AB583" s="72"/>
      <c r="AE583" s="72"/>
      <c r="AH583" s="72"/>
      <c r="AK583" s="72"/>
      <c r="AN583" s="72"/>
      <c r="AQ583" s="72"/>
      <c r="AT583" s="72"/>
      <c r="AW583" s="72"/>
      <c r="AZ583" s="72"/>
    </row>
    <row r="584" spans="1:52">
      <c r="A584" s="131"/>
      <c r="B584" s="72"/>
      <c r="D584" s="72"/>
      <c r="G584" s="72"/>
      <c r="J584" s="72"/>
      <c r="M584" s="72"/>
      <c r="P584" s="72"/>
      <c r="S584" s="72"/>
      <c r="V584" s="72"/>
      <c r="Y584" s="72"/>
      <c r="AB584" s="72"/>
      <c r="AE584" s="72"/>
      <c r="AH584" s="72"/>
      <c r="AK584" s="72"/>
      <c r="AN584" s="72"/>
      <c r="AQ584" s="72"/>
      <c r="AT584" s="72"/>
      <c r="AW584" s="72"/>
      <c r="AZ584" s="72"/>
    </row>
    <row r="585" spans="1:52">
      <c r="A585" s="131"/>
      <c r="B585" s="72"/>
      <c r="D585" s="72"/>
      <c r="G585" s="72"/>
      <c r="J585" s="72"/>
      <c r="M585" s="72"/>
      <c r="P585" s="72"/>
      <c r="S585" s="72"/>
      <c r="V585" s="72"/>
      <c r="Y585" s="72"/>
      <c r="AB585" s="72"/>
      <c r="AE585" s="72"/>
      <c r="AH585" s="72"/>
      <c r="AK585" s="72"/>
      <c r="AN585" s="72"/>
      <c r="AQ585" s="72"/>
      <c r="AT585" s="72"/>
      <c r="AW585" s="72"/>
      <c r="AZ585" s="72"/>
    </row>
    <row r="586" spans="1:52">
      <c r="A586" s="131"/>
      <c r="B586" s="72"/>
      <c r="D586" s="72"/>
      <c r="G586" s="72"/>
      <c r="J586" s="72"/>
      <c r="M586" s="72"/>
      <c r="P586" s="72"/>
      <c r="S586" s="72"/>
      <c r="V586" s="72"/>
      <c r="Y586" s="72"/>
      <c r="AB586" s="72"/>
      <c r="AE586" s="72"/>
      <c r="AH586" s="72"/>
      <c r="AK586" s="72"/>
      <c r="AN586" s="72"/>
      <c r="AQ586" s="72"/>
      <c r="AT586" s="72"/>
      <c r="AW586" s="72"/>
      <c r="AZ586" s="72"/>
    </row>
    <row r="587" spans="1:52">
      <c r="A587" s="131"/>
      <c r="B587" s="72"/>
      <c r="D587" s="72"/>
      <c r="G587" s="72"/>
      <c r="J587" s="72"/>
      <c r="M587" s="72"/>
      <c r="P587" s="72"/>
      <c r="S587" s="72"/>
      <c r="V587" s="72"/>
      <c r="Y587" s="72"/>
      <c r="AB587" s="72"/>
      <c r="AE587" s="72"/>
      <c r="AH587" s="72"/>
      <c r="AK587" s="72"/>
      <c r="AN587" s="72"/>
      <c r="AQ587" s="72"/>
      <c r="AT587" s="72"/>
      <c r="AW587" s="72"/>
      <c r="AZ587" s="72"/>
    </row>
    <row r="588" spans="1:52">
      <c r="A588" s="131"/>
      <c r="B588" s="72"/>
      <c r="D588" s="72"/>
      <c r="G588" s="72"/>
      <c r="J588" s="72"/>
      <c r="M588" s="72"/>
      <c r="P588" s="72"/>
      <c r="S588" s="72"/>
      <c r="V588" s="72"/>
      <c r="Y588" s="72"/>
      <c r="AB588" s="72"/>
      <c r="AE588" s="72"/>
      <c r="AH588" s="72"/>
      <c r="AK588" s="72"/>
      <c r="AN588" s="72"/>
      <c r="AQ588" s="72"/>
      <c r="AT588" s="72"/>
      <c r="AW588" s="72"/>
      <c r="AZ588" s="72"/>
    </row>
    <row r="589" spans="1:52">
      <c r="A589" s="131"/>
      <c r="B589" s="72"/>
      <c r="D589" s="72"/>
      <c r="G589" s="72"/>
      <c r="J589" s="72"/>
      <c r="M589" s="72"/>
      <c r="P589" s="72"/>
      <c r="S589" s="72"/>
      <c r="V589" s="72"/>
      <c r="Y589" s="72"/>
      <c r="AB589" s="72"/>
      <c r="AE589" s="72"/>
      <c r="AH589" s="72"/>
      <c r="AK589" s="72"/>
      <c r="AN589" s="72"/>
      <c r="AQ589" s="72"/>
      <c r="AT589" s="72"/>
      <c r="AW589" s="72"/>
      <c r="AZ589" s="72"/>
    </row>
    <row r="590" spans="1:52">
      <c r="A590" s="131"/>
      <c r="B590" s="72"/>
      <c r="D590" s="72"/>
      <c r="G590" s="72"/>
      <c r="J590" s="72"/>
      <c r="M590" s="72"/>
      <c r="P590" s="72"/>
      <c r="S590" s="72"/>
      <c r="V590" s="72"/>
      <c r="Y590" s="72"/>
      <c r="AB590" s="72"/>
      <c r="AE590" s="72"/>
      <c r="AH590" s="72"/>
      <c r="AK590" s="72"/>
      <c r="AN590" s="72"/>
      <c r="AQ590" s="72"/>
      <c r="AT590" s="72"/>
      <c r="AW590" s="72"/>
      <c r="AZ590" s="72"/>
    </row>
    <row r="591" spans="1:52">
      <c r="A591" s="131"/>
      <c r="B591" s="72"/>
      <c r="D591" s="72"/>
      <c r="G591" s="72"/>
      <c r="J591" s="72"/>
      <c r="M591" s="72"/>
      <c r="P591" s="72"/>
      <c r="S591" s="72"/>
      <c r="V591" s="72"/>
      <c r="Y591" s="72"/>
      <c r="AB591" s="72"/>
      <c r="AE591" s="72"/>
      <c r="AH591" s="72"/>
      <c r="AK591" s="72"/>
      <c r="AN591" s="72"/>
      <c r="AQ591" s="72"/>
      <c r="AT591" s="72"/>
      <c r="AW591" s="72"/>
      <c r="AZ591" s="72"/>
    </row>
    <row r="592" spans="1:52">
      <c r="A592" s="131"/>
      <c r="B592" s="72"/>
      <c r="D592" s="72"/>
      <c r="G592" s="72"/>
      <c r="J592" s="72"/>
      <c r="M592" s="72"/>
      <c r="P592" s="72"/>
      <c r="S592" s="72"/>
      <c r="V592" s="72"/>
      <c r="Y592" s="72"/>
      <c r="AB592" s="72"/>
      <c r="AE592" s="72"/>
      <c r="AH592" s="72"/>
      <c r="AK592" s="72"/>
      <c r="AN592" s="72"/>
      <c r="AQ592" s="72"/>
      <c r="AT592" s="72"/>
      <c r="AW592" s="72"/>
      <c r="AZ592" s="72"/>
    </row>
    <row r="593" spans="1:52">
      <c r="A593" s="131"/>
      <c r="B593" s="72"/>
      <c r="D593" s="72"/>
      <c r="G593" s="72"/>
      <c r="J593" s="72"/>
      <c r="M593" s="72"/>
      <c r="P593" s="72"/>
      <c r="S593" s="72"/>
      <c r="V593" s="72"/>
      <c r="Y593" s="72"/>
      <c r="AB593" s="72"/>
      <c r="AE593" s="72"/>
      <c r="AH593" s="72"/>
      <c r="AK593" s="72"/>
      <c r="AN593" s="72"/>
      <c r="AQ593" s="72"/>
      <c r="AT593" s="72"/>
      <c r="AW593" s="72"/>
      <c r="AZ593" s="72"/>
    </row>
    <row r="594" spans="1:52">
      <c r="A594" s="131"/>
      <c r="B594" s="72"/>
      <c r="D594" s="72"/>
      <c r="G594" s="72"/>
      <c r="J594" s="72"/>
      <c r="M594" s="72"/>
      <c r="P594" s="72"/>
      <c r="S594" s="72"/>
      <c r="V594" s="72"/>
      <c r="Y594" s="72"/>
      <c r="AB594" s="72"/>
      <c r="AE594" s="72"/>
      <c r="AH594" s="72"/>
      <c r="AK594" s="72"/>
      <c r="AN594" s="72"/>
      <c r="AQ594" s="72"/>
      <c r="AT594" s="72"/>
      <c r="AW594" s="72"/>
      <c r="AZ594" s="72"/>
    </row>
    <row r="595" spans="1:52">
      <c r="A595" s="131"/>
      <c r="B595" s="72"/>
      <c r="D595" s="72"/>
      <c r="G595" s="72"/>
      <c r="J595" s="72"/>
      <c r="M595" s="72"/>
      <c r="P595" s="72"/>
      <c r="S595" s="72"/>
      <c r="V595" s="72"/>
      <c r="Y595" s="72"/>
      <c r="AB595" s="72"/>
      <c r="AE595" s="72"/>
      <c r="AH595" s="72"/>
      <c r="AK595" s="72"/>
      <c r="AN595" s="72"/>
      <c r="AQ595" s="72"/>
      <c r="AT595" s="72"/>
      <c r="AW595" s="72"/>
      <c r="AZ595" s="72"/>
    </row>
    <row r="596" spans="1:52">
      <c r="A596" s="131"/>
      <c r="B596" s="72"/>
      <c r="D596" s="72"/>
      <c r="G596" s="72"/>
      <c r="J596" s="72"/>
      <c r="M596" s="72"/>
      <c r="P596" s="72"/>
      <c r="S596" s="72"/>
      <c r="V596" s="72"/>
      <c r="Y596" s="72"/>
      <c r="AB596" s="72"/>
      <c r="AE596" s="72"/>
      <c r="AH596" s="72"/>
      <c r="AK596" s="72"/>
      <c r="AN596" s="72"/>
      <c r="AQ596" s="72"/>
      <c r="AT596" s="72"/>
      <c r="AW596" s="72"/>
      <c r="AZ596" s="72"/>
    </row>
    <row r="597" spans="1:52">
      <c r="A597" s="131"/>
      <c r="B597" s="72"/>
      <c r="D597" s="72"/>
      <c r="G597" s="72"/>
      <c r="J597" s="72"/>
      <c r="M597" s="72"/>
      <c r="P597" s="72"/>
      <c r="S597" s="72"/>
      <c r="V597" s="72"/>
      <c r="Y597" s="72"/>
      <c r="AB597" s="72"/>
      <c r="AE597" s="72"/>
      <c r="AH597" s="72"/>
      <c r="AK597" s="72"/>
      <c r="AN597" s="72"/>
      <c r="AQ597" s="72"/>
      <c r="AT597" s="72"/>
      <c r="AW597" s="72"/>
      <c r="AZ597" s="72"/>
    </row>
    <row r="598" spans="1:52">
      <c r="A598" s="131"/>
      <c r="B598" s="72"/>
      <c r="D598" s="72"/>
      <c r="G598" s="72"/>
      <c r="J598" s="72"/>
      <c r="M598" s="72"/>
      <c r="P598" s="72"/>
      <c r="S598" s="72"/>
      <c r="V598" s="72"/>
      <c r="Y598" s="72"/>
      <c r="AB598" s="72"/>
      <c r="AE598" s="72"/>
      <c r="AH598" s="72"/>
      <c r="AK598" s="72"/>
      <c r="AN598" s="72"/>
      <c r="AQ598" s="72"/>
      <c r="AT598" s="72"/>
      <c r="AW598" s="72"/>
      <c r="AZ598" s="72"/>
    </row>
    <row r="599" spans="1:52">
      <c r="A599" s="131"/>
      <c r="B599" s="72"/>
      <c r="D599" s="72"/>
      <c r="G599" s="72"/>
      <c r="J599" s="72"/>
      <c r="M599" s="72"/>
      <c r="P599" s="72"/>
      <c r="S599" s="72"/>
      <c r="V599" s="72"/>
      <c r="Y599" s="72"/>
      <c r="AB599" s="72"/>
      <c r="AE599" s="72"/>
      <c r="AH599" s="72"/>
      <c r="AK599" s="72"/>
      <c r="AN599" s="72"/>
      <c r="AQ599" s="72"/>
      <c r="AT599" s="72"/>
      <c r="AW599" s="72"/>
      <c r="AZ599" s="72"/>
    </row>
    <row r="600" spans="1:52">
      <c r="A600" s="131"/>
      <c r="B600" s="72"/>
      <c r="D600" s="72"/>
      <c r="G600" s="72"/>
      <c r="J600" s="72"/>
      <c r="M600" s="72"/>
      <c r="P600" s="72"/>
      <c r="S600" s="72"/>
      <c r="V600" s="72"/>
      <c r="Y600" s="72"/>
      <c r="AB600" s="72"/>
      <c r="AE600" s="72"/>
      <c r="AH600" s="72"/>
      <c r="AK600" s="72"/>
      <c r="AN600" s="72"/>
      <c r="AQ600" s="72"/>
      <c r="AT600" s="72"/>
      <c r="AW600" s="72"/>
      <c r="AZ600" s="72"/>
    </row>
    <row r="601" spans="1:52">
      <c r="A601" s="131"/>
      <c r="B601" s="72"/>
      <c r="D601" s="72"/>
      <c r="G601" s="72"/>
      <c r="J601" s="72"/>
      <c r="M601" s="72"/>
      <c r="P601" s="72"/>
      <c r="S601" s="72"/>
      <c r="V601" s="72"/>
      <c r="Y601" s="72"/>
      <c r="AB601" s="72"/>
      <c r="AE601" s="72"/>
      <c r="AH601" s="72"/>
      <c r="AK601" s="72"/>
      <c r="AN601" s="72"/>
      <c r="AQ601" s="72"/>
      <c r="AT601" s="72"/>
      <c r="AW601" s="72"/>
      <c r="AZ601" s="72"/>
    </row>
    <row r="602" spans="1:52">
      <c r="A602" s="131"/>
      <c r="B602" s="72"/>
      <c r="D602" s="72"/>
      <c r="G602" s="72"/>
      <c r="J602" s="72"/>
      <c r="M602" s="72"/>
      <c r="P602" s="72"/>
      <c r="S602" s="72"/>
      <c r="V602" s="72"/>
      <c r="Y602" s="72"/>
      <c r="AB602" s="72"/>
      <c r="AE602" s="72"/>
      <c r="AH602" s="72"/>
      <c r="AK602" s="72"/>
      <c r="AN602" s="72"/>
      <c r="AQ602" s="72"/>
      <c r="AT602" s="72"/>
      <c r="AW602" s="72"/>
      <c r="AZ602" s="72"/>
    </row>
    <row r="603" spans="1:52">
      <c r="A603" s="131"/>
      <c r="B603" s="72"/>
      <c r="D603" s="72"/>
      <c r="G603" s="72"/>
      <c r="J603" s="72"/>
      <c r="M603" s="72"/>
      <c r="P603" s="72"/>
      <c r="S603" s="72"/>
      <c r="V603" s="72"/>
      <c r="Y603" s="72"/>
      <c r="AB603" s="72"/>
      <c r="AE603" s="72"/>
      <c r="AH603" s="72"/>
      <c r="AK603" s="72"/>
      <c r="AN603" s="72"/>
      <c r="AQ603" s="72"/>
      <c r="AT603" s="72"/>
      <c r="AW603" s="72"/>
      <c r="AZ603" s="72"/>
    </row>
    <row r="604" spans="1:52">
      <c r="A604" s="131"/>
      <c r="B604" s="72"/>
      <c r="D604" s="72"/>
      <c r="G604" s="72"/>
      <c r="J604" s="72"/>
      <c r="M604" s="72"/>
      <c r="P604" s="72"/>
      <c r="S604" s="72"/>
      <c r="V604" s="72"/>
      <c r="Y604" s="72"/>
      <c r="AB604" s="72"/>
      <c r="AE604" s="72"/>
      <c r="AH604" s="72"/>
      <c r="AK604" s="72"/>
      <c r="AN604" s="72"/>
      <c r="AQ604" s="72"/>
      <c r="AT604" s="72"/>
      <c r="AW604" s="72"/>
      <c r="AZ604" s="72"/>
    </row>
    <row r="605" spans="1:52">
      <c r="A605" s="131"/>
      <c r="B605" s="72"/>
      <c r="D605" s="72"/>
      <c r="G605" s="72"/>
      <c r="J605" s="72"/>
      <c r="M605" s="72"/>
      <c r="P605" s="72"/>
      <c r="S605" s="72"/>
      <c r="V605" s="72"/>
      <c r="Y605" s="72"/>
      <c r="AB605" s="72"/>
      <c r="AE605" s="72"/>
      <c r="AH605" s="72"/>
      <c r="AK605" s="72"/>
      <c r="AN605" s="72"/>
      <c r="AQ605" s="72"/>
      <c r="AT605" s="72"/>
      <c r="AW605" s="72"/>
      <c r="AZ605" s="72"/>
    </row>
    <row r="606" spans="1:52">
      <c r="A606" s="131"/>
      <c r="B606" s="72"/>
      <c r="D606" s="72"/>
      <c r="G606" s="72"/>
      <c r="J606" s="72"/>
      <c r="M606" s="72"/>
      <c r="P606" s="72"/>
      <c r="S606" s="72"/>
      <c r="V606" s="72"/>
      <c r="Y606" s="72"/>
      <c r="AB606" s="72"/>
      <c r="AE606" s="72"/>
      <c r="AH606" s="72"/>
      <c r="AK606" s="72"/>
      <c r="AN606" s="72"/>
      <c r="AQ606" s="72"/>
      <c r="AT606" s="72"/>
      <c r="AW606" s="72"/>
      <c r="AZ606" s="72"/>
    </row>
    <row r="607" spans="1:52">
      <c r="A607" s="131"/>
      <c r="B607" s="72"/>
      <c r="D607" s="72"/>
      <c r="G607" s="72"/>
      <c r="J607" s="72"/>
      <c r="M607" s="72"/>
      <c r="P607" s="72"/>
      <c r="S607" s="72"/>
      <c r="V607" s="72"/>
      <c r="Y607" s="72"/>
      <c r="AB607" s="72"/>
      <c r="AE607" s="72"/>
      <c r="AH607" s="72"/>
      <c r="AK607" s="72"/>
      <c r="AN607" s="72"/>
      <c r="AQ607" s="72"/>
      <c r="AT607" s="72"/>
      <c r="AW607" s="72"/>
      <c r="AZ607" s="72"/>
    </row>
    <row r="608" spans="1:52">
      <c r="A608" s="131"/>
      <c r="B608" s="72"/>
      <c r="D608" s="72"/>
      <c r="G608" s="72"/>
      <c r="J608" s="72"/>
      <c r="M608" s="72"/>
      <c r="P608" s="72"/>
      <c r="S608" s="72"/>
      <c r="V608" s="72"/>
      <c r="Y608" s="72"/>
      <c r="AB608" s="72"/>
      <c r="AE608" s="72"/>
      <c r="AH608" s="72"/>
      <c r="AK608" s="72"/>
      <c r="AN608" s="72"/>
      <c r="AQ608" s="72"/>
      <c r="AT608" s="72"/>
      <c r="AW608" s="72"/>
      <c r="AZ608" s="72"/>
    </row>
    <row r="609" spans="1:52">
      <c r="A609" s="131"/>
      <c r="B609" s="72"/>
      <c r="D609" s="72"/>
      <c r="G609" s="72"/>
      <c r="J609" s="72"/>
      <c r="M609" s="72"/>
      <c r="P609" s="72"/>
      <c r="S609" s="72"/>
      <c r="V609" s="72"/>
      <c r="Y609" s="72"/>
      <c r="AB609" s="72"/>
      <c r="AE609" s="72"/>
      <c r="AH609" s="72"/>
      <c r="AK609" s="72"/>
      <c r="AN609" s="72"/>
      <c r="AQ609" s="72"/>
      <c r="AT609" s="72"/>
      <c r="AW609" s="72"/>
      <c r="AZ609" s="72"/>
    </row>
    <row r="610" spans="1:52">
      <c r="A610" s="131"/>
      <c r="B610" s="72"/>
      <c r="D610" s="72"/>
      <c r="G610" s="72"/>
      <c r="J610" s="72"/>
      <c r="M610" s="72"/>
      <c r="P610" s="72"/>
      <c r="S610" s="72"/>
      <c r="V610" s="72"/>
      <c r="Y610" s="72"/>
      <c r="AB610" s="72"/>
      <c r="AE610" s="72"/>
      <c r="AH610" s="72"/>
      <c r="AK610" s="72"/>
      <c r="AN610" s="72"/>
      <c r="AQ610" s="72"/>
      <c r="AT610" s="72"/>
      <c r="AW610" s="72"/>
      <c r="AZ610" s="72"/>
    </row>
    <row r="611" spans="1:52">
      <c r="A611" s="131"/>
      <c r="B611" s="72"/>
      <c r="D611" s="72"/>
      <c r="G611" s="72"/>
      <c r="J611" s="72"/>
      <c r="M611" s="72"/>
      <c r="P611" s="72"/>
      <c r="S611" s="72"/>
      <c r="V611" s="72"/>
      <c r="Y611" s="72"/>
      <c r="AB611" s="72"/>
      <c r="AE611" s="72"/>
      <c r="AH611" s="72"/>
      <c r="AK611" s="72"/>
      <c r="AN611" s="72"/>
      <c r="AQ611" s="72"/>
      <c r="AT611" s="72"/>
      <c r="AW611" s="72"/>
      <c r="AZ611" s="72"/>
    </row>
    <row r="612" spans="1:52">
      <c r="A612" s="131"/>
      <c r="B612" s="72"/>
      <c r="D612" s="72"/>
      <c r="G612" s="72"/>
      <c r="J612" s="72"/>
      <c r="M612" s="72"/>
      <c r="P612" s="72"/>
      <c r="S612" s="72"/>
      <c r="V612" s="72"/>
      <c r="Y612" s="72"/>
      <c r="AB612" s="72"/>
      <c r="AE612" s="72"/>
      <c r="AH612" s="72"/>
      <c r="AK612" s="72"/>
      <c r="AN612" s="72"/>
      <c r="AQ612" s="72"/>
      <c r="AT612" s="72"/>
      <c r="AW612" s="72"/>
      <c r="AZ612" s="72"/>
    </row>
    <row r="613" spans="1:52">
      <c r="A613" s="131"/>
      <c r="B613" s="72"/>
      <c r="D613" s="72"/>
      <c r="G613" s="72"/>
      <c r="J613" s="72"/>
      <c r="M613" s="72"/>
      <c r="P613" s="72"/>
      <c r="S613" s="72"/>
      <c r="V613" s="72"/>
      <c r="Y613" s="72"/>
      <c r="AB613" s="72"/>
      <c r="AE613" s="72"/>
      <c r="AH613" s="72"/>
      <c r="AK613" s="72"/>
      <c r="AN613" s="72"/>
      <c r="AQ613" s="72"/>
      <c r="AT613" s="72"/>
      <c r="AW613" s="72"/>
      <c r="AZ613" s="72"/>
    </row>
    <row r="614" spans="1:52">
      <c r="A614" s="131"/>
      <c r="B614" s="72"/>
      <c r="D614" s="72"/>
      <c r="G614" s="72"/>
      <c r="J614" s="72"/>
      <c r="M614" s="72"/>
      <c r="P614" s="72"/>
      <c r="S614" s="72"/>
      <c r="V614" s="72"/>
      <c r="Y614" s="72"/>
      <c r="AB614" s="72"/>
      <c r="AE614" s="72"/>
      <c r="AH614" s="72"/>
      <c r="AK614" s="72"/>
      <c r="AN614" s="72"/>
      <c r="AQ614" s="72"/>
      <c r="AT614" s="72"/>
      <c r="AW614" s="72"/>
      <c r="AZ614" s="72"/>
    </row>
    <row r="615" spans="1:52">
      <c r="A615" s="131"/>
      <c r="B615" s="72"/>
      <c r="D615" s="72"/>
      <c r="G615" s="72"/>
      <c r="J615" s="72"/>
      <c r="M615" s="72"/>
      <c r="P615" s="72"/>
      <c r="S615" s="72"/>
      <c r="V615" s="72"/>
      <c r="Y615" s="72"/>
      <c r="AB615" s="72"/>
      <c r="AE615" s="72"/>
      <c r="AH615" s="72"/>
      <c r="AK615" s="72"/>
      <c r="AN615" s="72"/>
      <c r="AQ615" s="72"/>
      <c r="AT615" s="72"/>
      <c r="AW615" s="72"/>
      <c r="AZ615" s="72"/>
    </row>
    <row r="616" spans="1:52">
      <c r="A616" s="131"/>
      <c r="B616" s="72"/>
      <c r="D616" s="72"/>
      <c r="G616" s="72"/>
      <c r="J616" s="72"/>
      <c r="M616" s="72"/>
      <c r="P616" s="72"/>
      <c r="S616" s="72"/>
      <c r="V616" s="72"/>
      <c r="Y616" s="72"/>
      <c r="AB616" s="72"/>
      <c r="AE616" s="72"/>
      <c r="AH616" s="72"/>
      <c r="AK616" s="72"/>
      <c r="AN616" s="72"/>
      <c r="AQ616" s="72"/>
      <c r="AT616" s="72"/>
      <c r="AW616" s="72"/>
      <c r="AZ616" s="72"/>
    </row>
    <row r="617" spans="1:52">
      <c r="A617" s="131"/>
      <c r="B617" s="72"/>
      <c r="D617" s="72"/>
      <c r="G617" s="72"/>
      <c r="J617" s="72"/>
      <c r="M617" s="72"/>
      <c r="P617" s="72"/>
      <c r="S617" s="72"/>
      <c r="V617" s="72"/>
      <c r="Y617" s="72"/>
      <c r="AB617" s="72"/>
      <c r="AE617" s="72"/>
      <c r="AH617" s="72"/>
      <c r="AK617" s="72"/>
      <c r="AN617" s="72"/>
      <c r="AQ617" s="72"/>
      <c r="AT617" s="72"/>
      <c r="AW617" s="72"/>
      <c r="AZ617" s="72"/>
    </row>
    <row r="618" spans="1:52">
      <c r="A618" s="131"/>
      <c r="B618" s="72"/>
      <c r="D618" s="72"/>
      <c r="G618" s="72"/>
      <c r="J618" s="72"/>
      <c r="M618" s="72"/>
      <c r="P618" s="72"/>
      <c r="S618" s="72"/>
      <c r="V618" s="72"/>
      <c r="Y618" s="72"/>
      <c r="AB618" s="72"/>
      <c r="AE618" s="72"/>
      <c r="AH618" s="72"/>
      <c r="AK618" s="72"/>
      <c r="AN618" s="72"/>
      <c r="AQ618" s="72"/>
      <c r="AT618" s="72"/>
      <c r="AW618" s="72"/>
      <c r="AZ618" s="72"/>
    </row>
    <row r="619" spans="1:52">
      <c r="A619" s="131"/>
      <c r="B619" s="72"/>
      <c r="D619" s="72"/>
      <c r="G619" s="72"/>
      <c r="J619" s="72"/>
      <c r="M619" s="72"/>
      <c r="P619" s="72"/>
      <c r="S619" s="72"/>
      <c r="V619" s="72"/>
      <c r="Y619" s="72"/>
      <c r="AB619" s="72"/>
      <c r="AE619" s="72"/>
      <c r="AH619" s="72"/>
      <c r="AK619" s="72"/>
      <c r="AN619" s="72"/>
      <c r="AQ619" s="72"/>
      <c r="AT619" s="72"/>
      <c r="AW619" s="72"/>
      <c r="AZ619" s="72"/>
    </row>
    <row r="620" spans="1:52">
      <c r="A620" s="131"/>
      <c r="B620" s="72"/>
      <c r="D620" s="72"/>
      <c r="G620" s="72"/>
      <c r="J620" s="72"/>
      <c r="M620" s="72"/>
      <c r="P620" s="72"/>
      <c r="S620" s="72"/>
      <c r="V620" s="72"/>
      <c r="Y620" s="72"/>
      <c r="AB620" s="72"/>
      <c r="AE620" s="72"/>
      <c r="AH620" s="72"/>
      <c r="AK620" s="72"/>
      <c r="AN620" s="72"/>
      <c r="AQ620" s="72"/>
      <c r="AT620" s="72"/>
      <c r="AW620" s="72"/>
      <c r="AZ620" s="72"/>
    </row>
    <row r="621" spans="1:52">
      <c r="A621" s="131"/>
      <c r="B621" s="72"/>
      <c r="D621" s="72"/>
      <c r="G621" s="72"/>
      <c r="J621" s="72"/>
      <c r="M621" s="72"/>
      <c r="P621" s="72"/>
      <c r="S621" s="72"/>
      <c r="V621" s="72"/>
      <c r="Y621" s="72"/>
      <c r="AB621" s="72"/>
      <c r="AE621" s="72"/>
      <c r="AH621" s="72"/>
      <c r="AK621" s="72"/>
      <c r="AN621" s="72"/>
      <c r="AQ621" s="72"/>
      <c r="AT621" s="72"/>
      <c r="AW621" s="72"/>
      <c r="AZ621" s="72"/>
    </row>
    <row r="622" spans="1:52">
      <c r="A622" s="131"/>
      <c r="B622" s="72"/>
      <c r="D622" s="72"/>
      <c r="G622" s="72"/>
      <c r="J622" s="72"/>
      <c r="M622" s="72"/>
      <c r="P622" s="72"/>
      <c r="S622" s="72"/>
      <c r="V622" s="72"/>
      <c r="Y622" s="72"/>
      <c r="AB622" s="72"/>
      <c r="AE622" s="72"/>
      <c r="AH622" s="72"/>
      <c r="AK622" s="72"/>
      <c r="AN622" s="72"/>
      <c r="AQ622" s="72"/>
      <c r="AT622" s="72"/>
      <c r="AW622" s="72"/>
      <c r="AZ622" s="72"/>
    </row>
    <row r="623" spans="1:52">
      <c r="A623" s="131"/>
      <c r="B623" s="72"/>
      <c r="D623" s="72"/>
      <c r="G623" s="72"/>
      <c r="J623" s="72"/>
      <c r="M623" s="72"/>
      <c r="P623" s="72"/>
      <c r="S623" s="72"/>
      <c r="V623" s="72"/>
      <c r="Y623" s="72"/>
      <c r="AB623" s="72"/>
      <c r="AE623" s="72"/>
      <c r="AH623" s="72"/>
      <c r="AK623" s="72"/>
      <c r="AN623" s="72"/>
      <c r="AQ623" s="72"/>
      <c r="AT623" s="72"/>
      <c r="AW623" s="72"/>
      <c r="AZ623" s="72"/>
    </row>
    <row r="624" spans="1:52">
      <c r="A624" s="131"/>
      <c r="B624" s="72"/>
      <c r="D624" s="72"/>
      <c r="G624" s="72"/>
      <c r="J624" s="72"/>
      <c r="M624" s="72"/>
      <c r="P624" s="72"/>
      <c r="S624" s="72"/>
      <c r="V624" s="72"/>
      <c r="Y624" s="72"/>
      <c r="AB624" s="72"/>
      <c r="AE624" s="72"/>
      <c r="AH624" s="72"/>
      <c r="AK624" s="72"/>
      <c r="AN624" s="72"/>
      <c r="AQ624" s="72"/>
      <c r="AT624" s="72"/>
      <c r="AW624" s="72"/>
      <c r="AZ624" s="72"/>
    </row>
    <row r="625" spans="1:52">
      <c r="A625" s="131"/>
      <c r="B625" s="72"/>
      <c r="D625" s="72"/>
      <c r="G625" s="72"/>
      <c r="J625" s="72"/>
      <c r="M625" s="72"/>
      <c r="P625" s="72"/>
      <c r="S625" s="72"/>
      <c r="V625" s="72"/>
      <c r="Y625" s="72"/>
      <c r="AB625" s="72"/>
      <c r="AE625" s="72"/>
      <c r="AH625" s="72"/>
      <c r="AK625" s="72"/>
      <c r="AN625" s="72"/>
      <c r="AQ625" s="72"/>
      <c r="AT625" s="72"/>
      <c r="AW625" s="72"/>
      <c r="AZ625" s="72"/>
    </row>
    <row r="626" spans="1:52">
      <c r="A626" s="131"/>
      <c r="B626" s="72"/>
      <c r="D626" s="72"/>
      <c r="G626" s="72"/>
      <c r="J626" s="72"/>
      <c r="M626" s="72"/>
      <c r="P626" s="72"/>
      <c r="S626" s="72"/>
      <c r="V626" s="72"/>
      <c r="Y626" s="72"/>
      <c r="AB626" s="72"/>
      <c r="AE626" s="72"/>
      <c r="AH626" s="72"/>
      <c r="AK626" s="72"/>
      <c r="AN626" s="72"/>
      <c r="AQ626" s="72"/>
      <c r="AT626" s="72"/>
      <c r="AW626" s="72"/>
      <c r="AZ626" s="72"/>
    </row>
    <row r="627" spans="1:52">
      <c r="A627" s="131"/>
      <c r="B627" s="72"/>
      <c r="D627" s="72"/>
      <c r="G627" s="72"/>
      <c r="J627" s="72"/>
      <c r="M627" s="72"/>
      <c r="P627" s="72"/>
      <c r="S627" s="72"/>
      <c r="V627" s="72"/>
      <c r="Y627" s="72"/>
      <c r="AB627" s="72"/>
      <c r="AE627" s="72"/>
      <c r="AH627" s="72"/>
      <c r="AK627" s="72"/>
      <c r="AN627" s="72"/>
      <c r="AQ627" s="72"/>
      <c r="AT627" s="72"/>
      <c r="AW627" s="72"/>
      <c r="AZ627" s="72"/>
    </row>
    <row r="628" spans="1:52">
      <c r="A628" s="131"/>
      <c r="B628" s="72"/>
      <c r="D628" s="72"/>
      <c r="G628" s="72"/>
      <c r="J628" s="72"/>
      <c r="M628" s="72"/>
      <c r="P628" s="72"/>
      <c r="S628" s="72"/>
      <c r="V628" s="72"/>
      <c r="Y628" s="72"/>
      <c r="AB628" s="72"/>
      <c r="AE628" s="72"/>
      <c r="AH628" s="72"/>
      <c r="AK628" s="72"/>
      <c r="AN628" s="72"/>
      <c r="AQ628" s="72"/>
      <c r="AT628" s="72"/>
      <c r="AW628" s="72"/>
      <c r="AZ628" s="72"/>
    </row>
    <row r="629" spans="1:52">
      <c r="A629" s="131"/>
      <c r="B629" s="72"/>
      <c r="D629" s="72"/>
      <c r="G629" s="72"/>
      <c r="J629" s="72"/>
      <c r="M629" s="72"/>
      <c r="P629" s="72"/>
      <c r="S629" s="72"/>
      <c r="V629" s="72"/>
      <c r="Y629" s="72"/>
      <c r="AB629" s="72"/>
      <c r="AE629" s="72"/>
      <c r="AH629" s="72"/>
      <c r="AK629" s="72"/>
      <c r="AN629" s="72"/>
      <c r="AQ629" s="72"/>
      <c r="AT629" s="72"/>
      <c r="AW629" s="72"/>
      <c r="AZ629" s="72"/>
    </row>
    <row r="630" spans="1:52">
      <c r="A630" s="131"/>
      <c r="B630" s="72"/>
      <c r="D630" s="72"/>
      <c r="G630" s="72"/>
      <c r="J630" s="72"/>
      <c r="M630" s="72"/>
      <c r="P630" s="72"/>
      <c r="S630" s="72"/>
      <c r="V630" s="72"/>
      <c r="Y630" s="72"/>
      <c r="AB630" s="72"/>
      <c r="AE630" s="72"/>
      <c r="AH630" s="72"/>
      <c r="AK630" s="72"/>
      <c r="AN630" s="72"/>
      <c r="AQ630" s="72"/>
      <c r="AT630" s="72"/>
      <c r="AW630" s="72"/>
      <c r="AZ630" s="72"/>
    </row>
    <row r="631" spans="1:52">
      <c r="A631" s="131"/>
      <c r="B631" s="72"/>
      <c r="D631" s="72"/>
      <c r="G631" s="72"/>
      <c r="J631" s="72"/>
      <c r="M631" s="72"/>
      <c r="P631" s="72"/>
      <c r="S631" s="72"/>
      <c r="V631" s="72"/>
      <c r="Y631" s="72"/>
      <c r="AB631" s="72"/>
      <c r="AE631" s="72"/>
      <c r="AH631" s="72"/>
      <c r="AK631" s="72"/>
      <c r="AN631" s="72"/>
      <c r="AQ631" s="72"/>
      <c r="AT631" s="72"/>
      <c r="AW631" s="72"/>
      <c r="AZ631" s="72"/>
    </row>
    <row r="632" spans="1:52">
      <c r="A632" s="131"/>
      <c r="B632" s="72"/>
      <c r="D632" s="72"/>
      <c r="G632" s="72"/>
      <c r="J632" s="72"/>
      <c r="M632" s="72"/>
      <c r="P632" s="72"/>
      <c r="S632" s="72"/>
      <c r="V632" s="72"/>
      <c r="Y632" s="72"/>
      <c r="AB632" s="72"/>
      <c r="AE632" s="72"/>
      <c r="AH632" s="72"/>
      <c r="AK632" s="72"/>
      <c r="AN632" s="72"/>
      <c r="AQ632" s="72"/>
      <c r="AT632" s="72"/>
      <c r="AW632" s="72"/>
      <c r="AZ632" s="72"/>
    </row>
    <row r="633" spans="1:52">
      <c r="A633" s="131"/>
      <c r="B633" s="72"/>
      <c r="D633" s="72"/>
      <c r="G633" s="72"/>
      <c r="J633" s="72"/>
      <c r="M633" s="72"/>
      <c r="P633" s="72"/>
      <c r="S633" s="72"/>
      <c r="V633" s="72"/>
      <c r="Y633" s="72"/>
      <c r="AB633" s="72"/>
      <c r="AE633" s="72"/>
      <c r="AH633" s="72"/>
      <c r="AK633" s="72"/>
      <c r="AN633" s="72"/>
      <c r="AQ633" s="72"/>
      <c r="AT633" s="72"/>
      <c r="AW633" s="72"/>
      <c r="AZ633" s="72"/>
    </row>
    <row r="634" spans="1:52">
      <c r="A634" s="131"/>
      <c r="B634" s="72"/>
      <c r="D634" s="72"/>
      <c r="G634" s="72"/>
      <c r="J634" s="72"/>
      <c r="M634" s="72"/>
      <c r="P634" s="72"/>
      <c r="S634" s="72"/>
      <c r="V634" s="72"/>
      <c r="Y634" s="72"/>
      <c r="AB634" s="72"/>
      <c r="AE634" s="72"/>
      <c r="AH634" s="72"/>
      <c r="AK634" s="72"/>
      <c r="AN634" s="72"/>
      <c r="AQ634" s="72"/>
      <c r="AT634" s="72"/>
      <c r="AW634" s="72"/>
      <c r="AZ634" s="72"/>
    </row>
    <row r="635" spans="1:52">
      <c r="A635" s="131"/>
      <c r="B635" s="72"/>
      <c r="D635" s="72"/>
      <c r="G635" s="72"/>
      <c r="J635" s="72"/>
      <c r="M635" s="72"/>
      <c r="P635" s="72"/>
      <c r="S635" s="72"/>
      <c r="V635" s="72"/>
      <c r="Y635" s="72"/>
      <c r="AB635" s="72"/>
      <c r="AE635" s="72"/>
      <c r="AH635" s="72"/>
      <c r="AK635" s="72"/>
      <c r="AN635" s="72"/>
      <c r="AQ635" s="72"/>
      <c r="AT635" s="72"/>
      <c r="AW635" s="72"/>
      <c r="AZ635" s="72"/>
    </row>
    <row r="636" spans="1:52">
      <c r="A636" s="131"/>
      <c r="B636" s="72"/>
      <c r="D636" s="72"/>
      <c r="G636" s="72"/>
      <c r="J636" s="72"/>
      <c r="M636" s="72"/>
      <c r="P636" s="72"/>
      <c r="S636" s="72"/>
      <c r="V636" s="72"/>
      <c r="Y636" s="72"/>
      <c r="AB636" s="72"/>
      <c r="AE636" s="72"/>
      <c r="AH636" s="72"/>
      <c r="AK636" s="72"/>
      <c r="AN636" s="72"/>
      <c r="AQ636" s="72"/>
      <c r="AT636" s="72"/>
      <c r="AW636" s="72"/>
      <c r="AZ636" s="72"/>
    </row>
    <row r="637" spans="1:52">
      <c r="A637" s="131"/>
      <c r="B637" s="72"/>
      <c r="D637" s="72"/>
      <c r="G637" s="72"/>
      <c r="J637" s="72"/>
      <c r="M637" s="72"/>
      <c r="P637" s="72"/>
      <c r="S637" s="72"/>
      <c r="V637" s="72"/>
      <c r="Y637" s="72"/>
      <c r="AB637" s="72"/>
      <c r="AE637" s="72"/>
      <c r="AH637" s="72"/>
      <c r="AK637" s="72"/>
      <c r="AN637" s="72"/>
      <c r="AQ637" s="72"/>
      <c r="AT637" s="72"/>
      <c r="AW637" s="72"/>
      <c r="AZ637" s="72"/>
    </row>
    <row r="638" spans="1:52">
      <c r="A638" s="131"/>
      <c r="B638" s="72"/>
      <c r="D638" s="72"/>
      <c r="G638" s="72"/>
      <c r="J638" s="72"/>
      <c r="M638" s="72"/>
      <c r="P638" s="72"/>
      <c r="S638" s="72"/>
      <c r="V638" s="72"/>
      <c r="Y638" s="72"/>
      <c r="AB638" s="72"/>
      <c r="AE638" s="72"/>
      <c r="AH638" s="72"/>
      <c r="AK638" s="72"/>
      <c r="AN638" s="72"/>
      <c r="AQ638" s="72"/>
      <c r="AT638" s="72"/>
      <c r="AW638" s="72"/>
      <c r="AZ638" s="72"/>
    </row>
    <row r="639" spans="1:52">
      <c r="A639" s="131"/>
      <c r="B639" s="72"/>
      <c r="D639" s="72"/>
      <c r="G639" s="72"/>
      <c r="J639" s="72"/>
      <c r="M639" s="72"/>
      <c r="P639" s="72"/>
      <c r="S639" s="72"/>
      <c r="V639" s="72"/>
      <c r="Y639" s="72"/>
      <c r="AB639" s="72"/>
      <c r="AE639" s="72"/>
      <c r="AH639" s="72"/>
      <c r="AK639" s="72"/>
      <c r="AN639" s="72"/>
      <c r="AQ639" s="72"/>
      <c r="AT639" s="72"/>
      <c r="AW639" s="72"/>
      <c r="AZ639" s="72"/>
    </row>
    <row r="640" spans="1:52">
      <c r="A640" s="131"/>
      <c r="B640" s="72"/>
      <c r="D640" s="72"/>
      <c r="G640" s="72"/>
      <c r="J640" s="72"/>
      <c r="M640" s="72"/>
      <c r="P640" s="72"/>
      <c r="S640" s="72"/>
      <c r="V640" s="72"/>
      <c r="Y640" s="72"/>
      <c r="AB640" s="72"/>
      <c r="AE640" s="72"/>
      <c r="AH640" s="72"/>
      <c r="AK640" s="72"/>
      <c r="AN640" s="72"/>
      <c r="AQ640" s="72"/>
      <c r="AT640" s="72"/>
      <c r="AW640" s="72"/>
      <c r="AZ640" s="72"/>
    </row>
    <row r="641" spans="1:52">
      <c r="A641" s="131"/>
      <c r="B641" s="72"/>
      <c r="D641" s="72"/>
      <c r="G641" s="72"/>
      <c r="J641" s="72"/>
      <c r="M641" s="72"/>
      <c r="P641" s="72"/>
      <c r="S641" s="72"/>
      <c r="V641" s="72"/>
      <c r="Y641" s="72"/>
      <c r="AB641" s="72"/>
      <c r="AE641" s="72"/>
      <c r="AH641" s="72"/>
      <c r="AK641" s="72"/>
      <c r="AN641" s="72"/>
      <c r="AQ641" s="72"/>
      <c r="AT641" s="72"/>
      <c r="AW641" s="72"/>
      <c r="AZ641" s="72"/>
    </row>
    <row r="642" spans="1:52">
      <c r="A642" s="131"/>
      <c r="B642" s="72"/>
      <c r="D642" s="72"/>
      <c r="G642" s="72"/>
      <c r="J642" s="72"/>
      <c r="M642" s="72"/>
      <c r="P642" s="72"/>
      <c r="S642" s="72"/>
      <c r="V642" s="72"/>
      <c r="Y642" s="72"/>
      <c r="AB642" s="72"/>
      <c r="AE642" s="72"/>
      <c r="AH642" s="72"/>
      <c r="AK642" s="72"/>
      <c r="AN642" s="72"/>
      <c r="AQ642" s="72"/>
      <c r="AT642" s="72"/>
      <c r="AW642" s="72"/>
      <c r="AZ642" s="72"/>
    </row>
    <row r="643" spans="1:52">
      <c r="A643" s="131"/>
      <c r="B643" s="72"/>
      <c r="D643" s="72"/>
      <c r="G643" s="72"/>
      <c r="J643" s="72"/>
      <c r="M643" s="72"/>
      <c r="P643" s="72"/>
      <c r="S643" s="72"/>
      <c r="V643" s="72"/>
      <c r="Y643" s="72"/>
      <c r="AB643" s="72"/>
      <c r="AE643" s="72"/>
      <c r="AH643" s="72"/>
      <c r="AK643" s="72"/>
      <c r="AN643" s="72"/>
      <c r="AQ643" s="72"/>
      <c r="AT643" s="72"/>
      <c r="AW643" s="72"/>
      <c r="AZ643" s="72"/>
    </row>
    <row r="644" spans="1:52">
      <c r="A644" s="131"/>
      <c r="B644" s="72"/>
      <c r="D644" s="72"/>
      <c r="G644" s="72"/>
      <c r="J644" s="72"/>
      <c r="M644" s="72"/>
      <c r="P644" s="72"/>
      <c r="S644" s="72"/>
      <c r="V644" s="72"/>
      <c r="Y644" s="72"/>
      <c r="AB644" s="72"/>
      <c r="AE644" s="72"/>
      <c r="AH644" s="72"/>
      <c r="AK644" s="72"/>
      <c r="AN644" s="72"/>
      <c r="AQ644" s="72"/>
      <c r="AT644" s="72"/>
      <c r="AW644" s="72"/>
      <c r="AZ644" s="72"/>
    </row>
    <row r="645" spans="1:52">
      <c r="A645" s="131"/>
      <c r="B645" s="72"/>
      <c r="D645" s="72"/>
      <c r="G645" s="72"/>
      <c r="J645" s="72"/>
      <c r="M645" s="72"/>
      <c r="P645" s="72"/>
      <c r="S645" s="72"/>
      <c r="V645" s="72"/>
      <c r="Y645" s="72"/>
      <c r="AB645" s="72"/>
      <c r="AE645" s="72"/>
      <c r="AH645" s="72"/>
      <c r="AK645" s="72"/>
      <c r="AN645" s="72"/>
      <c r="AQ645" s="72"/>
      <c r="AT645" s="72"/>
      <c r="AW645" s="72"/>
      <c r="AZ645" s="72"/>
    </row>
    <row r="646" spans="1:52">
      <c r="A646" s="131"/>
      <c r="B646" s="72"/>
      <c r="D646" s="72"/>
      <c r="G646" s="72"/>
      <c r="J646" s="72"/>
      <c r="M646" s="72"/>
      <c r="P646" s="72"/>
      <c r="S646" s="72"/>
      <c r="V646" s="72"/>
      <c r="Y646" s="72"/>
      <c r="AB646" s="72"/>
      <c r="AE646" s="72"/>
      <c r="AH646" s="72"/>
      <c r="AK646" s="72"/>
      <c r="AN646" s="72"/>
      <c r="AQ646" s="72"/>
      <c r="AT646" s="72"/>
      <c r="AW646" s="72"/>
      <c r="AZ646" s="72"/>
    </row>
    <row r="647" spans="1:52">
      <c r="A647" s="131"/>
      <c r="B647" s="72"/>
      <c r="D647" s="72"/>
      <c r="G647" s="72"/>
      <c r="J647" s="72"/>
      <c r="M647" s="72"/>
      <c r="P647" s="72"/>
      <c r="S647" s="72"/>
      <c r="V647" s="72"/>
      <c r="Y647" s="72"/>
      <c r="AB647" s="72"/>
      <c r="AE647" s="72"/>
      <c r="AH647" s="72"/>
      <c r="AK647" s="72"/>
      <c r="AN647" s="72"/>
      <c r="AQ647" s="72"/>
      <c r="AT647" s="72"/>
      <c r="AW647" s="72"/>
      <c r="AZ647" s="72"/>
    </row>
    <row r="648" spans="1:52">
      <c r="A648" s="131"/>
      <c r="B648" s="72"/>
      <c r="D648" s="72"/>
      <c r="G648" s="72"/>
      <c r="J648" s="72"/>
      <c r="M648" s="72"/>
      <c r="P648" s="72"/>
      <c r="S648" s="72"/>
      <c r="V648" s="72"/>
      <c r="Y648" s="72"/>
      <c r="AB648" s="72"/>
      <c r="AE648" s="72"/>
      <c r="AH648" s="72"/>
      <c r="AK648" s="72"/>
      <c r="AN648" s="72"/>
      <c r="AQ648" s="72"/>
      <c r="AT648" s="72"/>
      <c r="AW648" s="72"/>
      <c r="AZ648" s="72"/>
    </row>
    <row r="649" spans="1:52">
      <c r="A649" s="131"/>
      <c r="B649" s="72"/>
      <c r="D649" s="72"/>
      <c r="G649" s="72"/>
      <c r="J649" s="72"/>
      <c r="M649" s="72"/>
      <c r="P649" s="72"/>
      <c r="S649" s="72"/>
      <c r="V649" s="72"/>
      <c r="Y649" s="72"/>
      <c r="AB649" s="72"/>
      <c r="AE649" s="72"/>
      <c r="AH649" s="72"/>
      <c r="AK649" s="72"/>
      <c r="AN649" s="72"/>
      <c r="AQ649" s="72"/>
      <c r="AT649" s="72"/>
      <c r="AW649" s="72"/>
      <c r="AZ649" s="72"/>
    </row>
    <row r="650" spans="1:52">
      <c r="A650" s="131"/>
      <c r="B650" s="72"/>
      <c r="D650" s="72"/>
      <c r="G650" s="72"/>
      <c r="J650" s="72"/>
      <c r="M650" s="72"/>
      <c r="P650" s="72"/>
      <c r="S650" s="72"/>
      <c r="V650" s="72"/>
      <c r="Y650" s="72"/>
      <c r="AB650" s="72"/>
      <c r="AE650" s="72"/>
      <c r="AH650" s="72"/>
      <c r="AK650" s="72"/>
      <c r="AN650" s="72"/>
      <c r="AQ650" s="72"/>
      <c r="AT650" s="72"/>
      <c r="AW650" s="72"/>
      <c r="AZ650" s="72"/>
    </row>
    <row r="651" spans="1:52">
      <c r="A651" s="131"/>
      <c r="B651" s="72"/>
      <c r="D651" s="72"/>
      <c r="G651" s="72"/>
      <c r="J651" s="72"/>
      <c r="M651" s="72"/>
      <c r="P651" s="72"/>
      <c r="S651" s="72"/>
      <c r="V651" s="72"/>
      <c r="Y651" s="72"/>
      <c r="AB651" s="72"/>
      <c r="AE651" s="72"/>
      <c r="AH651" s="72"/>
      <c r="AK651" s="72"/>
      <c r="AN651" s="72"/>
      <c r="AQ651" s="72"/>
      <c r="AT651" s="72"/>
      <c r="AW651" s="72"/>
      <c r="AZ651" s="72"/>
    </row>
    <row r="652" spans="1:52">
      <c r="A652" s="131"/>
      <c r="B652" s="72"/>
      <c r="D652" s="72"/>
      <c r="G652" s="72"/>
      <c r="J652" s="72"/>
      <c r="M652" s="72"/>
      <c r="P652" s="72"/>
      <c r="S652" s="72"/>
      <c r="V652" s="72"/>
      <c r="Y652" s="72"/>
      <c r="AB652" s="72"/>
      <c r="AE652" s="72"/>
      <c r="AH652" s="72"/>
      <c r="AK652" s="72"/>
      <c r="AN652" s="72"/>
      <c r="AQ652" s="72"/>
      <c r="AT652" s="72"/>
      <c r="AW652" s="72"/>
      <c r="AZ652" s="72"/>
    </row>
    <row r="653" spans="1:52">
      <c r="A653" s="131"/>
      <c r="B653" s="72"/>
      <c r="D653" s="72"/>
      <c r="G653" s="72"/>
      <c r="J653" s="72"/>
      <c r="M653" s="72"/>
      <c r="P653" s="72"/>
      <c r="S653" s="72"/>
      <c r="V653" s="72"/>
      <c r="Y653" s="72"/>
      <c r="AB653" s="72"/>
      <c r="AE653" s="72"/>
      <c r="AH653" s="72"/>
      <c r="AK653" s="72"/>
      <c r="AN653" s="72"/>
      <c r="AQ653" s="72"/>
      <c r="AT653" s="72"/>
      <c r="AW653" s="72"/>
      <c r="AZ653" s="72"/>
    </row>
    <row r="654" spans="1:52">
      <c r="A654" s="131"/>
      <c r="B654" s="72"/>
      <c r="D654" s="72"/>
      <c r="G654" s="72"/>
      <c r="J654" s="72"/>
      <c r="M654" s="72"/>
      <c r="P654" s="72"/>
      <c r="S654" s="72"/>
      <c r="V654" s="72"/>
      <c r="Y654" s="72"/>
      <c r="AB654" s="72"/>
      <c r="AE654" s="72"/>
      <c r="AH654" s="72"/>
      <c r="AK654" s="72"/>
      <c r="AN654" s="72"/>
      <c r="AQ654" s="72"/>
      <c r="AT654" s="72"/>
      <c r="AW654" s="72"/>
      <c r="AZ654" s="72"/>
    </row>
    <row r="655" spans="1:52">
      <c r="A655" s="131"/>
      <c r="B655" s="72"/>
      <c r="D655" s="72"/>
      <c r="G655" s="72"/>
      <c r="J655" s="72"/>
      <c r="M655" s="72"/>
      <c r="P655" s="72"/>
      <c r="S655" s="72"/>
      <c r="V655" s="72"/>
      <c r="Y655" s="72"/>
      <c r="AB655" s="72"/>
      <c r="AE655" s="72"/>
      <c r="AH655" s="72"/>
      <c r="AK655" s="72"/>
      <c r="AN655" s="72"/>
      <c r="AQ655" s="72"/>
      <c r="AT655" s="72"/>
      <c r="AW655" s="72"/>
      <c r="AZ655" s="72"/>
    </row>
    <row r="656" spans="1:52">
      <c r="A656" s="131"/>
      <c r="B656" s="72"/>
      <c r="D656" s="72"/>
      <c r="G656" s="72"/>
      <c r="J656" s="72"/>
      <c r="M656" s="72"/>
      <c r="P656" s="72"/>
      <c r="S656" s="72"/>
      <c r="V656" s="72"/>
      <c r="Y656" s="72"/>
      <c r="AB656" s="72"/>
      <c r="AE656" s="72"/>
      <c r="AH656" s="72"/>
      <c r="AK656" s="72"/>
      <c r="AN656" s="72"/>
      <c r="AQ656" s="72"/>
      <c r="AT656" s="72"/>
      <c r="AW656" s="72"/>
      <c r="AZ656" s="72"/>
    </row>
    <row r="657" spans="1:52">
      <c r="A657" s="131"/>
      <c r="B657" s="72"/>
      <c r="D657" s="72"/>
      <c r="G657" s="72"/>
      <c r="J657" s="72"/>
      <c r="M657" s="72"/>
      <c r="P657" s="72"/>
      <c r="S657" s="72"/>
      <c r="V657" s="72"/>
      <c r="Y657" s="72"/>
      <c r="AB657" s="72"/>
      <c r="AE657" s="72"/>
      <c r="AH657" s="72"/>
      <c r="AK657" s="72"/>
      <c r="AN657" s="72"/>
      <c r="AQ657" s="72"/>
      <c r="AT657" s="72"/>
      <c r="AW657" s="72"/>
      <c r="AZ657" s="72"/>
    </row>
    <row r="658" spans="1:52">
      <c r="A658" s="131"/>
      <c r="B658" s="72"/>
      <c r="D658" s="72"/>
      <c r="G658" s="72"/>
      <c r="J658" s="72"/>
      <c r="M658" s="72"/>
      <c r="P658" s="72"/>
      <c r="S658" s="72"/>
      <c r="V658" s="72"/>
      <c r="Y658" s="72"/>
      <c r="AB658" s="72"/>
      <c r="AE658" s="72"/>
      <c r="AH658" s="72"/>
      <c r="AK658" s="72"/>
      <c r="AN658" s="72"/>
      <c r="AQ658" s="72"/>
      <c r="AT658" s="72"/>
      <c r="AW658" s="72"/>
      <c r="AZ658" s="72"/>
    </row>
    <row r="659" spans="1:52">
      <c r="A659" s="131"/>
      <c r="B659" s="72"/>
      <c r="D659" s="72"/>
      <c r="G659" s="72"/>
      <c r="J659" s="72"/>
      <c r="M659" s="72"/>
      <c r="P659" s="72"/>
      <c r="S659" s="72"/>
      <c r="V659" s="72"/>
      <c r="Y659" s="72"/>
      <c r="AB659" s="72"/>
      <c r="AE659" s="72"/>
      <c r="AH659" s="72"/>
      <c r="AK659" s="72"/>
      <c r="AN659" s="72"/>
      <c r="AQ659" s="72"/>
      <c r="AT659" s="72"/>
      <c r="AW659" s="72"/>
      <c r="AZ659" s="72"/>
    </row>
    <row r="660" spans="1:52">
      <c r="A660" s="131"/>
      <c r="B660" s="72"/>
      <c r="D660" s="72"/>
      <c r="G660" s="72"/>
      <c r="J660" s="72"/>
      <c r="M660" s="72"/>
      <c r="P660" s="72"/>
      <c r="S660" s="72"/>
      <c r="V660" s="72"/>
      <c r="Y660" s="72"/>
      <c r="AB660" s="72"/>
      <c r="AE660" s="72"/>
      <c r="AH660" s="72"/>
      <c r="AK660" s="72"/>
      <c r="AN660" s="72"/>
      <c r="AQ660" s="72"/>
      <c r="AT660" s="72"/>
      <c r="AW660" s="72"/>
      <c r="AZ660" s="72"/>
    </row>
    <row r="661" spans="1:52">
      <c r="A661" s="131"/>
      <c r="B661" s="72"/>
      <c r="D661" s="72"/>
      <c r="G661" s="72"/>
      <c r="J661" s="72"/>
      <c r="M661" s="72"/>
      <c r="P661" s="72"/>
      <c r="S661" s="72"/>
      <c r="V661" s="72"/>
      <c r="Y661" s="72"/>
      <c r="AB661" s="72"/>
      <c r="AE661" s="72"/>
      <c r="AH661" s="72"/>
      <c r="AK661" s="72"/>
      <c r="AN661" s="72"/>
      <c r="AQ661" s="72"/>
      <c r="AT661" s="72"/>
      <c r="AW661" s="72"/>
      <c r="AZ661" s="72"/>
    </row>
    <row r="662" spans="1:52">
      <c r="A662" s="131"/>
      <c r="B662" s="72"/>
      <c r="D662" s="72"/>
      <c r="G662" s="72"/>
      <c r="J662" s="72"/>
      <c r="M662" s="72"/>
      <c r="P662" s="72"/>
      <c r="S662" s="72"/>
      <c r="V662" s="72"/>
      <c r="Y662" s="72"/>
      <c r="AB662" s="72"/>
      <c r="AE662" s="72"/>
      <c r="AH662" s="72"/>
      <c r="AK662" s="72"/>
      <c r="AN662" s="72"/>
      <c r="AQ662" s="72"/>
      <c r="AT662" s="72"/>
      <c r="AW662" s="72"/>
      <c r="AZ662" s="72"/>
    </row>
    <row r="663" spans="1:52">
      <c r="A663" s="131"/>
      <c r="B663" s="72"/>
      <c r="D663" s="72"/>
      <c r="G663" s="72"/>
      <c r="J663" s="72"/>
      <c r="M663" s="72"/>
      <c r="P663" s="72"/>
      <c r="S663" s="72"/>
      <c r="V663" s="72"/>
      <c r="Y663" s="72"/>
      <c r="AB663" s="72"/>
      <c r="AE663" s="72"/>
      <c r="AH663" s="72"/>
      <c r="AK663" s="72"/>
      <c r="AN663" s="72"/>
      <c r="AQ663" s="72"/>
      <c r="AT663" s="72"/>
      <c r="AW663" s="72"/>
      <c r="AZ663" s="72"/>
    </row>
    <row r="664" spans="1:52">
      <c r="A664" s="131"/>
      <c r="B664" s="72"/>
      <c r="D664" s="72"/>
      <c r="G664" s="72"/>
      <c r="J664" s="72"/>
      <c r="M664" s="72"/>
      <c r="P664" s="72"/>
      <c r="S664" s="72"/>
      <c r="V664" s="72"/>
      <c r="Y664" s="72"/>
      <c r="AB664" s="72"/>
      <c r="AE664" s="72"/>
      <c r="AH664" s="72"/>
      <c r="AK664" s="72"/>
      <c r="AN664" s="72"/>
      <c r="AQ664" s="72"/>
      <c r="AT664" s="72"/>
      <c r="AW664" s="72"/>
      <c r="AZ664" s="72"/>
    </row>
    <row r="665" spans="1:52">
      <c r="A665" s="131"/>
      <c r="B665" s="72"/>
      <c r="D665" s="72"/>
      <c r="G665" s="72"/>
      <c r="J665" s="72"/>
      <c r="M665" s="72"/>
      <c r="P665" s="72"/>
      <c r="S665" s="72"/>
      <c r="V665" s="72"/>
      <c r="Y665" s="72"/>
      <c r="AB665" s="72"/>
      <c r="AE665" s="72"/>
      <c r="AH665" s="72"/>
      <c r="AK665" s="72"/>
      <c r="AN665" s="72"/>
      <c r="AQ665" s="72"/>
      <c r="AT665" s="72"/>
      <c r="AW665" s="72"/>
      <c r="AZ665" s="72"/>
    </row>
    <row r="666" spans="1:52">
      <c r="A666" s="131"/>
      <c r="B666" s="72"/>
      <c r="D666" s="72"/>
      <c r="G666" s="72"/>
      <c r="J666" s="72"/>
      <c r="M666" s="72"/>
      <c r="P666" s="72"/>
      <c r="S666" s="72"/>
      <c r="V666" s="72"/>
      <c r="Y666" s="72"/>
      <c r="AB666" s="72"/>
      <c r="AE666" s="72"/>
      <c r="AH666" s="72"/>
      <c r="AK666" s="72"/>
      <c r="AN666" s="72"/>
      <c r="AQ666" s="72"/>
      <c r="AT666" s="72"/>
      <c r="AW666" s="72"/>
      <c r="AZ666" s="72"/>
    </row>
    <row r="667" spans="1:52">
      <c r="A667" s="131"/>
      <c r="B667" s="72"/>
      <c r="D667" s="72"/>
      <c r="G667" s="72"/>
      <c r="J667" s="72"/>
      <c r="M667" s="72"/>
      <c r="P667" s="72"/>
      <c r="S667" s="72"/>
      <c r="V667" s="72"/>
      <c r="Y667" s="72"/>
      <c r="AB667" s="72"/>
      <c r="AE667" s="72"/>
      <c r="AH667" s="72"/>
      <c r="AK667" s="72"/>
      <c r="AN667" s="72"/>
      <c r="AQ667" s="72"/>
      <c r="AT667" s="72"/>
      <c r="AW667" s="72"/>
      <c r="AZ667" s="72"/>
    </row>
    <row r="668" spans="1:52">
      <c r="A668" s="131"/>
      <c r="B668" s="72"/>
      <c r="D668" s="72"/>
      <c r="G668" s="72"/>
      <c r="J668" s="72"/>
      <c r="M668" s="72"/>
      <c r="P668" s="72"/>
      <c r="S668" s="72"/>
      <c r="V668" s="72"/>
      <c r="Y668" s="72"/>
      <c r="AB668" s="72"/>
      <c r="AE668" s="72"/>
      <c r="AH668" s="72"/>
      <c r="AK668" s="72"/>
      <c r="AN668" s="72"/>
      <c r="AQ668" s="72"/>
      <c r="AT668" s="72"/>
      <c r="AW668" s="72"/>
      <c r="AZ668" s="72"/>
    </row>
    <row r="669" spans="1:52">
      <c r="A669" s="131"/>
      <c r="B669" s="72"/>
      <c r="D669" s="72"/>
      <c r="G669" s="72"/>
      <c r="J669" s="72"/>
      <c r="M669" s="72"/>
      <c r="P669" s="72"/>
      <c r="S669" s="72"/>
      <c r="V669" s="72"/>
      <c r="Y669" s="72"/>
      <c r="AB669" s="72"/>
      <c r="AE669" s="72"/>
      <c r="AH669" s="72"/>
      <c r="AK669" s="72"/>
      <c r="AN669" s="72"/>
      <c r="AQ669" s="72"/>
      <c r="AT669" s="72"/>
      <c r="AW669" s="72"/>
      <c r="AZ669" s="72"/>
    </row>
    <row r="670" spans="1:52">
      <c r="A670" s="131"/>
      <c r="B670" s="72"/>
      <c r="D670" s="72"/>
      <c r="G670" s="72"/>
      <c r="J670" s="72"/>
      <c r="M670" s="72"/>
      <c r="P670" s="72"/>
      <c r="S670" s="72"/>
      <c r="V670" s="72"/>
      <c r="Y670" s="72"/>
      <c r="AB670" s="72"/>
      <c r="AE670" s="72"/>
      <c r="AH670" s="72"/>
      <c r="AK670" s="72"/>
      <c r="AN670" s="72"/>
      <c r="AQ670" s="72"/>
      <c r="AT670" s="72"/>
      <c r="AW670" s="72"/>
      <c r="AZ670" s="72"/>
    </row>
    <row r="671" spans="1:52">
      <c r="A671" s="131"/>
      <c r="B671" s="72"/>
      <c r="D671" s="72"/>
      <c r="G671" s="72"/>
      <c r="J671" s="72"/>
      <c r="M671" s="72"/>
      <c r="P671" s="72"/>
      <c r="S671" s="72"/>
      <c r="V671" s="72"/>
      <c r="Y671" s="72"/>
      <c r="AB671" s="72"/>
      <c r="AE671" s="72"/>
      <c r="AH671" s="72"/>
      <c r="AK671" s="72"/>
      <c r="AN671" s="72"/>
      <c r="AQ671" s="72"/>
      <c r="AT671" s="72"/>
      <c r="AW671" s="72"/>
      <c r="AZ671" s="72"/>
    </row>
    <row r="672" spans="1:52">
      <c r="A672" s="131"/>
      <c r="B672" s="72"/>
      <c r="D672" s="72"/>
      <c r="G672" s="72"/>
      <c r="J672" s="72"/>
      <c r="M672" s="72"/>
      <c r="P672" s="72"/>
      <c r="S672" s="72"/>
      <c r="V672" s="72"/>
      <c r="Y672" s="72"/>
      <c r="AB672" s="72"/>
      <c r="AE672" s="72"/>
      <c r="AH672" s="72"/>
      <c r="AK672" s="72"/>
      <c r="AN672" s="72"/>
      <c r="AQ672" s="72"/>
      <c r="AT672" s="72"/>
      <c r="AW672" s="72"/>
      <c r="AZ672" s="72"/>
    </row>
    <row r="673" spans="1:52">
      <c r="A673" s="131"/>
      <c r="B673" s="72"/>
      <c r="D673" s="72"/>
      <c r="G673" s="72"/>
      <c r="J673" s="72"/>
      <c r="M673" s="72"/>
      <c r="P673" s="72"/>
      <c r="S673" s="72"/>
      <c r="V673" s="72"/>
      <c r="Y673" s="72"/>
      <c r="AB673" s="72"/>
      <c r="AE673" s="72"/>
      <c r="AH673" s="72"/>
      <c r="AK673" s="72"/>
      <c r="AN673" s="72"/>
      <c r="AQ673" s="72"/>
      <c r="AT673" s="72"/>
      <c r="AW673" s="72"/>
      <c r="AZ673" s="72"/>
    </row>
    <row r="674" spans="1:52">
      <c r="A674" s="131"/>
      <c r="B674" s="72"/>
      <c r="D674" s="72"/>
      <c r="G674" s="72"/>
      <c r="J674" s="72"/>
      <c r="M674" s="72"/>
      <c r="P674" s="72"/>
      <c r="S674" s="72"/>
      <c r="V674" s="72"/>
      <c r="Y674" s="72"/>
      <c r="AB674" s="72"/>
      <c r="AE674" s="72"/>
      <c r="AH674" s="72"/>
      <c r="AK674" s="72"/>
      <c r="AN674" s="72"/>
      <c r="AQ674" s="72"/>
      <c r="AT674" s="72"/>
      <c r="AW674" s="72"/>
      <c r="AZ674" s="72"/>
    </row>
    <row r="675" spans="1:52">
      <c r="A675" s="131"/>
      <c r="B675" s="72"/>
      <c r="D675" s="72"/>
      <c r="G675" s="72"/>
      <c r="J675" s="72"/>
      <c r="M675" s="72"/>
      <c r="P675" s="72"/>
      <c r="S675" s="72"/>
      <c r="V675" s="72"/>
      <c r="Y675" s="72"/>
      <c r="AB675" s="72"/>
      <c r="AE675" s="72"/>
      <c r="AH675" s="72"/>
      <c r="AK675" s="72"/>
      <c r="AN675" s="72"/>
      <c r="AQ675" s="72"/>
      <c r="AT675" s="72"/>
      <c r="AW675" s="72"/>
      <c r="AZ675" s="72"/>
    </row>
    <row r="676" spans="1:52">
      <c r="A676" s="131"/>
      <c r="B676" s="72"/>
      <c r="D676" s="72"/>
      <c r="G676" s="72"/>
      <c r="J676" s="72"/>
      <c r="M676" s="72"/>
      <c r="P676" s="72"/>
      <c r="S676" s="72"/>
      <c r="V676" s="72"/>
      <c r="Y676" s="72"/>
      <c r="AB676" s="72"/>
      <c r="AE676" s="72"/>
      <c r="AH676" s="72"/>
      <c r="AK676" s="72"/>
      <c r="AN676" s="72"/>
      <c r="AQ676" s="72"/>
      <c r="AT676" s="72"/>
      <c r="AW676" s="72"/>
      <c r="AZ676" s="72"/>
    </row>
    <row r="677" spans="1:52">
      <c r="A677" s="131"/>
      <c r="B677" s="72"/>
      <c r="D677" s="72"/>
      <c r="G677" s="72"/>
      <c r="J677" s="72"/>
      <c r="M677" s="72"/>
      <c r="P677" s="72"/>
      <c r="S677" s="72"/>
      <c r="V677" s="72"/>
      <c r="Y677" s="72"/>
      <c r="AB677" s="72"/>
      <c r="AE677" s="72"/>
      <c r="AH677" s="72"/>
      <c r="AK677" s="72"/>
      <c r="AN677" s="72"/>
      <c r="AQ677" s="72"/>
      <c r="AT677" s="72"/>
      <c r="AW677" s="72"/>
      <c r="AZ677" s="72"/>
    </row>
    <row r="678" spans="1:52">
      <c r="A678" s="131"/>
      <c r="B678" s="72"/>
      <c r="D678" s="72"/>
      <c r="G678" s="72"/>
      <c r="J678" s="72"/>
      <c r="M678" s="72"/>
      <c r="P678" s="72"/>
      <c r="S678" s="72"/>
      <c r="V678" s="72"/>
      <c r="Y678" s="72"/>
      <c r="AB678" s="72"/>
      <c r="AE678" s="72"/>
      <c r="AH678" s="72"/>
      <c r="AK678" s="72"/>
      <c r="AN678" s="72"/>
      <c r="AQ678" s="72"/>
      <c r="AT678" s="72"/>
      <c r="AW678" s="72"/>
      <c r="AZ678" s="72"/>
    </row>
    <row r="679" spans="1:52">
      <c r="A679" s="131"/>
      <c r="B679" s="72"/>
      <c r="D679" s="72"/>
      <c r="G679" s="72"/>
      <c r="J679" s="72"/>
      <c r="M679" s="72"/>
      <c r="P679" s="72"/>
      <c r="S679" s="72"/>
      <c r="V679" s="72"/>
      <c r="Y679" s="72"/>
      <c r="AB679" s="72"/>
      <c r="AE679" s="72"/>
      <c r="AH679" s="72"/>
      <c r="AK679" s="72"/>
      <c r="AN679" s="72"/>
      <c r="AQ679" s="72"/>
      <c r="AT679" s="72"/>
      <c r="AW679" s="72"/>
      <c r="AZ679" s="72"/>
    </row>
    <row r="680" spans="1:52">
      <c r="A680" s="131"/>
      <c r="B680" s="72"/>
      <c r="D680" s="72"/>
      <c r="G680" s="72"/>
      <c r="J680" s="72"/>
      <c r="M680" s="72"/>
      <c r="P680" s="72"/>
      <c r="S680" s="72"/>
      <c r="V680" s="72"/>
      <c r="Y680" s="72"/>
      <c r="AB680" s="72"/>
      <c r="AE680" s="72"/>
      <c r="AH680" s="72"/>
      <c r="AK680" s="72"/>
      <c r="AN680" s="72"/>
      <c r="AQ680" s="72"/>
      <c r="AT680" s="72"/>
      <c r="AW680" s="72"/>
      <c r="AZ680" s="72"/>
    </row>
    <row r="681" spans="1:52">
      <c r="A681" s="131"/>
      <c r="B681" s="72"/>
      <c r="D681" s="72"/>
      <c r="G681" s="72"/>
      <c r="J681" s="72"/>
      <c r="M681" s="72"/>
      <c r="P681" s="72"/>
      <c r="S681" s="72"/>
      <c r="V681" s="72"/>
      <c r="Y681" s="72"/>
      <c r="AB681" s="72"/>
      <c r="AE681" s="72"/>
      <c r="AH681" s="72"/>
      <c r="AK681" s="72"/>
      <c r="AN681" s="72"/>
      <c r="AQ681" s="72"/>
      <c r="AT681" s="72"/>
      <c r="AW681" s="72"/>
      <c r="AZ681" s="72"/>
    </row>
    <row r="682" spans="1:52">
      <c r="A682" s="131"/>
      <c r="B682" s="72"/>
      <c r="D682" s="72"/>
      <c r="G682" s="72"/>
      <c r="J682" s="72"/>
      <c r="M682" s="72"/>
      <c r="P682" s="72"/>
      <c r="S682" s="72"/>
      <c r="V682" s="72"/>
      <c r="Y682" s="72"/>
      <c r="AB682" s="72"/>
      <c r="AE682" s="72"/>
      <c r="AH682" s="72"/>
      <c r="AK682" s="72"/>
      <c r="AN682" s="72"/>
      <c r="AQ682" s="72"/>
      <c r="AT682" s="72"/>
      <c r="AW682" s="72"/>
      <c r="AZ682" s="72"/>
    </row>
    <row r="683" spans="1:52">
      <c r="A683" s="131"/>
      <c r="B683" s="72"/>
      <c r="D683" s="72"/>
      <c r="G683" s="72"/>
      <c r="J683" s="72"/>
      <c r="M683" s="72"/>
      <c r="P683" s="72"/>
      <c r="S683" s="72"/>
      <c r="V683" s="72"/>
      <c r="Y683" s="72"/>
      <c r="AB683" s="72"/>
      <c r="AE683" s="72"/>
      <c r="AH683" s="72"/>
      <c r="AK683" s="72"/>
      <c r="AN683" s="72"/>
      <c r="AQ683" s="72"/>
      <c r="AT683" s="72"/>
      <c r="AW683" s="72"/>
      <c r="AZ683" s="72"/>
    </row>
    <row r="684" spans="1:52">
      <c r="A684" s="131"/>
      <c r="B684" s="72"/>
      <c r="D684" s="72"/>
      <c r="G684" s="72"/>
      <c r="J684" s="72"/>
      <c r="M684" s="72"/>
      <c r="P684" s="72"/>
      <c r="S684" s="72"/>
      <c r="V684" s="72"/>
      <c r="Y684" s="72"/>
      <c r="AB684" s="72"/>
      <c r="AE684" s="72"/>
      <c r="AH684" s="72"/>
      <c r="AK684" s="72"/>
      <c r="AN684" s="72"/>
      <c r="AQ684" s="72"/>
      <c r="AT684" s="72"/>
      <c r="AW684" s="72"/>
      <c r="AZ684" s="72"/>
    </row>
    <row r="685" spans="1:52">
      <c r="A685" s="131"/>
      <c r="B685" s="72"/>
      <c r="D685" s="72"/>
      <c r="G685" s="72"/>
      <c r="J685" s="72"/>
      <c r="M685" s="72"/>
      <c r="P685" s="72"/>
      <c r="S685" s="72"/>
      <c r="V685" s="72"/>
      <c r="Y685" s="72"/>
      <c r="AB685" s="72"/>
      <c r="AE685" s="72"/>
      <c r="AH685" s="72"/>
      <c r="AK685" s="72"/>
      <c r="AN685" s="72"/>
      <c r="AQ685" s="72"/>
      <c r="AT685" s="72"/>
      <c r="AW685" s="72"/>
      <c r="AZ685" s="72"/>
    </row>
    <row r="686" spans="1:52">
      <c r="A686" s="131"/>
      <c r="B686" s="72"/>
      <c r="D686" s="72"/>
      <c r="G686" s="72"/>
      <c r="J686" s="72"/>
      <c r="M686" s="72"/>
      <c r="P686" s="72"/>
      <c r="S686" s="72"/>
      <c r="V686" s="72"/>
      <c r="Y686" s="72"/>
      <c r="AB686" s="72"/>
      <c r="AE686" s="72"/>
      <c r="AH686" s="72"/>
      <c r="AK686" s="72"/>
      <c r="AN686" s="72"/>
      <c r="AQ686" s="72"/>
      <c r="AT686" s="72"/>
      <c r="AW686" s="72"/>
      <c r="AZ686" s="72"/>
    </row>
    <row r="687" spans="1:52">
      <c r="A687" s="131"/>
      <c r="B687" s="72"/>
      <c r="D687" s="72"/>
      <c r="G687" s="72"/>
      <c r="J687" s="72"/>
      <c r="M687" s="72"/>
      <c r="P687" s="72"/>
      <c r="S687" s="72"/>
      <c r="V687" s="72"/>
      <c r="Y687" s="72"/>
      <c r="AB687" s="72"/>
      <c r="AE687" s="72"/>
      <c r="AH687" s="72"/>
      <c r="AK687" s="72"/>
      <c r="AN687" s="72"/>
      <c r="AQ687" s="72"/>
      <c r="AT687" s="72"/>
      <c r="AW687" s="72"/>
      <c r="AZ687" s="72"/>
    </row>
    <row r="688" spans="1:52">
      <c r="A688" s="131"/>
      <c r="B688" s="72"/>
      <c r="D688" s="72"/>
      <c r="G688" s="72"/>
      <c r="J688" s="72"/>
      <c r="M688" s="72"/>
      <c r="P688" s="72"/>
      <c r="S688" s="72"/>
      <c r="V688" s="72"/>
      <c r="Y688" s="72"/>
      <c r="AB688" s="72"/>
      <c r="AE688" s="72"/>
      <c r="AH688" s="72"/>
      <c r="AK688" s="72"/>
      <c r="AN688" s="72"/>
      <c r="AQ688" s="72"/>
      <c r="AT688" s="72"/>
      <c r="AW688" s="72"/>
      <c r="AZ688" s="72"/>
    </row>
    <row r="689" spans="1:52">
      <c r="A689" s="131"/>
      <c r="B689" s="72"/>
      <c r="D689" s="72"/>
      <c r="G689" s="72"/>
      <c r="J689" s="72"/>
      <c r="M689" s="72"/>
      <c r="P689" s="72"/>
      <c r="S689" s="72"/>
      <c r="V689" s="72"/>
      <c r="Y689" s="72"/>
      <c r="AB689" s="72"/>
      <c r="AE689" s="72"/>
      <c r="AH689" s="72"/>
      <c r="AK689" s="72"/>
      <c r="AN689" s="72"/>
      <c r="AQ689" s="72"/>
      <c r="AT689" s="72"/>
      <c r="AW689" s="72"/>
      <c r="AZ689" s="72"/>
    </row>
    <row r="690" spans="1:52">
      <c r="A690" s="131"/>
      <c r="B690" s="72"/>
      <c r="D690" s="72"/>
      <c r="G690" s="72"/>
      <c r="J690" s="72"/>
      <c r="M690" s="72"/>
      <c r="P690" s="72"/>
      <c r="S690" s="72"/>
      <c r="V690" s="72"/>
      <c r="Y690" s="72"/>
      <c r="AB690" s="72"/>
      <c r="AE690" s="72"/>
      <c r="AH690" s="72"/>
      <c r="AK690" s="72"/>
      <c r="AN690" s="72"/>
      <c r="AQ690" s="72"/>
      <c r="AT690" s="72"/>
      <c r="AW690" s="72"/>
      <c r="AZ690" s="72"/>
    </row>
    <row r="691" spans="1:52">
      <c r="A691" s="131"/>
      <c r="B691" s="72"/>
      <c r="D691" s="72"/>
      <c r="G691" s="72"/>
      <c r="J691" s="72"/>
      <c r="M691" s="72"/>
      <c r="P691" s="72"/>
      <c r="S691" s="72"/>
      <c r="V691" s="72"/>
      <c r="Y691" s="72"/>
      <c r="AB691" s="72"/>
      <c r="AE691" s="72"/>
      <c r="AH691" s="72"/>
      <c r="AK691" s="72"/>
      <c r="AN691" s="72"/>
      <c r="AQ691" s="72"/>
      <c r="AT691" s="72"/>
      <c r="AW691" s="72"/>
      <c r="AZ691" s="72"/>
    </row>
    <row r="692" spans="1:52">
      <c r="A692" s="131"/>
      <c r="B692" s="72"/>
      <c r="D692" s="72"/>
      <c r="G692" s="72"/>
      <c r="J692" s="72"/>
      <c r="M692" s="72"/>
      <c r="P692" s="72"/>
      <c r="S692" s="72"/>
      <c r="V692" s="72"/>
      <c r="Y692" s="72"/>
      <c r="AB692" s="72"/>
      <c r="AE692" s="72"/>
      <c r="AH692" s="72"/>
      <c r="AK692" s="72"/>
      <c r="AN692" s="72"/>
      <c r="AQ692" s="72"/>
      <c r="AT692" s="72"/>
      <c r="AW692" s="72"/>
      <c r="AZ692" s="72"/>
    </row>
    <row r="693" spans="1:52">
      <c r="A693" s="131"/>
      <c r="B693" s="72"/>
      <c r="D693" s="72"/>
      <c r="G693" s="72"/>
      <c r="J693" s="72"/>
      <c r="M693" s="72"/>
      <c r="P693" s="72"/>
      <c r="S693" s="72"/>
      <c r="V693" s="72"/>
      <c r="Y693" s="72"/>
      <c r="AB693" s="72"/>
      <c r="AE693" s="72"/>
      <c r="AH693" s="72"/>
      <c r="AK693" s="72"/>
      <c r="AN693" s="72"/>
      <c r="AQ693" s="72"/>
      <c r="AT693" s="72"/>
      <c r="AW693" s="72"/>
      <c r="AZ693" s="72"/>
    </row>
    <row r="694" spans="1:52">
      <c r="A694" s="131"/>
      <c r="B694" s="72"/>
      <c r="D694" s="72"/>
      <c r="G694" s="72"/>
      <c r="J694" s="72"/>
      <c r="M694" s="72"/>
      <c r="P694" s="72"/>
      <c r="S694" s="72"/>
      <c r="V694" s="72"/>
      <c r="Y694" s="72"/>
      <c r="AB694" s="72"/>
      <c r="AE694" s="72"/>
      <c r="AH694" s="72"/>
      <c r="AK694" s="72"/>
      <c r="AN694" s="72"/>
      <c r="AQ694" s="72"/>
      <c r="AT694" s="72"/>
      <c r="AW694" s="72"/>
      <c r="AZ694" s="72"/>
    </row>
    <row r="695" spans="1:52">
      <c r="A695" s="131"/>
      <c r="B695" s="72"/>
      <c r="D695" s="72"/>
      <c r="G695" s="72"/>
      <c r="J695" s="72"/>
      <c r="M695" s="72"/>
      <c r="P695" s="72"/>
      <c r="S695" s="72"/>
      <c r="V695" s="72"/>
      <c r="Y695" s="72"/>
      <c r="AB695" s="72"/>
      <c r="AE695" s="72"/>
      <c r="AH695" s="72"/>
      <c r="AK695" s="72"/>
      <c r="AN695" s="72"/>
      <c r="AQ695" s="72"/>
      <c r="AT695" s="72"/>
      <c r="AW695" s="72"/>
      <c r="AZ695" s="72"/>
    </row>
    <row r="696" spans="1:52">
      <c r="A696" s="131"/>
      <c r="B696" s="72"/>
      <c r="D696" s="72"/>
      <c r="G696" s="72"/>
      <c r="J696" s="72"/>
      <c r="M696" s="72"/>
      <c r="P696" s="72"/>
      <c r="S696" s="72"/>
      <c r="V696" s="72"/>
      <c r="Y696" s="72"/>
      <c r="AB696" s="72"/>
      <c r="AE696" s="72"/>
      <c r="AH696" s="72"/>
      <c r="AK696" s="72"/>
      <c r="AN696" s="72"/>
      <c r="AQ696" s="72"/>
      <c r="AT696" s="72"/>
      <c r="AW696" s="72"/>
      <c r="AZ696" s="72"/>
    </row>
    <row r="697" spans="1:52">
      <c r="A697" s="131"/>
      <c r="B697" s="72"/>
      <c r="D697" s="72"/>
      <c r="G697" s="72"/>
      <c r="J697" s="72"/>
      <c r="M697" s="72"/>
      <c r="P697" s="72"/>
      <c r="S697" s="72"/>
      <c r="V697" s="72"/>
      <c r="Y697" s="72"/>
      <c r="AB697" s="72"/>
      <c r="AE697" s="72"/>
      <c r="AH697" s="72"/>
      <c r="AK697" s="72"/>
      <c r="AN697" s="72"/>
      <c r="AQ697" s="72"/>
      <c r="AT697" s="72"/>
      <c r="AW697" s="72"/>
      <c r="AZ697" s="72"/>
    </row>
    <row r="698" spans="1:52">
      <c r="A698" s="131"/>
      <c r="B698" s="72"/>
      <c r="D698" s="72"/>
      <c r="G698" s="72"/>
      <c r="J698" s="72"/>
      <c r="M698" s="72"/>
      <c r="P698" s="72"/>
      <c r="S698" s="72"/>
      <c r="V698" s="72"/>
      <c r="Y698" s="72"/>
      <c r="AB698" s="72"/>
      <c r="AE698" s="72"/>
      <c r="AH698" s="72"/>
      <c r="AK698" s="72"/>
      <c r="AN698" s="72"/>
      <c r="AQ698" s="72"/>
      <c r="AT698" s="72"/>
      <c r="AW698" s="72"/>
      <c r="AZ698" s="72"/>
    </row>
    <row r="699" spans="1:52">
      <c r="A699" s="131"/>
      <c r="B699" s="72"/>
      <c r="D699" s="72"/>
      <c r="G699" s="72"/>
      <c r="J699" s="72"/>
      <c r="M699" s="72"/>
      <c r="P699" s="72"/>
      <c r="S699" s="72"/>
      <c r="V699" s="72"/>
      <c r="Y699" s="72"/>
      <c r="AB699" s="72"/>
      <c r="AE699" s="72"/>
      <c r="AH699" s="72"/>
      <c r="AK699" s="72"/>
      <c r="AN699" s="72"/>
      <c r="AQ699" s="72"/>
      <c r="AT699" s="72"/>
      <c r="AW699" s="72"/>
      <c r="AZ699" s="72"/>
    </row>
    <row r="700" spans="1:52">
      <c r="A700" s="131"/>
      <c r="B700" s="72"/>
      <c r="D700" s="72"/>
      <c r="G700" s="72"/>
      <c r="J700" s="72"/>
      <c r="M700" s="72"/>
      <c r="P700" s="72"/>
      <c r="S700" s="72"/>
      <c r="V700" s="72"/>
      <c r="Y700" s="72"/>
      <c r="AB700" s="72"/>
      <c r="AE700" s="72"/>
      <c r="AH700" s="72"/>
      <c r="AK700" s="72"/>
      <c r="AN700" s="72"/>
      <c r="AQ700" s="72"/>
      <c r="AT700" s="72"/>
      <c r="AW700" s="72"/>
      <c r="AZ700" s="72"/>
    </row>
    <row r="701" spans="1:52">
      <c r="A701" s="131"/>
      <c r="B701" s="72"/>
      <c r="D701" s="72"/>
      <c r="G701" s="72"/>
      <c r="J701" s="72"/>
      <c r="M701" s="72"/>
      <c r="P701" s="72"/>
      <c r="S701" s="72"/>
      <c r="V701" s="72"/>
      <c r="Y701" s="72"/>
      <c r="AB701" s="72"/>
      <c r="AE701" s="72"/>
      <c r="AH701" s="72"/>
      <c r="AK701" s="72"/>
      <c r="AN701" s="72"/>
      <c r="AQ701" s="72"/>
      <c r="AT701" s="72"/>
      <c r="AW701" s="72"/>
      <c r="AZ701" s="72"/>
    </row>
    <row r="702" spans="1:52">
      <c r="A702" s="131"/>
      <c r="B702" s="72"/>
      <c r="D702" s="72"/>
      <c r="G702" s="72"/>
      <c r="J702" s="72"/>
      <c r="M702" s="72"/>
      <c r="P702" s="72"/>
      <c r="S702" s="72"/>
      <c r="V702" s="72"/>
      <c r="Y702" s="72"/>
      <c r="AB702" s="72"/>
      <c r="AE702" s="72"/>
      <c r="AH702" s="72"/>
      <c r="AK702" s="72"/>
      <c r="AN702" s="72"/>
      <c r="AQ702" s="72"/>
      <c r="AT702" s="72"/>
      <c r="AW702" s="72"/>
      <c r="AZ702" s="72"/>
    </row>
    <row r="703" spans="1:52">
      <c r="A703" s="131"/>
      <c r="B703" s="72"/>
      <c r="D703" s="72"/>
      <c r="G703" s="72"/>
      <c r="J703" s="72"/>
      <c r="M703" s="72"/>
      <c r="P703" s="72"/>
      <c r="S703" s="72"/>
      <c r="V703" s="72"/>
      <c r="Y703" s="72"/>
      <c r="AB703" s="72"/>
      <c r="AE703" s="72"/>
      <c r="AH703" s="72"/>
      <c r="AK703" s="72"/>
      <c r="AN703" s="72"/>
      <c r="AQ703" s="72"/>
      <c r="AT703" s="72"/>
      <c r="AW703" s="72"/>
      <c r="AZ703" s="72"/>
    </row>
    <row r="704" spans="1:52">
      <c r="A704" s="131"/>
      <c r="B704" s="72"/>
      <c r="D704" s="72"/>
      <c r="G704" s="72"/>
      <c r="J704" s="72"/>
      <c r="M704" s="72"/>
      <c r="P704" s="72"/>
      <c r="S704" s="72"/>
      <c r="V704" s="72"/>
      <c r="Y704" s="72"/>
      <c r="AB704" s="72"/>
      <c r="AE704" s="72"/>
      <c r="AH704" s="72"/>
      <c r="AK704" s="72"/>
      <c r="AN704" s="72"/>
      <c r="AQ704" s="72"/>
      <c r="AT704" s="72"/>
      <c r="AW704" s="72"/>
      <c r="AZ704" s="72"/>
    </row>
    <row r="705" spans="1:52">
      <c r="A705" s="131"/>
      <c r="B705" s="72"/>
      <c r="D705" s="72"/>
      <c r="G705" s="72"/>
      <c r="J705" s="72"/>
      <c r="M705" s="72"/>
      <c r="P705" s="72"/>
      <c r="S705" s="72"/>
      <c r="V705" s="72"/>
      <c r="Y705" s="72"/>
      <c r="AB705" s="72"/>
      <c r="AE705" s="72"/>
      <c r="AH705" s="72"/>
      <c r="AK705" s="72"/>
      <c r="AN705" s="72"/>
      <c r="AQ705" s="72"/>
      <c r="AT705" s="72"/>
      <c r="AW705" s="72"/>
      <c r="AZ705" s="72"/>
    </row>
    <row r="706" spans="1:52">
      <c r="A706" s="131"/>
      <c r="B706" s="72"/>
      <c r="D706" s="72"/>
      <c r="G706" s="72"/>
      <c r="J706" s="72"/>
      <c r="M706" s="72"/>
      <c r="P706" s="72"/>
      <c r="S706" s="72"/>
      <c r="V706" s="72"/>
      <c r="Y706" s="72"/>
      <c r="AB706" s="72"/>
      <c r="AE706" s="72"/>
      <c r="AH706" s="72"/>
      <c r="AK706" s="72"/>
      <c r="AN706" s="72"/>
      <c r="AQ706" s="72"/>
      <c r="AT706" s="72"/>
      <c r="AW706" s="72"/>
      <c r="AZ706" s="72"/>
    </row>
    <row r="707" spans="1:52">
      <c r="A707" s="131"/>
      <c r="B707" s="72"/>
      <c r="D707" s="72"/>
      <c r="G707" s="72"/>
      <c r="J707" s="72"/>
      <c r="M707" s="72"/>
      <c r="P707" s="72"/>
      <c r="S707" s="72"/>
      <c r="V707" s="72"/>
      <c r="Y707" s="72"/>
      <c r="AB707" s="72"/>
      <c r="AE707" s="72"/>
      <c r="AH707" s="72"/>
      <c r="AK707" s="72"/>
      <c r="AN707" s="72"/>
      <c r="AQ707" s="72"/>
      <c r="AT707" s="72"/>
      <c r="AW707" s="72"/>
      <c r="AZ707" s="72"/>
    </row>
    <row r="708" spans="1:52">
      <c r="A708" s="131"/>
      <c r="B708" s="72"/>
      <c r="D708" s="72"/>
      <c r="G708" s="72"/>
      <c r="J708" s="72"/>
      <c r="M708" s="72"/>
      <c r="P708" s="72"/>
      <c r="S708" s="72"/>
      <c r="V708" s="72"/>
      <c r="Y708" s="72"/>
      <c r="AB708" s="72"/>
      <c r="AE708" s="72"/>
      <c r="AH708" s="72"/>
      <c r="AK708" s="72"/>
      <c r="AN708" s="72"/>
      <c r="AQ708" s="72"/>
      <c r="AT708" s="72"/>
      <c r="AW708" s="72"/>
      <c r="AZ708" s="72"/>
    </row>
    <row r="709" spans="1:52">
      <c r="A709" s="131"/>
      <c r="B709" s="72"/>
      <c r="D709" s="72"/>
      <c r="G709" s="72"/>
      <c r="J709" s="72"/>
      <c r="M709" s="72"/>
      <c r="P709" s="72"/>
      <c r="S709" s="72"/>
      <c r="V709" s="72"/>
      <c r="Y709" s="72"/>
      <c r="AB709" s="72"/>
      <c r="AE709" s="72"/>
      <c r="AH709" s="72"/>
      <c r="AK709" s="72"/>
      <c r="AN709" s="72"/>
      <c r="AQ709" s="72"/>
      <c r="AT709" s="72"/>
      <c r="AW709" s="72"/>
      <c r="AZ709" s="72"/>
    </row>
    <row r="710" spans="1:52">
      <c r="A710" s="131"/>
      <c r="B710" s="72"/>
      <c r="D710" s="72"/>
      <c r="G710" s="72"/>
      <c r="J710" s="72"/>
      <c r="M710" s="72"/>
      <c r="P710" s="72"/>
      <c r="S710" s="72"/>
      <c r="V710" s="72"/>
      <c r="Y710" s="72"/>
      <c r="AB710" s="72"/>
      <c r="AE710" s="72"/>
      <c r="AH710" s="72"/>
      <c r="AK710" s="72"/>
      <c r="AN710" s="72"/>
      <c r="AQ710" s="72"/>
      <c r="AT710" s="72"/>
      <c r="AW710" s="72"/>
      <c r="AZ710" s="72"/>
    </row>
    <row r="711" spans="1:52">
      <c r="A711" s="131"/>
      <c r="B711" s="72"/>
      <c r="D711" s="72"/>
      <c r="G711" s="72"/>
      <c r="J711" s="72"/>
      <c r="M711" s="72"/>
      <c r="P711" s="72"/>
      <c r="S711" s="72"/>
      <c r="V711" s="72"/>
      <c r="Y711" s="72"/>
      <c r="AB711" s="72"/>
      <c r="AE711" s="72"/>
      <c r="AH711" s="72"/>
      <c r="AK711" s="72"/>
      <c r="AN711" s="72"/>
      <c r="AQ711" s="72"/>
      <c r="AT711" s="72"/>
      <c r="AW711" s="72"/>
      <c r="AZ711" s="72"/>
    </row>
    <row r="712" spans="1:52">
      <c r="A712" s="131"/>
      <c r="B712" s="72"/>
      <c r="D712" s="72"/>
      <c r="G712" s="72"/>
      <c r="J712" s="72"/>
      <c r="M712" s="72"/>
      <c r="P712" s="72"/>
      <c r="S712" s="72"/>
      <c r="V712" s="72"/>
      <c r="Y712" s="72"/>
      <c r="AB712" s="72"/>
      <c r="AE712" s="72"/>
      <c r="AH712" s="72"/>
      <c r="AK712" s="72"/>
      <c r="AN712" s="72"/>
      <c r="AQ712" s="72"/>
      <c r="AT712" s="72"/>
      <c r="AW712" s="72"/>
      <c r="AZ712" s="72"/>
    </row>
    <row r="713" spans="1:52">
      <c r="A713" s="131"/>
      <c r="B713" s="72"/>
      <c r="D713" s="72"/>
      <c r="G713" s="72"/>
      <c r="J713" s="72"/>
      <c r="M713" s="72"/>
      <c r="P713" s="72"/>
      <c r="S713" s="72"/>
      <c r="V713" s="72"/>
      <c r="Y713" s="72"/>
      <c r="AB713" s="72"/>
      <c r="AE713" s="72"/>
      <c r="AH713" s="72"/>
      <c r="AK713" s="72"/>
      <c r="AN713" s="72"/>
      <c r="AQ713" s="72"/>
      <c r="AT713" s="72"/>
      <c r="AW713" s="72"/>
      <c r="AZ713" s="72"/>
    </row>
    <row r="714" spans="1:52">
      <c r="A714" s="131"/>
      <c r="B714" s="72"/>
      <c r="D714" s="72"/>
      <c r="G714" s="72"/>
      <c r="J714" s="72"/>
      <c r="M714" s="72"/>
      <c r="P714" s="72"/>
      <c r="S714" s="72"/>
      <c r="V714" s="72"/>
      <c r="Y714" s="72"/>
      <c r="AB714" s="72"/>
      <c r="AE714" s="72"/>
      <c r="AH714" s="72"/>
      <c r="AK714" s="72"/>
      <c r="AN714" s="72"/>
      <c r="AQ714" s="72"/>
      <c r="AT714" s="72"/>
      <c r="AW714" s="72"/>
      <c r="AZ714" s="72"/>
    </row>
    <row r="715" spans="1:52">
      <c r="A715" s="131"/>
      <c r="B715" s="72"/>
      <c r="D715" s="72"/>
      <c r="G715" s="72"/>
      <c r="J715" s="72"/>
      <c r="M715" s="72"/>
      <c r="P715" s="72"/>
      <c r="S715" s="72"/>
      <c r="V715" s="72"/>
      <c r="Y715" s="72"/>
      <c r="AB715" s="72"/>
      <c r="AE715" s="72"/>
      <c r="AH715" s="72"/>
      <c r="AK715" s="72"/>
      <c r="AN715" s="72"/>
      <c r="AQ715" s="72"/>
      <c r="AT715" s="72"/>
      <c r="AW715" s="72"/>
      <c r="AZ715" s="72"/>
    </row>
    <row r="716" spans="1:52">
      <c r="A716" s="131"/>
      <c r="B716" s="72"/>
      <c r="D716" s="72"/>
      <c r="G716" s="72"/>
      <c r="J716" s="72"/>
      <c r="M716" s="72"/>
      <c r="P716" s="72"/>
      <c r="S716" s="72"/>
      <c r="V716" s="72"/>
      <c r="Y716" s="72"/>
      <c r="AB716" s="72"/>
      <c r="AE716" s="72"/>
      <c r="AH716" s="72"/>
      <c r="AK716" s="72"/>
      <c r="AN716" s="72"/>
      <c r="AQ716" s="72"/>
      <c r="AT716" s="72"/>
      <c r="AW716" s="72"/>
      <c r="AZ716" s="72"/>
    </row>
    <row r="717" spans="1:52">
      <c r="A717" s="131"/>
      <c r="B717" s="72"/>
      <c r="D717" s="72"/>
      <c r="G717" s="72"/>
      <c r="J717" s="72"/>
      <c r="M717" s="72"/>
      <c r="P717" s="72"/>
      <c r="S717" s="72"/>
      <c r="V717" s="72"/>
      <c r="Y717" s="72"/>
      <c r="AB717" s="72"/>
      <c r="AE717" s="72"/>
      <c r="AH717" s="72"/>
      <c r="AK717" s="72"/>
      <c r="AN717" s="72"/>
      <c r="AQ717" s="72"/>
      <c r="AT717" s="72"/>
      <c r="AW717" s="72"/>
      <c r="AZ717" s="72"/>
    </row>
    <row r="718" spans="1:52">
      <c r="A718" s="131"/>
      <c r="B718" s="72"/>
      <c r="D718" s="72"/>
      <c r="G718" s="72"/>
      <c r="J718" s="72"/>
      <c r="M718" s="72"/>
      <c r="P718" s="72"/>
      <c r="S718" s="72"/>
      <c r="V718" s="72"/>
      <c r="Y718" s="72"/>
      <c r="AB718" s="72"/>
      <c r="AE718" s="72"/>
      <c r="AH718" s="72"/>
      <c r="AK718" s="72"/>
      <c r="AN718" s="72"/>
      <c r="AQ718" s="72"/>
      <c r="AT718" s="72"/>
      <c r="AW718" s="72"/>
      <c r="AZ718" s="72"/>
    </row>
    <row r="719" spans="1:52">
      <c r="A719" s="131"/>
      <c r="B719" s="72"/>
      <c r="D719" s="72"/>
      <c r="G719" s="72"/>
      <c r="J719" s="72"/>
      <c r="M719" s="72"/>
      <c r="P719" s="72"/>
      <c r="S719" s="72"/>
      <c r="V719" s="72"/>
      <c r="Y719" s="72"/>
      <c r="AB719" s="72"/>
      <c r="AE719" s="72"/>
      <c r="AH719" s="72"/>
      <c r="AK719" s="72"/>
      <c r="AN719" s="72"/>
      <c r="AQ719" s="72"/>
      <c r="AT719" s="72"/>
      <c r="AW719" s="72"/>
      <c r="AZ719" s="72"/>
    </row>
    <row r="720" spans="1:52">
      <c r="A720" s="131"/>
      <c r="B720" s="72"/>
      <c r="D720" s="72"/>
      <c r="G720" s="72"/>
      <c r="J720" s="72"/>
      <c r="M720" s="72"/>
      <c r="P720" s="72"/>
      <c r="S720" s="72"/>
      <c r="V720" s="72"/>
      <c r="Y720" s="72"/>
      <c r="AB720" s="72"/>
      <c r="AE720" s="72"/>
      <c r="AH720" s="72"/>
      <c r="AK720" s="72"/>
      <c r="AN720" s="72"/>
      <c r="AQ720" s="72"/>
      <c r="AT720" s="72"/>
      <c r="AW720" s="72"/>
      <c r="AZ720" s="72"/>
    </row>
    <row r="721" spans="1:52">
      <c r="A721" s="131"/>
      <c r="B721" s="72"/>
      <c r="D721" s="72"/>
      <c r="G721" s="72"/>
      <c r="J721" s="72"/>
      <c r="M721" s="72"/>
      <c r="P721" s="72"/>
      <c r="S721" s="72"/>
      <c r="V721" s="72"/>
      <c r="Y721" s="72"/>
      <c r="AB721" s="72"/>
      <c r="AE721" s="72"/>
      <c r="AH721" s="72"/>
      <c r="AK721" s="72"/>
      <c r="AN721" s="72"/>
      <c r="AQ721" s="72"/>
      <c r="AT721" s="72"/>
      <c r="AW721" s="72"/>
      <c r="AZ721" s="72"/>
    </row>
    <row r="722" spans="1:52">
      <c r="A722" s="131"/>
      <c r="B722" s="72"/>
      <c r="D722" s="72"/>
      <c r="G722" s="72"/>
      <c r="J722" s="72"/>
      <c r="M722" s="72"/>
      <c r="P722" s="72"/>
      <c r="S722" s="72"/>
      <c r="V722" s="72"/>
      <c r="Y722" s="72"/>
      <c r="AB722" s="72"/>
      <c r="AE722" s="72"/>
      <c r="AH722" s="72"/>
      <c r="AK722" s="72"/>
      <c r="AN722" s="72"/>
      <c r="AQ722" s="72"/>
      <c r="AT722" s="72"/>
      <c r="AW722" s="72"/>
      <c r="AZ722" s="72"/>
    </row>
    <row r="723" spans="1:52">
      <c r="A723" s="131"/>
      <c r="B723" s="72"/>
      <c r="D723" s="72"/>
      <c r="G723" s="72"/>
      <c r="J723" s="72"/>
      <c r="M723" s="72"/>
      <c r="P723" s="72"/>
      <c r="S723" s="72"/>
      <c r="V723" s="72"/>
      <c r="Y723" s="72"/>
      <c r="AB723" s="72"/>
      <c r="AE723" s="72"/>
      <c r="AH723" s="72"/>
      <c r="AK723" s="72"/>
      <c r="AN723" s="72"/>
      <c r="AQ723" s="72"/>
      <c r="AT723" s="72"/>
      <c r="AW723" s="72"/>
      <c r="AZ723" s="72"/>
    </row>
    <row r="724" spans="1:52">
      <c r="A724" s="131"/>
      <c r="B724" s="72"/>
      <c r="D724" s="72"/>
      <c r="G724" s="72"/>
      <c r="J724" s="72"/>
      <c r="M724" s="72"/>
      <c r="P724" s="72"/>
      <c r="S724" s="72"/>
      <c r="V724" s="72"/>
      <c r="Y724" s="72"/>
      <c r="AB724" s="72"/>
      <c r="AE724" s="72"/>
      <c r="AH724" s="72"/>
      <c r="AK724" s="72"/>
      <c r="AN724" s="72"/>
      <c r="AQ724" s="72"/>
      <c r="AT724" s="72"/>
      <c r="AW724" s="72"/>
      <c r="AZ724" s="72"/>
    </row>
    <row r="725" spans="1:52">
      <c r="A725" s="131"/>
      <c r="B725" s="72"/>
      <c r="D725" s="72"/>
      <c r="G725" s="72"/>
      <c r="J725" s="72"/>
      <c r="M725" s="72"/>
      <c r="P725" s="72"/>
      <c r="S725" s="72"/>
      <c r="V725" s="72"/>
      <c r="Y725" s="72"/>
      <c r="AB725" s="72"/>
      <c r="AE725" s="72"/>
      <c r="AH725" s="72"/>
      <c r="AK725" s="72"/>
      <c r="AN725" s="72"/>
      <c r="AQ725" s="72"/>
      <c r="AT725" s="72"/>
      <c r="AW725" s="72"/>
      <c r="AZ725" s="72"/>
    </row>
    <row r="726" spans="1:52">
      <c r="A726" s="131"/>
      <c r="B726" s="72"/>
      <c r="D726" s="72"/>
      <c r="G726" s="72"/>
      <c r="J726" s="72"/>
      <c r="M726" s="72"/>
      <c r="P726" s="72"/>
      <c r="S726" s="72"/>
      <c r="V726" s="72"/>
      <c r="Y726" s="72"/>
      <c r="AB726" s="72"/>
      <c r="AE726" s="72"/>
      <c r="AH726" s="72"/>
      <c r="AK726" s="72"/>
      <c r="AN726" s="72"/>
      <c r="AQ726" s="72"/>
      <c r="AT726" s="72"/>
      <c r="AW726" s="72"/>
      <c r="AZ726" s="72"/>
    </row>
    <row r="727" spans="1:52">
      <c r="A727" s="131"/>
      <c r="B727" s="72"/>
      <c r="D727" s="72"/>
      <c r="G727" s="72"/>
      <c r="J727" s="72"/>
      <c r="M727" s="72"/>
      <c r="P727" s="72"/>
      <c r="S727" s="72"/>
      <c r="V727" s="72"/>
      <c r="Y727" s="72"/>
      <c r="AB727" s="72"/>
      <c r="AE727" s="72"/>
      <c r="AH727" s="72"/>
      <c r="AK727" s="72"/>
      <c r="AN727" s="72"/>
      <c r="AQ727" s="72"/>
      <c r="AT727" s="72"/>
      <c r="AW727" s="72"/>
      <c r="AZ727" s="72"/>
    </row>
    <row r="728" spans="1:52">
      <c r="A728" s="131"/>
      <c r="B728" s="72"/>
      <c r="D728" s="72"/>
      <c r="G728" s="72"/>
      <c r="J728" s="72"/>
      <c r="M728" s="72"/>
      <c r="P728" s="72"/>
      <c r="S728" s="72"/>
      <c r="V728" s="72"/>
      <c r="Y728" s="72"/>
      <c r="AB728" s="72"/>
      <c r="AE728" s="72"/>
      <c r="AH728" s="72"/>
      <c r="AK728" s="72"/>
      <c r="AN728" s="72"/>
      <c r="AQ728" s="72"/>
      <c r="AT728" s="72"/>
      <c r="AW728" s="72"/>
      <c r="AZ728" s="72"/>
    </row>
    <row r="729" spans="1:52">
      <c r="A729" s="131"/>
      <c r="B729" s="72"/>
      <c r="D729" s="72"/>
      <c r="G729" s="72"/>
      <c r="J729" s="72"/>
      <c r="M729" s="72"/>
      <c r="P729" s="72"/>
      <c r="S729" s="72"/>
      <c r="V729" s="72"/>
      <c r="Y729" s="72"/>
      <c r="AB729" s="72"/>
      <c r="AE729" s="72"/>
      <c r="AH729" s="72"/>
      <c r="AK729" s="72"/>
      <c r="AN729" s="72"/>
      <c r="AQ729" s="72"/>
      <c r="AT729" s="72"/>
      <c r="AW729" s="72"/>
      <c r="AZ729" s="72"/>
    </row>
    <row r="730" spans="1:52">
      <c r="A730" s="131"/>
      <c r="B730" s="72"/>
      <c r="D730" s="72"/>
      <c r="G730" s="72"/>
      <c r="J730" s="72"/>
      <c r="M730" s="72"/>
      <c r="P730" s="72"/>
      <c r="S730" s="72"/>
      <c r="V730" s="72"/>
      <c r="Y730" s="72"/>
      <c r="AB730" s="72"/>
      <c r="AE730" s="72"/>
      <c r="AH730" s="72"/>
      <c r="AK730" s="72"/>
      <c r="AN730" s="72"/>
      <c r="AQ730" s="72"/>
      <c r="AT730" s="72"/>
      <c r="AW730" s="72"/>
      <c r="AZ730" s="72"/>
    </row>
    <row r="731" spans="1:52">
      <c r="A731" s="131"/>
      <c r="B731" s="72"/>
      <c r="D731" s="72"/>
      <c r="G731" s="72"/>
      <c r="J731" s="72"/>
      <c r="M731" s="72"/>
      <c r="P731" s="72"/>
      <c r="S731" s="72"/>
      <c r="V731" s="72"/>
      <c r="Y731" s="72"/>
      <c r="AB731" s="72"/>
      <c r="AE731" s="72"/>
      <c r="AH731" s="72"/>
      <c r="AK731" s="72"/>
      <c r="AN731" s="72"/>
      <c r="AQ731" s="72"/>
      <c r="AT731" s="72"/>
      <c r="AW731" s="72"/>
      <c r="AZ731" s="72"/>
    </row>
    <row r="732" spans="1:52">
      <c r="A732" s="131"/>
      <c r="B732" s="72"/>
      <c r="D732" s="72"/>
      <c r="G732" s="72"/>
      <c r="J732" s="72"/>
      <c r="M732" s="72"/>
      <c r="P732" s="72"/>
      <c r="S732" s="72"/>
      <c r="V732" s="72"/>
      <c r="Y732" s="72"/>
      <c r="AB732" s="72"/>
      <c r="AE732" s="72"/>
      <c r="AH732" s="72"/>
      <c r="AK732" s="72"/>
      <c r="AN732" s="72"/>
      <c r="AQ732" s="72"/>
      <c r="AT732" s="72"/>
      <c r="AW732" s="72"/>
      <c r="AZ732" s="72"/>
    </row>
    <row r="733" spans="1:52">
      <c r="A733" s="131"/>
      <c r="B733" s="72"/>
      <c r="D733" s="72"/>
      <c r="G733" s="72"/>
      <c r="J733" s="72"/>
      <c r="M733" s="72"/>
      <c r="P733" s="72"/>
      <c r="S733" s="72"/>
      <c r="V733" s="72"/>
      <c r="Y733" s="72"/>
      <c r="AB733" s="72"/>
      <c r="AE733" s="72"/>
      <c r="AH733" s="72"/>
      <c r="AK733" s="72"/>
      <c r="AN733" s="72"/>
      <c r="AQ733" s="72"/>
      <c r="AT733" s="72"/>
      <c r="AW733" s="72"/>
      <c r="AZ733" s="72"/>
    </row>
    <row r="734" spans="1:52">
      <c r="A734" s="131"/>
      <c r="B734" s="72"/>
      <c r="D734" s="72"/>
      <c r="G734" s="72"/>
      <c r="J734" s="72"/>
      <c r="M734" s="72"/>
      <c r="P734" s="72"/>
      <c r="S734" s="72"/>
      <c r="V734" s="72"/>
      <c r="Y734" s="72"/>
      <c r="AB734" s="72"/>
      <c r="AE734" s="72"/>
      <c r="AH734" s="72"/>
      <c r="AK734" s="72"/>
      <c r="AN734" s="72"/>
      <c r="AQ734" s="72"/>
      <c r="AT734" s="72"/>
      <c r="AW734" s="72"/>
      <c r="AZ734" s="72"/>
    </row>
    <row r="735" spans="1:52">
      <c r="A735" s="131"/>
      <c r="B735" s="72"/>
      <c r="D735" s="72"/>
      <c r="G735" s="72"/>
      <c r="J735" s="72"/>
      <c r="M735" s="72"/>
      <c r="P735" s="72"/>
      <c r="S735" s="72"/>
      <c r="V735" s="72"/>
      <c r="Y735" s="72"/>
      <c r="AB735" s="72"/>
      <c r="AE735" s="72"/>
      <c r="AH735" s="72"/>
      <c r="AK735" s="72"/>
      <c r="AN735" s="72"/>
      <c r="AQ735" s="72"/>
      <c r="AT735" s="72"/>
      <c r="AW735" s="72"/>
      <c r="AZ735" s="72"/>
    </row>
    <row r="736" spans="1:52">
      <c r="A736" s="131"/>
      <c r="B736" s="72"/>
      <c r="D736" s="72"/>
      <c r="G736" s="72"/>
      <c r="J736" s="72"/>
      <c r="M736" s="72"/>
      <c r="P736" s="72"/>
      <c r="S736" s="72"/>
      <c r="V736" s="72"/>
      <c r="Y736" s="72"/>
      <c r="AB736" s="72"/>
      <c r="AE736" s="72"/>
      <c r="AH736" s="72"/>
      <c r="AK736" s="72"/>
      <c r="AN736" s="72"/>
      <c r="AQ736" s="72"/>
      <c r="AT736" s="72"/>
      <c r="AW736" s="72"/>
      <c r="AZ736" s="72"/>
    </row>
    <row r="737" spans="1:52">
      <c r="A737" s="131"/>
      <c r="B737" s="72"/>
      <c r="D737" s="72"/>
      <c r="G737" s="72"/>
      <c r="J737" s="72"/>
      <c r="M737" s="72"/>
      <c r="P737" s="72"/>
      <c r="S737" s="72"/>
      <c r="V737" s="72"/>
      <c r="Y737" s="72"/>
      <c r="AB737" s="72"/>
      <c r="AE737" s="72"/>
      <c r="AH737" s="72"/>
      <c r="AK737" s="72"/>
      <c r="AN737" s="72"/>
      <c r="AQ737" s="72"/>
      <c r="AT737" s="72"/>
      <c r="AW737" s="72"/>
      <c r="AZ737" s="72"/>
    </row>
    <row r="738" spans="1:52">
      <c r="A738" s="131"/>
      <c r="B738" s="72"/>
      <c r="D738" s="72"/>
      <c r="G738" s="72"/>
      <c r="J738" s="72"/>
      <c r="M738" s="72"/>
      <c r="P738" s="72"/>
      <c r="S738" s="72"/>
      <c r="V738" s="72"/>
      <c r="Y738" s="72"/>
      <c r="AB738" s="72"/>
      <c r="AE738" s="72"/>
      <c r="AH738" s="72"/>
      <c r="AK738" s="72"/>
      <c r="AN738" s="72"/>
      <c r="AQ738" s="72"/>
      <c r="AT738" s="72"/>
      <c r="AW738" s="72"/>
      <c r="AZ738" s="72"/>
    </row>
    <row r="739" spans="1:52">
      <c r="A739" s="131"/>
      <c r="B739" s="72"/>
      <c r="D739" s="72"/>
      <c r="G739" s="72"/>
      <c r="J739" s="72"/>
      <c r="M739" s="72"/>
      <c r="P739" s="72"/>
      <c r="S739" s="72"/>
      <c r="V739" s="72"/>
      <c r="Y739" s="72"/>
      <c r="AB739" s="72"/>
      <c r="AE739" s="72"/>
      <c r="AH739" s="72"/>
      <c r="AK739" s="72"/>
      <c r="AN739" s="72"/>
      <c r="AQ739" s="72"/>
      <c r="AT739" s="72"/>
      <c r="AW739" s="72"/>
      <c r="AZ739" s="72"/>
    </row>
    <row r="740" spans="1:52">
      <c r="A740" s="131"/>
      <c r="B740" s="72"/>
      <c r="D740" s="72"/>
      <c r="G740" s="72"/>
      <c r="J740" s="72"/>
      <c r="M740" s="72"/>
      <c r="P740" s="72"/>
      <c r="S740" s="72"/>
      <c r="V740" s="72"/>
      <c r="Y740" s="72"/>
      <c r="AB740" s="72"/>
      <c r="AE740" s="72"/>
      <c r="AH740" s="72"/>
      <c r="AK740" s="72"/>
      <c r="AN740" s="72"/>
      <c r="AQ740" s="72"/>
      <c r="AT740" s="72"/>
      <c r="AW740" s="72"/>
      <c r="AZ740" s="72"/>
    </row>
    <row r="741" spans="1:52">
      <c r="A741" s="131"/>
      <c r="B741" s="72"/>
      <c r="D741" s="72"/>
      <c r="G741" s="72"/>
      <c r="J741" s="72"/>
      <c r="M741" s="72"/>
      <c r="P741" s="72"/>
      <c r="S741" s="72"/>
      <c r="V741" s="72"/>
      <c r="Y741" s="72"/>
      <c r="AB741" s="72"/>
      <c r="AE741" s="72"/>
      <c r="AH741" s="72"/>
      <c r="AK741" s="72"/>
      <c r="AN741" s="72"/>
      <c r="AQ741" s="72"/>
      <c r="AT741" s="72"/>
      <c r="AW741" s="72"/>
      <c r="AZ741" s="72"/>
    </row>
    <row r="742" spans="1:52">
      <c r="A742" s="131"/>
      <c r="B742" s="72"/>
      <c r="D742" s="72"/>
      <c r="G742" s="72"/>
      <c r="J742" s="72"/>
      <c r="M742" s="72"/>
      <c r="P742" s="72"/>
      <c r="S742" s="72"/>
      <c r="V742" s="72"/>
      <c r="Y742" s="72"/>
      <c r="AB742" s="72"/>
      <c r="AE742" s="72"/>
      <c r="AH742" s="72"/>
      <c r="AK742" s="72"/>
      <c r="AN742" s="72"/>
      <c r="AQ742" s="72"/>
      <c r="AT742" s="72"/>
      <c r="AW742" s="72"/>
      <c r="AZ742" s="72"/>
    </row>
    <row r="743" spans="1:52">
      <c r="A743" s="131"/>
      <c r="B743" s="72"/>
      <c r="D743" s="72"/>
      <c r="G743" s="72"/>
      <c r="J743" s="72"/>
      <c r="M743" s="72"/>
      <c r="P743" s="72"/>
      <c r="S743" s="72"/>
      <c r="V743" s="72"/>
      <c r="Y743" s="72"/>
      <c r="AB743" s="72"/>
      <c r="AE743" s="72"/>
      <c r="AH743" s="72"/>
      <c r="AK743" s="72"/>
      <c r="AN743" s="72"/>
      <c r="AQ743" s="72"/>
      <c r="AT743" s="72"/>
      <c r="AW743" s="72"/>
      <c r="AZ743" s="72"/>
    </row>
    <row r="744" spans="1:52">
      <c r="A744" s="131"/>
      <c r="B744" s="72"/>
      <c r="D744" s="72"/>
      <c r="G744" s="72"/>
      <c r="J744" s="72"/>
      <c r="M744" s="72"/>
      <c r="P744" s="72"/>
      <c r="S744" s="72"/>
      <c r="V744" s="72"/>
      <c r="Y744" s="72"/>
      <c r="AB744" s="72"/>
      <c r="AE744" s="72"/>
      <c r="AH744" s="72"/>
      <c r="AK744" s="72"/>
      <c r="AN744" s="72"/>
      <c r="AQ744" s="72"/>
      <c r="AT744" s="72"/>
      <c r="AW744" s="72"/>
      <c r="AZ744" s="72"/>
    </row>
    <row r="745" spans="1:52">
      <c r="A745" s="131"/>
      <c r="B745" s="72"/>
      <c r="D745" s="72"/>
      <c r="G745" s="72"/>
      <c r="J745" s="72"/>
      <c r="M745" s="72"/>
      <c r="P745" s="72"/>
      <c r="S745" s="72"/>
      <c r="V745" s="72"/>
      <c r="Y745" s="72"/>
      <c r="AB745" s="72"/>
      <c r="AE745" s="72"/>
      <c r="AH745" s="72"/>
      <c r="AK745" s="72"/>
      <c r="AN745" s="72"/>
      <c r="AQ745" s="72"/>
      <c r="AT745" s="72"/>
      <c r="AW745" s="72"/>
      <c r="AZ745" s="72"/>
    </row>
    <row r="746" spans="1:52">
      <c r="A746" s="131"/>
      <c r="B746" s="72"/>
      <c r="D746" s="72"/>
      <c r="G746" s="72"/>
      <c r="J746" s="72"/>
      <c r="M746" s="72"/>
      <c r="P746" s="72"/>
      <c r="S746" s="72"/>
      <c r="V746" s="72"/>
      <c r="Y746" s="72"/>
      <c r="AB746" s="72"/>
      <c r="AE746" s="72"/>
      <c r="AH746" s="72"/>
      <c r="AK746" s="72"/>
      <c r="AN746" s="72"/>
      <c r="AQ746" s="72"/>
      <c r="AT746" s="72"/>
      <c r="AW746" s="72"/>
      <c r="AZ746" s="72"/>
    </row>
    <row r="747" spans="1:52">
      <c r="A747" s="131"/>
      <c r="B747" s="72"/>
      <c r="D747" s="72"/>
      <c r="G747" s="72"/>
      <c r="J747" s="72"/>
      <c r="M747" s="72"/>
      <c r="P747" s="72"/>
      <c r="S747" s="72"/>
      <c r="V747" s="72"/>
      <c r="Y747" s="72"/>
      <c r="AB747" s="72"/>
      <c r="AE747" s="72"/>
      <c r="AH747" s="72"/>
      <c r="AK747" s="72"/>
      <c r="AN747" s="72"/>
      <c r="AQ747" s="72"/>
      <c r="AT747" s="72"/>
      <c r="AW747" s="72"/>
      <c r="AZ747" s="72"/>
    </row>
    <row r="748" spans="1:52">
      <c r="A748" s="131"/>
      <c r="B748" s="72"/>
      <c r="D748" s="72"/>
      <c r="G748" s="72"/>
      <c r="J748" s="72"/>
      <c r="M748" s="72"/>
      <c r="P748" s="72"/>
      <c r="S748" s="72"/>
      <c r="V748" s="72"/>
      <c r="Y748" s="72"/>
      <c r="AB748" s="72"/>
      <c r="AE748" s="72"/>
      <c r="AH748" s="72"/>
      <c r="AK748" s="72"/>
      <c r="AN748" s="72"/>
      <c r="AQ748" s="72"/>
      <c r="AT748" s="72"/>
      <c r="AW748" s="72"/>
      <c r="AZ748" s="72"/>
    </row>
    <row r="749" spans="1:52">
      <c r="A749" s="131"/>
      <c r="B749" s="72"/>
      <c r="D749" s="72"/>
      <c r="G749" s="72"/>
      <c r="J749" s="72"/>
      <c r="M749" s="72"/>
      <c r="P749" s="72"/>
      <c r="S749" s="72"/>
      <c r="V749" s="72"/>
      <c r="Y749" s="72"/>
      <c r="AB749" s="72"/>
      <c r="AE749" s="72"/>
      <c r="AH749" s="72"/>
      <c r="AK749" s="72"/>
      <c r="AN749" s="72"/>
      <c r="AQ749" s="72"/>
      <c r="AT749" s="72"/>
      <c r="AW749" s="72"/>
      <c r="AZ749" s="72"/>
    </row>
    <row r="750" spans="1:52">
      <c r="A750" s="131"/>
      <c r="B750" s="72"/>
      <c r="D750" s="72"/>
      <c r="G750" s="72"/>
      <c r="J750" s="72"/>
      <c r="M750" s="72"/>
      <c r="P750" s="72"/>
      <c r="S750" s="72"/>
      <c r="V750" s="72"/>
      <c r="Y750" s="72"/>
      <c r="AB750" s="72"/>
      <c r="AE750" s="72"/>
      <c r="AH750" s="72"/>
      <c r="AK750" s="72"/>
      <c r="AN750" s="72"/>
      <c r="AQ750" s="72"/>
      <c r="AT750" s="72"/>
      <c r="AW750" s="72"/>
      <c r="AZ750" s="72"/>
    </row>
    <row r="751" spans="1:52">
      <c r="A751" s="131"/>
      <c r="B751" s="72"/>
      <c r="D751" s="72"/>
      <c r="G751" s="72"/>
      <c r="J751" s="72"/>
      <c r="M751" s="72"/>
      <c r="P751" s="72"/>
      <c r="S751" s="72"/>
      <c r="V751" s="72"/>
      <c r="Y751" s="72"/>
      <c r="AB751" s="72"/>
      <c r="AE751" s="72"/>
      <c r="AH751" s="72"/>
      <c r="AK751" s="72"/>
      <c r="AN751" s="72"/>
      <c r="AQ751" s="72"/>
      <c r="AT751" s="72"/>
      <c r="AW751" s="72"/>
      <c r="AZ751" s="72"/>
    </row>
    <row r="752" spans="1:52">
      <c r="A752" s="131"/>
      <c r="B752" s="72"/>
      <c r="D752" s="72"/>
      <c r="G752" s="72"/>
      <c r="J752" s="72"/>
      <c r="M752" s="72"/>
      <c r="P752" s="72"/>
      <c r="S752" s="72"/>
      <c r="V752" s="72"/>
      <c r="Y752" s="72"/>
      <c r="AB752" s="72"/>
      <c r="AE752" s="72"/>
      <c r="AH752" s="72"/>
      <c r="AK752" s="72"/>
      <c r="AN752" s="72"/>
      <c r="AQ752" s="72"/>
      <c r="AT752" s="72"/>
      <c r="AW752" s="72"/>
      <c r="AZ752" s="72"/>
    </row>
    <row r="753" spans="1:52">
      <c r="A753" s="131"/>
      <c r="B753" s="72"/>
      <c r="D753" s="72"/>
      <c r="G753" s="72"/>
      <c r="J753" s="72"/>
      <c r="M753" s="72"/>
      <c r="P753" s="72"/>
      <c r="S753" s="72"/>
      <c r="V753" s="72"/>
      <c r="Y753" s="72"/>
      <c r="AB753" s="72"/>
      <c r="AE753" s="72"/>
      <c r="AH753" s="72"/>
      <c r="AK753" s="72"/>
      <c r="AN753" s="72"/>
      <c r="AQ753" s="72"/>
      <c r="AT753" s="72"/>
      <c r="AW753" s="72"/>
      <c r="AZ753" s="72"/>
    </row>
    <row r="754" spans="1:52">
      <c r="A754" s="131"/>
      <c r="B754" s="72"/>
      <c r="D754" s="72"/>
      <c r="G754" s="72"/>
      <c r="J754" s="72"/>
      <c r="M754" s="72"/>
      <c r="P754" s="72"/>
      <c r="S754" s="72"/>
      <c r="V754" s="72"/>
      <c r="Y754" s="72"/>
      <c r="AB754" s="72"/>
      <c r="AE754" s="72"/>
      <c r="AH754" s="72"/>
      <c r="AK754" s="72"/>
      <c r="AN754" s="72"/>
      <c r="AQ754" s="72"/>
      <c r="AT754" s="72"/>
      <c r="AW754" s="72"/>
      <c r="AZ754" s="72"/>
    </row>
    <row r="755" spans="1:52">
      <c r="A755" s="131"/>
      <c r="B755" s="72"/>
      <c r="D755" s="72"/>
      <c r="G755" s="72"/>
      <c r="J755" s="72"/>
      <c r="M755" s="72"/>
      <c r="P755" s="72"/>
      <c r="S755" s="72"/>
      <c r="V755" s="72"/>
      <c r="Y755" s="72"/>
      <c r="AB755" s="72"/>
      <c r="AE755" s="72"/>
      <c r="AH755" s="72"/>
      <c r="AK755" s="72"/>
      <c r="AN755" s="72"/>
      <c r="AQ755" s="72"/>
      <c r="AT755" s="72"/>
      <c r="AW755" s="72"/>
      <c r="AZ755" s="72"/>
    </row>
    <row r="756" spans="1:52">
      <c r="A756" s="131"/>
      <c r="B756" s="72"/>
      <c r="D756" s="72"/>
      <c r="G756" s="72"/>
      <c r="J756" s="72"/>
      <c r="M756" s="72"/>
      <c r="P756" s="72"/>
      <c r="S756" s="72"/>
      <c r="V756" s="72"/>
      <c r="Y756" s="72"/>
      <c r="AB756" s="72"/>
      <c r="AE756" s="72"/>
      <c r="AH756" s="72"/>
      <c r="AK756" s="72"/>
      <c r="AN756" s="72"/>
      <c r="AQ756" s="72"/>
      <c r="AT756" s="72"/>
      <c r="AW756" s="72"/>
      <c r="AZ756" s="72"/>
    </row>
    <row r="757" spans="1:52">
      <c r="A757" s="131"/>
      <c r="B757" s="72"/>
      <c r="D757" s="72"/>
      <c r="G757" s="72"/>
      <c r="J757" s="72"/>
      <c r="M757" s="72"/>
      <c r="P757" s="72"/>
      <c r="S757" s="72"/>
      <c r="V757" s="72"/>
      <c r="Y757" s="72"/>
      <c r="AB757" s="72"/>
      <c r="AE757" s="72"/>
      <c r="AH757" s="72"/>
      <c r="AK757" s="72"/>
      <c r="AN757" s="72"/>
      <c r="AQ757" s="72"/>
      <c r="AT757" s="72"/>
      <c r="AW757" s="72"/>
      <c r="AZ757" s="72"/>
    </row>
    <row r="758" spans="1:52">
      <c r="A758" s="131"/>
      <c r="B758" s="72"/>
      <c r="D758" s="72"/>
      <c r="G758" s="72"/>
      <c r="J758" s="72"/>
      <c r="M758" s="72"/>
      <c r="P758" s="72"/>
      <c r="S758" s="72"/>
      <c r="V758" s="72"/>
      <c r="Y758" s="72"/>
      <c r="AB758" s="72"/>
      <c r="AE758" s="72"/>
      <c r="AH758" s="72"/>
      <c r="AK758" s="72"/>
      <c r="AN758" s="72"/>
      <c r="AQ758" s="72"/>
      <c r="AT758" s="72"/>
      <c r="AW758" s="72"/>
      <c r="AZ758" s="72"/>
    </row>
    <row r="759" spans="1:52">
      <c r="A759" s="131"/>
      <c r="B759" s="72"/>
      <c r="D759" s="72"/>
      <c r="G759" s="72"/>
      <c r="J759" s="72"/>
      <c r="M759" s="72"/>
      <c r="P759" s="72"/>
      <c r="S759" s="72"/>
      <c r="V759" s="72"/>
      <c r="Y759" s="72"/>
      <c r="AB759" s="72"/>
      <c r="AE759" s="72"/>
      <c r="AH759" s="72"/>
      <c r="AK759" s="72"/>
      <c r="AN759" s="72"/>
      <c r="AQ759" s="72"/>
      <c r="AT759" s="72"/>
      <c r="AW759" s="72"/>
      <c r="AZ759" s="72"/>
    </row>
    <row r="760" spans="1:52">
      <c r="A760" s="131"/>
      <c r="B760" s="72"/>
      <c r="D760" s="72"/>
      <c r="G760" s="72"/>
      <c r="J760" s="72"/>
      <c r="M760" s="72"/>
      <c r="P760" s="72"/>
      <c r="S760" s="72"/>
      <c r="V760" s="72"/>
      <c r="Y760" s="72"/>
      <c r="AB760" s="72"/>
      <c r="AE760" s="72"/>
      <c r="AH760" s="72"/>
      <c r="AK760" s="72"/>
      <c r="AN760" s="72"/>
      <c r="AQ760" s="72"/>
      <c r="AT760" s="72"/>
      <c r="AW760" s="72"/>
      <c r="AZ760" s="72"/>
    </row>
    <row r="761" spans="1:52">
      <c r="A761" s="131"/>
      <c r="B761" s="72"/>
      <c r="D761" s="72"/>
      <c r="G761" s="72"/>
      <c r="J761" s="72"/>
      <c r="M761" s="72"/>
      <c r="P761" s="72"/>
      <c r="S761" s="72"/>
      <c r="V761" s="72"/>
      <c r="Y761" s="72"/>
      <c r="AB761" s="72"/>
      <c r="AE761" s="72"/>
      <c r="AH761" s="72"/>
      <c r="AK761" s="72"/>
      <c r="AN761" s="72"/>
      <c r="AQ761" s="72"/>
      <c r="AT761" s="72"/>
      <c r="AW761" s="72"/>
      <c r="AZ761" s="72"/>
    </row>
    <row r="762" spans="1:52">
      <c r="A762" s="131"/>
      <c r="B762" s="72"/>
      <c r="D762" s="72"/>
      <c r="G762" s="72"/>
      <c r="J762" s="72"/>
      <c r="M762" s="72"/>
      <c r="P762" s="72"/>
      <c r="S762" s="72"/>
      <c r="V762" s="72"/>
      <c r="Y762" s="72"/>
      <c r="AB762" s="72"/>
      <c r="AE762" s="72"/>
      <c r="AH762" s="72"/>
      <c r="AK762" s="72"/>
      <c r="AN762" s="72"/>
      <c r="AQ762" s="72"/>
      <c r="AT762" s="72"/>
      <c r="AW762" s="72"/>
      <c r="AZ762" s="72"/>
    </row>
    <row r="763" spans="1:52">
      <c r="A763" s="131"/>
      <c r="B763" s="72"/>
      <c r="D763" s="72"/>
      <c r="G763" s="72"/>
      <c r="J763" s="72"/>
      <c r="M763" s="72"/>
      <c r="P763" s="72"/>
      <c r="S763" s="72"/>
      <c r="V763" s="72"/>
      <c r="Y763" s="72"/>
      <c r="AB763" s="72"/>
      <c r="AE763" s="72"/>
      <c r="AH763" s="72"/>
      <c r="AK763" s="72"/>
      <c r="AN763" s="72"/>
      <c r="AQ763" s="72"/>
      <c r="AT763" s="72"/>
      <c r="AW763" s="72"/>
      <c r="AZ763" s="72"/>
    </row>
    <row r="764" spans="1:52">
      <c r="A764" s="131"/>
      <c r="B764" s="72"/>
      <c r="D764" s="72"/>
      <c r="G764" s="72"/>
      <c r="J764" s="72"/>
      <c r="M764" s="72"/>
      <c r="P764" s="72"/>
      <c r="S764" s="72"/>
      <c r="V764" s="72"/>
      <c r="Y764" s="72"/>
      <c r="AB764" s="72"/>
      <c r="AE764" s="72"/>
      <c r="AH764" s="72"/>
      <c r="AK764" s="72"/>
      <c r="AN764" s="72"/>
      <c r="AQ764" s="72"/>
      <c r="AT764" s="72"/>
      <c r="AW764" s="72"/>
      <c r="AZ764" s="72"/>
    </row>
    <row r="765" spans="1:52">
      <c r="A765" s="131"/>
      <c r="B765" s="72"/>
      <c r="D765" s="72"/>
      <c r="G765" s="72"/>
      <c r="J765" s="72"/>
      <c r="M765" s="72"/>
      <c r="P765" s="72"/>
      <c r="S765" s="72"/>
      <c r="V765" s="72"/>
      <c r="Y765" s="72"/>
      <c r="AB765" s="72"/>
      <c r="AE765" s="72"/>
      <c r="AH765" s="72"/>
      <c r="AK765" s="72"/>
      <c r="AN765" s="72"/>
      <c r="AQ765" s="72"/>
      <c r="AT765" s="72"/>
      <c r="AW765" s="72"/>
      <c r="AZ765" s="72"/>
    </row>
    <row r="766" spans="1:52">
      <c r="A766" s="131"/>
      <c r="B766" s="72"/>
      <c r="D766" s="72"/>
      <c r="G766" s="72"/>
      <c r="J766" s="72"/>
      <c r="M766" s="72"/>
      <c r="P766" s="72"/>
      <c r="S766" s="72"/>
      <c r="V766" s="72"/>
      <c r="Y766" s="72"/>
      <c r="AB766" s="72"/>
      <c r="AE766" s="72"/>
      <c r="AH766" s="72"/>
      <c r="AK766" s="72"/>
      <c r="AN766" s="72"/>
      <c r="AQ766" s="72"/>
      <c r="AT766" s="72"/>
      <c r="AW766" s="72"/>
      <c r="AZ766" s="72"/>
    </row>
    <row r="767" spans="1:52">
      <c r="A767" s="131"/>
      <c r="B767" s="72"/>
      <c r="D767" s="72"/>
      <c r="G767" s="72"/>
      <c r="J767" s="72"/>
      <c r="M767" s="72"/>
      <c r="P767" s="72"/>
      <c r="S767" s="72"/>
      <c r="V767" s="72"/>
      <c r="Y767" s="72"/>
      <c r="AB767" s="72"/>
      <c r="AE767" s="72"/>
      <c r="AH767" s="72"/>
      <c r="AK767" s="72"/>
      <c r="AN767" s="72"/>
      <c r="AQ767" s="72"/>
      <c r="AT767" s="72"/>
      <c r="AW767" s="72"/>
      <c r="AZ767" s="72"/>
    </row>
    <row r="768" spans="1:52">
      <c r="A768" s="131"/>
      <c r="B768" s="72"/>
      <c r="D768" s="72"/>
      <c r="G768" s="72"/>
      <c r="J768" s="72"/>
      <c r="M768" s="72"/>
      <c r="P768" s="72"/>
      <c r="S768" s="72"/>
      <c r="V768" s="72"/>
      <c r="Y768" s="72"/>
      <c r="AB768" s="72"/>
      <c r="AE768" s="72"/>
      <c r="AH768" s="72"/>
      <c r="AK768" s="72"/>
      <c r="AN768" s="72"/>
      <c r="AQ768" s="72"/>
      <c r="AT768" s="72"/>
      <c r="AW768" s="72"/>
      <c r="AZ768" s="72"/>
    </row>
    <row r="769" spans="1:52">
      <c r="A769" s="131"/>
      <c r="B769" s="72"/>
      <c r="D769" s="72"/>
      <c r="G769" s="72"/>
      <c r="J769" s="72"/>
      <c r="M769" s="72"/>
      <c r="P769" s="72"/>
      <c r="S769" s="72"/>
      <c r="V769" s="72"/>
      <c r="Y769" s="72"/>
      <c r="AB769" s="72"/>
      <c r="AE769" s="72"/>
      <c r="AH769" s="72"/>
      <c r="AK769" s="72"/>
      <c r="AN769" s="72"/>
      <c r="AQ769" s="72"/>
      <c r="AT769" s="72"/>
      <c r="AW769" s="72"/>
      <c r="AZ769" s="72"/>
    </row>
    <row r="770" spans="1:52">
      <c r="A770" s="131"/>
      <c r="B770" s="72"/>
      <c r="D770" s="72"/>
      <c r="G770" s="72"/>
      <c r="J770" s="72"/>
      <c r="M770" s="72"/>
      <c r="P770" s="72"/>
      <c r="S770" s="72"/>
      <c r="V770" s="72"/>
      <c r="Y770" s="72"/>
      <c r="AB770" s="72"/>
      <c r="AE770" s="72"/>
      <c r="AH770" s="72"/>
      <c r="AK770" s="72"/>
      <c r="AN770" s="72"/>
      <c r="AQ770" s="72"/>
      <c r="AT770" s="72"/>
      <c r="AW770" s="72"/>
      <c r="AZ770" s="72"/>
    </row>
    <row r="771" spans="1:52">
      <c r="A771" s="131"/>
      <c r="B771" s="72"/>
      <c r="D771" s="72"/>
      <c r="G771" s="72"/>
      <c r="J771" s="72"/>
      <c r="M771" s="72"/>
      <c r="P771" s="72"/>
      <c r="S771" s="72"/>
      <c r="V771" s="72"/>
      <c r="Y771" s="72"/>
      <c r="AB771" s="72"/>
      <c r="AE771" s="72"/>
      <c r="AH771" s="72"/>
      <c r="AK771" s="72"/>
      <c r="AN771" s="72"/>
      <c r="AQ771" s="72"/>
      <c r="AT771" s="72"/>
      <c r="AW771" s="72"/>
      <c r="AZ771" s="72"/>
    </row>
    <row r="772" spans="1:52">
      <c r="A772" s="131"/>
      <c r="B772" s="72"/>
      <c r="D772" s="72"/>
      <c r="G772" s="72"/>
      <c r="J772" s="72"/>
      <c r="M772" s="72"/>
      <c r="P772" s="72"/>
      <c r="S772" s="72"/>
      <c r="V772" s="72"/>
      <c r="Y772" s="72"/>
      <c r="AB772" s="72"/>
      <c r="AE772" s="72"/>
      <c r="AH772" s="72"/>
      <c r="AK772" s="72"/>
      <c r="AN772" s="72"/>
      <c r="AQ772" s="72"/>
      <c r="AT772" s="72"/>
      <c r="AW772" s="72"/>
      <c r="AZ772" s="72"/>
    </row>
    <row r="773" spans="1:52">
      <c r="A773" s="131"/>
      <c r="B773" s="72"/>
      <c r="D773" s="72"/>
      <c r="G773" s="72"/>
      <c r="J773" s="72"/>
      <c r="M773" s="72"/>
      <c r="P773" s="72"/>
      <c r="S773" s="72"/>
      <c r="V773" s="72"/>
      <c r="Y773" s="72"/>
      <c r="AB773" s="72"/>
      <c r="AE773" s="72"/>
      <c r="AH773" s="72"/>
      <c r="AK773" s="72"/>
      <c r="AN773" s="72"/>
      <c r="AQ773" s="72"/>
      <c r="AT773" s="72"/>
      <c r="AW773" s="72"/>
      <c r="AZ773" s="72"/>
    </row>
    <row r="774" spans="1:52">
      <c r="A774" s="131"/>
      <c r="B774" s="72"/>
      <c r="D774" s="72"/>
      <c r="G774" s="72"/>
      <c r="J774" s="72"/>
      <c r="M774" s="72"/>
      <c r="P774" s="72"/>
      <c r="S774" s="72"/>
      <c r="V774" s="72"/>
      <c r="Y774" s="72"/>
      <c r="AB774" s="72"/>
      <c r="AE774" s="72"/>
      <c r="AH774" s="72"/>
      <c r="AK774" s="72"/>
      <c r="AN774" s="72"/>
      <c r="AQ774" s="72"/>
      <c r="AT774" s="72"/>
      <c r="AW774" s="72"/>
      <c r="AZ774" s="72"/>
    </row>
    <row r="775" spans="1:52">
      <c r="A775" s="131"/>
      <c r="B775" s="72"/>
      <c r="D775" s="72"/>
      <c r="G775" s="72"/>
      <c r="J775" s="72"/>
      <c r="M775" s="72"/>
      <c r="P775" s="72"/>
      <c r="S775" s="72"/>
      <c r="V775" s="72"/>
      <c r="Y775" s="72"/>
      <c r="AB775" s="72"/>
      <c r="AE775" s="72"/>
      <c r="AH775" s="72"/>
      <c r="AK775" s="72"/>
      <c r="AN775" s="72"/>
      <c r="AQ775" s="72"/>
      <c r="AT775" s="72"/>
      <c r="AW775" s="72"/>
      <c r="AZ775" s="72"/>
    </row>
    <row r="776" spans="1:52">
      <c r="A776" s="131"/>
      <c r="B776" s="72"/>
      <c r="D776" s="72"/>
      <c r="G776" s="72"/>
      <c r="J776" s="72"/>
      <c r="M776" s="72"/>
      <c r="P776" s="72"/>
      <c r="S776" s="72"/>
      <c r="V776" s="72"/>
      <c r="Y776" s="72"/>
      <c r="AB776" s="72"/>
      <c r="AE776" s="72"/>
      <c r="AH776" s="72"/>
      <c r="AK776" s="72"/>
      <c r="AN776" s="72"/>
      <c r="AQ776" s="72"/>
      <c r="AT776" s="72"/>
      <c r="AW776" s="72"/>
      <c r="AZ776" s="72"/>
    </row>
    <row r="777" spans="1:52">
      <c r="A777" s="131"/>
      <c r="B777" s="72"/>
      <c r="D777" s="72"/>
      <c r="G777" s="72"/>
      <c r="J777" s="72"/>
      <c r="M777" s="72"/>
      <c r="P777" s="72"/>
      <c r="S777" s="72"/>
      <c r="V777" s="72"/>
      <c r="Y777" s="72"/>
      <c r="AB777" s="72"/>
      <c r="AE777" s="72"/>
      <c r="AH777" s="72"/>
      <c r="AK777" s="72"/>
      <c r="AN777" s="72"/>
      <c r="AQ777" s="72"/>
      <c r="AT777" s="72"/>
      <c r="AW777" s="72"/>
      <c r="AZ777" s="72"/>
    </row>
    <row r="778" spans="1:52">
      <c r="A778" s="131"/>
      <c r="B778" s="72"/>
      <c r="D778" s="72"/>
      <c r="G778" s="72"/>
      <c r="J778" s="72"/>
      <c r="M778" s="72"/>
      <c r="P778" s="72"/>
      <c r="S778" s="72"/>
      <c r="V778" s="72"/>
      <c r="Y778" s="72"/>
      <c r="AB778" s="72"/>
      <c r="AE778" s="72"/>
      <c r="AH778" s="72"/>
      <c r="AK778" s="72"/>
      <c r="AN778" s="72"/>
      <c r="AQ778" s="72"/>
      <c r="AT778" s="72"/>
      <c r="AW778" s="72"/>
      <c r="AZ778" s="72"/>
    </row>
    <row r="779" spans="1:52">
      <c r="A779" s="131"/>
      <c r="B779" s="72"/>
      <c r="D779" s="72"/>
      <c r="G779" s="72"/>
      <c r="J779" s="72"/>
      <c r="M779" s="72"/>
      <c r="P779" s="72"/>
      <c r="S779" s="72"/>
      <c r="V779" s="72"/>
      <c r="Y779" s="72"/>
      <c r="AB779" s="72"/>
      <c r="AE779" s="72"/>
      <c r="AH779" s="72"/>
      <c r="AK779" s="72"/>
      <c r="AN779" s="72"/>
      <c r="AQ779" s="72"/>
      <c r="AT779" s="72"/>
      <c r="AW779" s="72"/>
      <c r="AZ779" s="72"/>
    </row>
    <row r="780" spans="1:52">
      <c r="A780" s="131"/>
      <c r="B780" s="72"/>
      <c r="D780" s="72"/>
      <c r="G780" s="72"/>
      <c r="J780" s="72"/>
      <c r="M780" s="72"/>
      <c r="P780" s="72"/>
      <c r="S780" s="72"/>
      <c r="V780" s="72"/>
      <c r="Y780" s="72"/>
      <c r="AB780" s="72"/>
      <c r="AE780" s="72"/>
      <c r="AH780" s="72"/>
      <c r="AK780" s="72"/>
      <c r="AN780" s="72"/>
      <c r="AQ780" s="72"/>
      <c r="AT780" s="72"/>
      <c r="AW780" s="72"/>
      <c r="AZ780" s="72"/>
    </row>
    <row r="781" spans="1:52">
      <c r="A781" s="131"/>
      <c r="B781" s="72"/>
      <c r="D781" s="72"/>
      <c r="G781" s="72"/>
      <c r="J781" s="72"/>
      <c r="M781" s="72"/>
      <c r="P781" s="72"/>
      <c r="S781" s="72"/>
      <c r="V781" s="72"/>
      <c r="Y781" s="72"/>
      <c r="AB781" s="72"/>
      <c r="AE781" s="72"/>
      <c r="AH781" s="72"/>
      <c r="AK781" s="72"/>
      <c r="AN781" s="72"/>
      <c r="AQ781" s="72"/>
      <c r="AT781" s="72"/>
      <c r="AW781" s="72"/>
      <c r="AZ781" s="72"/>
    </row>
    <row r="782" spans="1:52">
      <c r="A782" s="131"/>
      <c r="B782" s="72"/>
      <c r="D782" s="72"/>
      <c r="G782" s="72"/>
      <c r="J782" s="72"/>
      <c r="M782" s="72"/>
      <c r="P782" s="72"/>
      <c r="S782" s="72"/>
      <c r="V782" s="72"/>
      <c r="Y782" s="72"/>
      <c r="AB782" s="72"/>
      <c r="AE782" s="72"/>
      <c r="AH782" s="72"/>
      <c r="AK782" s="72"/>
      <c r="AN782" s="72"/>
      <c r="AQ782" s="72"/>
      <c r="AT782" s="72"/>
      <c r="AW782" s="72"/>
      <c r="AZ782" s="72"/>
    </row>
    <row r="783" spans="1:52">
      <c r="A783" s="131"/>
      <c r="B783" s="72"/>
      <c r="D783" s="72"/>
      <c r="G783" s="72"/>
      <c r="J783" s="72"/>
      <c r="M783" s="72"/>
      <c r="P783" s="72"/>
      <c r="S783" s="72"/>
      <c r="V783" s="72"/>
      <c r="Y783" s="72"/>
      <c r="AB783" s="72"/>
      <c r="AE783" s="72"/>
      <c r="AH783" s="72"/>
      <c r="AK783" s="72"/>
      <c r="AN783" s="72"/>
      <c r="AQ783" s="72"/>
      <c r="AT783" s="72"/>
      <c r="AW783" s="72"/>
      <c r="AZ783" s="72"/>
    </row>
    <row r="784" spans="1:52">
      <c r="A784" s="131"/>
      <c r="B784" s="72"/>
      <c r="D784" s="72"/>
      <c r="G784" s="72"/>
      <c r="J784" s="72"/>
      <c r="M784" s="72"/>
      <c r="P784" s="72"/>
      <c r="S784" s="72"/>
      <c r="V784" s="72"/>
      <c r="Y784" s="72"/>
      <c r="AB784" s="72"/>
      <c r="AE784" s="72"/>
      <c r="AH784" s="72"/>
      <c r="AK784" s="72"/>
      <c r="AN784" s="72"/>
      <c r="AQ784" s="72"/>
      <c r="AT784" s="72"/>
      <c r="AW784" s="72"/>
      <c r="AZ784" s="72"/>
    </row>
    <row r="785" spans="1:52">
      <c r="A785" s="131"/>
      <c r="B785" s="72"/>
      <c r="D785" s="72"/>
      <c r="G785" s="72"/>
      <c r="J785" s="72"/>
      <c r="M785" s="72"/>
      <c r="P785" s="72"/>
      <c r="S785" s="72"/>
      <c r="V785" s="72"/>
      <c r="Y785" s="72"/>
      <c r="AB785" s="72"/>
      <c r="AE785" s="72"/>
      <c r="AH785" s="72"/>
      <c r="AK785" s="72"/>
      <c r="AN785" s="72"/>
      <c r="AQ785" s="72"/>
      <c r="AT785" s="72"/>
      <c r="AW785" s="72"/>
      <c r="AZ785" s="72"/>
    </row>
    <row r="786" spans="1:52">
      <c r="A786" s="131"/>
      <c r="B786" s="72"/>
      <c r="D786" s="72"/>
      <c r="G786" s="72"/>
      <c r="J786" s="72"/>
      <c r="M786" s="72"/>
      <c r="P786" s="72"/>
      <c r="S786" s="72"/>
      <c r="V786" s="72"/>
      <c r="Y786" s="72"/>
      <c r="AB786" s="72"/>
      <c r="AE786" s="72"/>
      <c r="AH786" s="72"/>
      <c r="AK786" s="72"/>
      <c r="AN786" s="72"/>
      <c r="AQ786" s="72"/>
      <c r="AT786" s="72"/>
      <c r="AW786" s="72"/>
      <c r="AZ786" s="72"/>
    </row>
    <row r="787" spans="1:52">
      <c r="A787" s="131"/>
      <c r="B787" s="72"/>
      <c r="D787" s="72"/>
      <c r="G787" s="72"/>
      <c r="J787" s="72"/>
      <c r="M787" s="72"/>
      <c r="P787" s="72"/>
      <c r="S787" s="72"/>
      <c r="V787" s="72"/>
      <c r="Y787" s="72"/>
      <c r="AB787" s="72"/>
      <c r="AE787" s="72"/>
      <c r="AH787" s="72"/>
      <c r="AK787" s="72"/>
      <c r="AN787" s="72"/>
      <c r="AQ787" s="72"/>
      <c r="AT787" s="72"/>
      <c r="AW787" s="72"/>
      <c r="AZ787" s="72"/>
    </row>
    <row r="788" spans="1:52">
      <c r="A788" s="131"/>
      <c r="B788" s="72"/>
      <c r="D788" s="72"/>
      <c r="G788" s="72"/>
      <c r="J788" s="72"/>
      <c r="M788" s="72"/>
      <c r="P788" s="72"/>
      <c r="S788" s="72"/>
      <c r="V788" s="72"/>
      <c r="Y788" s="72"/>
      <c r="AB788" s="72"/>
      <c r="AE788" s="72"/>
      <c r="AH788" s="72"/>
      <c r="AK788" s="72"/>
      <c r="AN788" s="72"/>
      <c r="AQ788" s="72"/>
      <c r="AT788" s="72"/>
      <c r="AW788" s="72"/>
      <c r="AZ788" s="72"/>
    </row>
    <row r="789" spans="1:52">
      <c r="A789" s="131"/>
      <c r="B789" s="72"/>
      <c r="D789" s="72"/>
      <c r="G789" s="72"/>
      <c r="J789" s="72"/>
      <c r="M789" s="72"/>
      <c r="P789" s="72"/>
      <c r="S789" s="72"/>
      <c r="V789" s="72"/>
      <c r="Y789" s="72"/>
      <c r="AB789" s="72"/>
      <c r="AE789" s="72"/>
      <c r="AH789" s="72"/>
      <c r="AK789" s="72"/>
      <c r="AN789" s="72"/>
      <c r="AQ789" s="72"/>
      <c r="AT789" s="72"/>
      <c r="AW789" s="72"/>
      <c r="AZ789" s="72"/>
    </row>
    <row r="790" spans="1:52">
      <c r="A790" s="131"/>
      <c r="B790" s="72"/>
      <c r="D790" s="72"/>
      <c r="G790" s="72"/>
      <c r="J790" s="72"/>
      <c r="M790" s="72"/>
      <c r="P790" s="72"/>
      <c r="S790" s="72"/>
      <c r="V790" s="72"/>
      <c r="Y790" s="72"/>
      <c r="AB790" s="72"/>
      <c r="AE790" s="72"/>
      <c r="AH790" s="72"/>
      <c r="AK790" s="72"/>
      <c r="AN790" s="72"/>
      <c r="AQ790" s="72"/>
      <c r="AT790" s="72"/>
      <c r="AW790" s="72"/>
      <c r="AZ790" s="72"/>
    </row>
    <row r="791" spans="1:52">
      <c r="A791" s="131"/>
      <c r="B791" s="72"/>
      <c r="D791" s="72"/>
      <c r="G791" s="72"/>
      <c r="J791" s="72"/>
      <c r="M791" s="72"/>
      <c r="P791" s="72"/>
      <c r="S791" s="72"/>
      <c r="V791" s="72"/>
      <c r="Y791" s="72"/>
      <c r="AB791" s="72"/>
      <c r="AE791" s="72"/>
      <c r="AH791" s="72"/>
      <c r="AK791" s="72"/>
      <c r="AN791" s="72"/>
      <c r="AQ791" s="72"/>
      <c r="AT791" s="72"/>
      <c r="AW791" s="72"/>
      <c r="AZ791" s="72"/>
    </row>
    <row r="792" spans="1:52">
      <c r="A792" s="131"/>
      <c r="B792" s="72"/>
      <c r="D792" s="72"/>
      <c r="G792" s="72"/>
      <c r="J792" s="72"/>
      <c r="M792" s="72"/>
      <c r="P792" s="72"/>
      <c r="S792" s="72"/>
      <c r="V792" s="72"/>
      <c r="Y792" s="72"/>
      <c r="AB792" s="72"/>
      <c r="AE792" s="72"/>
      <c r="AH792" s="72"/>
      <c r="AK792" s="72"/>
      <c r="AN792" s="72"/>
      <c r="AQ792" s="72"/>
      <c r="AT792" s="72"/>
      <c r="AW792" s="72"/>
      <c r="AZ792" s="72"/>
    </row>
    <row r="793" spans="1:52">
      <c r="A793" s="131"/>
      <c r="B793" s="72"/>
      <c r="D793" s="72"/>
      <c r="G793" s="72"/>
      <c r="J793" s="72"/>
      <c r="M793" s="72"/>
      <c r="P793" s="72"/>
      <c r="S793" s="72"/>
      <c r="V793" s="72"/>
      <c r="Y793" s="72"/>
      <c r="AB793" s="72"/>
      <c r="AE793" s="72"/>
      <c r="AH793" s="72"/>
      <c r="AK793" s="72"/>
      <c r="AN793" s="72"/>
      <c r="AQ793" s="72"/>
      <c r="AT793" s="72"/>
      <c r="AW793" s="72"/>
      <c r="AZ793" s="72"/>
    </row>
    <row r="794" spans="1:52">
      <c r="A794" s="131"/>
      <c r="B794" s="72"/>
      <c r="D794" s="72"/>
      <c r="G794" s="72"/>
      <c r="J794" s="72"/>
      <c r="M794" s="72"/>
      <c r="P794" s="72"/>
      <c r="S794" s="72"/>
      <c r="V794" s="72"/>
      <c r="Y794" s="72"/>
      <c r="AB794" s="72"/>
      <c r="AE794" s="72"/>
      <c r="AH794" s="72"/>
      <c r="AK794" s="72"/>
      <c r="AN794" s="72"/>
      <c r="AQ794" s="72"/>
      <c r="AT794" s="72"/>
      <c r="AW794" s="72"/>
      <c r="AZ794" s="72"/>
    </row>
    <row r="795" spans="1:52">
      <c r="A795" s="131"/>
      <c r="B795" s="72"/>
      <c r="D795" s="72"/>
      <c r="G795" s="72"/>
      <c r="J795" s="72"/>
      <c r="M795" s="72"/>
      <c r="P795" s="72"/>
      <c r="S795" s="72"/>
      <c r="V795" s="72"/>
      <c r="Y795" s="72"/>
      <c r="AB795" s="72"/>
      <c r="AE795" s="72"/>
      <c r="AH795" s="72"/>
      <c r="AK795" s="72"/>
      <c r="AN795" s="72"/>
      <c r="AQ795" s="72"/>
      <c r="AT795" s="72"/>
      <c r="AW795" s="72"/>
      <c r="AZ795" s="72"/>
    </row>
    <row r="796" spans="1:52">
      <c r="A796" s="131"/>
      <c r="B796" s="72"/>
      <c r="D796" s="72"/>
      <c r="G796" s="72"/>
      <c r="J796" s="72"/>
      <c r="M796" s="72"/>
      <c r="P796" s="72"/>
      <c r="S796" s="72"/>
      <c r="V796" s="72"/>
      <c r="Y796" s="72"/>
      <c r="AB796" s="72"/>
      <c r="AE796" s="72"/>
      <c r="AH796" s="72"/>
      <c r="AK796" s="72"/>
      <c r="AN796" s="72"/>
      <c r="AQ796" s="72"/>
      <c r="AT796" s="72"/>
      <c r="AW796" s="72"/>
      <c r="AZ796" s="72"/>
    </row>
    <row r="797" spans="1:52">
      <c r="A797" s="131"/>
      <c r="B797" s="72"/>
      <c r="D797" s="72"/>
      <c r="G797" s="72"/>
      <c r="J797" s="72"/>
      <c r="M797" s="72"/>
      <c r="P797" s="72"/>
      <c r="S797" s="72"/>
      <c r="V797" s="72"/>
      <c r="Y797" s="72"/>
      <c r="AB797" s="72"/>
      <c r="AE797" s="72"/>
      <c r="AH797" s="72"/>
      <c r="AK797" s="72"/>
      <c r="AN797" s="72"/>
      <c r="AQ797" s="72"/>
      <c r="AT797" s="72"/>
      <c r="AW797" s="72"/>
      <c r="AZ797" s="72"/>
    </row>
    <row r="798" spans="1:52">
      <c r="A798" s="131"/>
      <c r="B798" s="72"/>
      <c r="D798" s="72"/>
      <c r="G798" s="72"/>
      <c r="J798" s="72"/>
      <c r="M798" s="72"/>
      <c r="P798" s="72"/>
      <c r="S798" s="72"/>
      <c r="V798" s="72"/>
      <c r="Y798" s="72"/>
      <c r="AB798" s="72"/>
      <c r="AE798" s="72"/>
      <c r="AH798" s="72"/>
      <c r="AK798" s="72"/>
      <c r="AN798" s="72"/>
      <c r="AQ798" s="72"/>
      <c r="AT798" s="72"/>
      <c r="AW798" s="72"/>
      <c r="AZ798" s="72"/>
    </row>
    <row r="799" spans="1:52">
      <c r="A799" s="131"/>
      <c r="B799" s="72"/>
      <c r="D799" s="72"/>
      <c r="G799" s="72"/>
      <c r="J799" s="72"/>
      <c r="M799" s="72"/>
      <c r="P799" s="72"/>
      <c r="S799" s="72"/>
      <c r="V799" s="72"/>
      <c r="Y799" s="72"/>
      <c r="AB799" s="72"/>
      <c r="AE799" s="72"/>
      <c r="AH799" s="72"/>
      <c r="AK799" s="72"/>
      <c r="AN799" s="72"/>
      <c r="AQ799" s="72"/>
      <c r="AT799" s="72"/>
      <c r="AW799" s="72"/>
      <c r="AZ799" s="72"/>
    </row>
    <row r="800" spans="1:52">
      <c r="A800" s="131"/>
      <c r="B800" s="72"/>
      <c r="D800" s="72"/>
      <c r="G800" s="72"/>
      <c r="J800" s="72"/>
      <c r="M800" s="72"/>
      <c r="P800" s="72"/>
      <c r="S800" s="72"/>
      <c r="V800" s="72"/>
      <c r="Y800" s="72"/>
      <c r="AB800" s="72"/>
      <c r="AE800" s="72"/>
      <c r="AH800" s="72"/>
      <c r="AK800" s="72"/>
      <c r="AN800" s="72"/>
      <c r="AQ800" s="72"/>
      <c r="AT800" s="72"/>
      <c r="AW800" s="72"/>
      <c r="AZ800" s="72"/>
    </row>
    <row r="801" spans="1:52">
      <c r="A801" s="131"/>
      <c r="B801" s="72"/>
      <c r="D801" s="72"/>
      <c r="G801" s="72"/>
      <c r="J801" s="72"/>
      <c r="M801" s="72"/>
      <c r="P801" s="72"/>
      <c r="S801" s="72"/>
      <c r="V801" s="72"/>
      <c r="Y801" s="72"/>
      <c r="AB801" s="72"/>
      <c r="AE801" s="72"/>
      <c r="AH801" s="72"/>
      <c r="AK801" s="72"/>
      <c r="AN801" s="72"/>
      <c r="AQ801" s="72"/>
      <c r="AT801" s="72"/>
      <c r="AW801" s="72"/>
      <c r="AZ801" s="72"/>
    </row>
    <row r="802" spans="1:52">
      <c r="A802" s="131"/>
      <c r="B802" s="72"/>
      <c r="D802" s="72"/>
      <c r="G802" s="72"/>
      <c r="J802" s="72"/>
      <c r="M802" s="72"/>
      <c r="P802" s="72"/>
      <c r="S802" s="72"/>
      <c r="V802" s="72"/>
      <c r="Y802" s="72"/>
      <c r="AB802" s="72"/>
      <c r="AE802" s="72"/>
      <c r="AH802" s="72"/>
      <c r="AK802" s="72"/>
      <c r="AN802" s="72"/>
      <c r="AQ802" s="72"/>
      <c r="AT802" s="72"/>
      <c r="AW802" s="72"/>
      <c r="AZ802" s="72"/>
    </row>
    <row r="803" spans="1:52">
      <c r="A803" s="131"/>
      <c r="B803" s="72"/>
      <c r="D803" s="72"/>
      <c r="G803" s="72"/>
      <c r="J803" s="72"/>
      <c r="M803" s="72"/>
      <c r="P803" s="72"/>
      <c r="S803" s="72"/>
      <c r="V803" s="72"/>
      <c r="Y803" s="72"/>
      <c r="AB803" s="72"/>
      <c r="AE803" s="72"/>
      <c r="AH803" s="72"/>
      <c r="AK803" s="72"/>
      <c r="AN803" s="72"/>
      <c r="AQ803" s="72"/>
      <c r="AT803" s="72"/>
      <c r="AW803" s="72"/>
      <c r="AZ803" s="72"/>
    </row>
    <row r="804" spans="1:52">
      <c r="A804" s="131"/>
      <c r="B804" s="72"/>
      <c r="D804" s="72"/>
      <c r="G804" s="72"/>
      <c r="J804" s="72"/>
      <c r="M804" s="72"/>
      <c r="P804" s="72"/>
      <c r="S804" s="72"/>
      <c r="V804" s="72"/>
      <c r="Y804" s="72"/>
      <c r="AB804" s="72"/>
      <c r="AE804" s="72"/>
      <c r="AH804" s="72"/>
      <c r="AK804" s="72"/>
      <c r="AN804" s="72"/>
      <c r="AQ804" s="72"/>
      <c r="AT804" s="72"/>
      <c r="AW804" s="72"/>
      <c r="AZ804" s="72"/>
    </row>
    <row r="805" spans="1:52">
      <c r="A805" s="131"/>
      <c r="B805" s="72"/>
      <c r="D805" s="72"/>
      <c r="G805" s="72"/>
      <c r="J805" s="72"/>
      <c r="M805" s="72"/>
      <c r="P805" s="72"/>
      <c r="S805" s="72"/>
      <c r="V805" s="72"/>
      <c r="Y805" s="72"/>
      <c r="AB805" s="72"/>
      <c r="AE805" s="72"/>
      <c r="AH805" s="72"/>
      <c r="AK805" s="72"/>
      <c r="AN805" s="72"/>
      <c r="AQ805" s="72"/>
      <c r="AT805" s="72"/>
      <c r="AW805" s="72"/>
      <c r="AZ805" s="72"/>
    </row>
    <row r="806" spans="1:52">
      <c r="A806" s="131"/>
      <c r="B806" s="72"/>
      <c r="D806" s="72"/>
      <c r="G806" s="72"/>
      <c r="J806" s="72"/>
      <c r="M806" s="72"/>
      <c r="P806" s="72"/>
      <c r="S806" s="72"/>
      <c r="V806" s="72"/>
      <c r="Y806" s="72"/>
      <c r="AB806" s="72"/>
      <c r="AE806" s="72"/>
      <c r="AH806" s="72"/>
      <c r="AK806" s="72"/>
      <c r="AN806" s="72"/>
      <c r="AQ806" s="72"/>
      <c r="AT806" s="72"/>
      <c r="AW806" s="72"/>
      <c r="AZ806" s="72"/>
    </row>
    <row r="807" spans="1:52">
      <c r="A807" s="131"/>
      <c r="B807" s="72"/>
      <c r="D807" s="72"/>
      <c r="G807" s="72"/>
      <c r="J807" s="72"/>
      <c r="M807" s="72"/>
      <c r="P807" s="72"/>
      <c r="S807" s="72"/>
      <c r="V807" s="72"/>
      <c r="Y807" s="72"/>
      <c r="AB807" s="72"/>
      <c r="AE807" s="72"/>
      <c r="AH807" s="72"/>
      <c r="AK807" s="72"/>
      <c r="AN807" s="72"/>
      <c r="AQ807" s="72"/>
      <c r="AT807" s="72"/>
      <c r="AW807" s="72"/>
      <c r="AZ807" s="72"/>
    </row>
    <row r="808" spans="1:52">
      <c r="A808" s="131"/>
      <c r="B808" s="72"/>
      <c r="D808" s="72"/>
      <c r="G808" s="72"/>
      <c r="J808" s="72"/>
      <c r="M808" s="72"/>
      <c r="P808" s="72"/>
      <c r="S808" s="72"/>
      <c r="V808" s="72"/>
      <c r="Y808" s="72"/>
      <c r="AB808" s="72"/>
      <c r="AE808" s="72"/>
      <c r="AH808" s="72"/>
      <c r="AK808" s="72"/>
      <c r="AN808" s="72"/>
      <c r="AQ808" s="72"/>
      <c r="AT808" s="72"/>
      <c r="AW808" s="72"/>
      <c r="AZ808" s="72"/>
    </row>
    <row r="809" spans="1:52">
      <c r="A809" s="131"/>
      <c r="B809" s="72"/>
      <c r="D809" s="72"/>
      <c r="G809" s="72"/>
      <c r="J809" s="72"/>
      <c r="M809" s="72"/>
      <c r="P809" s="72"/>
      <c r="S809" s="72"/>
      <c r="V809" s="72"/>
      <c r="Y809" s="72"/>
      <c r="AB809" s="72"/>
      <c r="AE809" s="72"/>
      <c r="AH809" s="72"/>
      <c r="AK809" s="72"/>
      <c r="AN809" s="72"/>
      <c r="AQ809" s="72"/>
      <c r="AT809" s="72"/>
      <c r="AW809" s="72"/>
      <c r="AZ809" s="72"/>
    </row>
    <row r="810" spans="1:52">
      <c r="A810" s="131"/>
      <c r="B810" s="72"/>
      <c r="D810" s="72"/>
      <c r="G810" s="72"/>
      <c r="J810" s="72"/>
      <c r="M810" s="72"/>
      <c r="P810" s="72"/>
      <c r="S810" s="72"/>
      <c r="V810" s="72"/>
      <c r="Y810" s="72"/>
      <c r="AB810" s="72"/>
      <c r="AE810" s="72"/>
      <c r="AH810" s="72"/>
      <c r="AK810" s="72"/>
      <c r="AN810" s="72"/>
      <c r="AQ810" s="72"/>
      <c r="AT810" s="72"/>
      <c r="AW810" s="72"/>
      <c r="AZ810" s="72"/>
    </row>
    <row r="811" spans="1:52">
      <c r="A811" s="131"/>
      <c r="B811" s="72"/>
      <c r="D811" s="72"/>
      <c r="G811" s="72"/>
      <c r="J811" s="72"/>
      <c r="M811" s="72"/>
      <c r="P811" s="72"/>
      <c r="S811" s="72"/>
      <c r="V811" s="72"/>
      <c r="Y811" s="72"/>
      <c r="AB811" s="72"/>
      <c r="AE811" s="72"/>
      <c r="AH811" s="72"/>
      <c r="AK811" s="72"/>
      <c r="AN811" s="72"/>
      <c r="AQ811" s="72"/>
      <c r="AT811" s="72"/>
      <c r="AW811" s="72"/>
      <c r="AZ811" s="72"/>
    </row>
    <row r="812" spans="1:52">
      <c r="A812" s="131"/>
      <c r="B812" s="72"/>
      <c r="D812" s="72"/>
      <c r="G812" s="72"/>
      <c r="J812" s="72"/>
      <c r="M812" s="72"/>
      <c r="P812" s="72"/>
      <c r="S812" s="72"/>
      <c r="V812" s="72"/>
      <c r="Y812" s="72"/>
      <c r="AB812" s="72"/>
      <c r="AE812" s="72"/>
      <c r="AH812" s="72"/>
      <c r="AK812" s="72"/>
      <c r="AN812" s="72"/>
      <c r="AQ812" s="72"/>
      <c r="AT812" s="72"/>
      <c r="AW812" s="72"/>
      <c r="AZ812" s="72"/>
    </row>
    <row r="813" spans="1:52">
      <c r="A813" s="131"/>
      <c r="B813" s="72"/>
      <c r="D813" s="72"/>
      <c r="G813" s="72"/>
      <c r="J813" s="72"/>
      <c r="M813" s="72"/>
      <c r="P813" s="72"/>
      <c r="S813" s="72"/>
      <c r="V813" s="72"/>
      <c r="Y813" s="72"/>
      <c r="AB813" s="72"/>
      <c r="AE813" s="72"/>
      <c r="AH813" s="72"/>
      <c r="AK813" s="72"/>
      <c r="AN813" s="72"/>
      <c r="AQ813" s="72"/>
      <c r="AT813" s="72"/>
      <c r="AW813" s="72"/>
      <c r="AZ813" s="72"/>
    </row>
    <row r="814" spans="1:52">
      <c r="A814" s="131"/>
      <c r="B814" s="72"/>
      <c r="D814" s="72"/>
      <c r="G814" s="72"/>
      <c r="J814" s="72"/>
      <c r="M814" s="72"/>
      <c r="P814" s="72"/>
      <c r="S814" s="72"/>
      <c r="V814" s="72"/>
      <c r="Y814" s="72"/>
      <c r="AB814" s="72"/>
      <c r="AE814" s="72"/>
      <c r="AH814" s="72"/>
      <c r="AK814" s="72"/>
      <c r="AN814" s="72"/>
      <c r="AQ814" s="72"/>
      <c r="AT814" s="72"/>
      <c r="AW814" s="72"/>
      <c r="AZ814" s="72"/>
    </row>
    <row r="815" spans="1:52">
      <c r="A815" s="131"/>
      <c r="B815" s="72"/>
      <c r="D815" s="72"/>
      <c r="G815" s="72"/>
      <c r="J815" s="72"/>
      <c r="M815" s="72"/>
      <c r="P815" s="72"/>
      <c r="S815" s="72"/>
      <c r="V815" s="72"/>
      <c r="Y815" s="72"/>
      <c r="AB815" s="72"/>
      <c r="AE815" s="72"/>
      <c r="AH815" s="72"/>
      <c r="AK815" s="72"/>
      <c r="AN815" s="72"/>
      <c r="AQ815" s="72"/>
      <c r="AT815" s="72"/>
      <c r="AW815" s="72"/>
      <c r="AZ815" s="72"/>
    </row>
    <row r="816" spans="1:52">
      <c r="A816" s="131"/>
      <c r="B816" s="72"/>
      <c r="D816" s="72"/>
      <c r="G816" s="72"/>
      <c r="J816" s="72"/>
      <c r="M816" s="72"/>
      <c r="P816" s="72"/>
      <c r="S816" s="72"/>
      <c r="V816" s="72"/>
      <c r="Y816" s="72"/>
      <c r="AB816" s="72"/>
      <c r="AE816" s="72"/>
      <c r="AH816" s="72"/>
      <c r="AK816" s="72"/>
      <c r="AN816" s="72"/>
      <c r="AQ816" s="72"/>
      <c r="AT816" s="72"/>
      <c r="AW816" s="72"/>
      <c r="AZ816" s="72"/>
    </row>
    <row r="817" spans="1:52">
      <c r="A817" s="131"/>
      <c r="B817" s="72"/>
      <c r="D817" s="72"/>
      <c r="G817" s="72"/>
      <c r="J817" s="72"/>
      <c r="M817" s="72"/>
      <c r="P817" s="72"/>
      <c r="S817" s="72"/>
      <c r="V817" s="72"/>
      <c r="Y817" s="72"/>
      <c r="AB817" s="72"/>
      <c r="AE817" s="72"/>
      <c r="AH817" s="72"/>
      <c r="AK817" s="72"/>
      <c r="AN817" s="72"/>
      <c r="AQ817" s="72"/>
      <c r="AT817" s="72"/>
      <c r="AW817" s="72"/>
      <c r="AZ817" s="72"/>
    </row>
    <row r="818" spans="1:52">
      <c r="A818" s="131"/>
      <c r="B818" s="72"/>
      <c r="D818" s="72"/>
      <c r="G818" s="72"/>
      <c r="J818" s="72"/>
      <c r="M818" s="72"/>
      <c r="P818" s="72"/>
      <c r="S818" s="72"/>
      <c r="V818" s="72"/>
      <c r="Y818" s="72"/>
      <c r="AB818" s="72"/>
      <c r="AE818" s="72"/>
      <c r="AH818" s="72"/>
      <c r="AK818" s="72"/>
      <c r="AN818" s="72"/>
      <c r="AQ818" s="72"/>
      <c r="AT818" s="72"/>
      <c r="AW818" s="72"/>
      <c r="AZ818" s="72"/>
    </row>
    <row r="819" spans="1:52">
      <c r="A819" s="131"/>
      <c r="B819" s="72"/>
      <c r="D819" s="72"/>
      <c r="G819" s="72"/>
      <c r="J819" s="72"/>
      <c r="M819" s="72"/>
      <c r="P819" s="72"/>
      <c r="S819" s="72"/>
      <c r="V819" s="72"/>
      <c r="Y819" s="72"/>
      <c r="AB819" s="72"/>
      <c r="AE819" s="72"/>
      <c r="AH819" s="72"/>
      <c r="AK819" s="72"/>
      <c r="AN819" s="72"/>
      <c r="AQ819" s="72"/>
      <c r="AT819" s="72"/>
      <c r="AW819" s="72"/>
      <c r="AZ819" s="72"/>
    </row>
    <row r="820" spans="1:52">
      <c r="A820" s="131"/>
      <c r="B820" s="72"/>
      <c r="D820" s="72"/>
      <c r="G820" s="72"/>
      <c r="J820" s="72"/>
      <c r="M820" s="72"/>
      <c r="P820" s="72"/>
      <c r="S820" s="72"/>
      <c r="V820" s="72"/>
      <c r="Y820" s="72"/>
      <c r="AB820" s="72"/>
      <c r="AE820" s="72"/>
      <c r="AH820" s="72"/>
      <c r="AK820" s="72"/>
      <c r="AN820" s="72"/>
      <c r="AQ820" s="72"/>
      <c r="AT820" s="72"/>
      <c r="AW820" s="72"/>
      <c r="AZ820" s="72"/>
    </row>
    <row r="821" spans="1:52">
      <c r="A821" s="131"/>
      <c r="B821" s="72"/>
      <c r="D821" s="72"/>
      <c r="G821" s="72"/>
      <c r="J821" s="72"/>
      <c r="M821" s="72"/>
      <c r="P821" s="72"/>
      <c r="S821" s="72"/>
      <c r="V821" s="72"/>
      <c r="Y821" s="72"/>
      <c r="AB821" s="72"/>
      <c r="AE821" s="72"/>
      <c r="AH821" s="72"/>
      <c r="AK821" s="72"/>
      <c r="AN821" s="72"/>
      <c r="AQ821" s="72"/>
      <c r="AT821" s="72"/>
      <c r="AW821" s="72"/>
      <c r="AZ821" s="72"/>
    </row>
    <row r="822" spans="1:52">
      <c r="A822" s="131"/>
      <c r="B822" s="72"/>
      <c r="D822" s="72"/>
      <c r="G822" s="72"/>
      <c r="J822" s="72"/>
      <c r="M822" s="72"/>
      <c r="P822" s="72"/>
      <c r="S822" s="72"/>
      <c r="V822" s="72"/>
      <c r="Y822" s="72"/>
      <c r="AB822" s="72"/>
      <c r="AE822" s="72"/>
      <c r="AH822" s="72"/>
      <c r="AK822" s="72"/>
      <c r="AN822" s="72"/>
      <c r="AQ822" s="72"/>
      <c r="AT822" s="72"/>
      <c r="AW822" s="72"/>
      <c r="AZ822" s="72"/>
    </row>
    <row r="823" spans="1:52">
      <c r="A823" s="131"/>
      <c r="B823" s="72"/>
      <c r="D823" s="72"/>
      <c r="G823" s="72"/>
      <c r="J823" s="72"/>
      <c r="M823" s="72"/>
      <c r="P823" s="72"/>
      <c r="S823" s="72"/>
      <c r="V823" s="72"/>
      <c r="Y823" s="72"/>
      <c r="AB823" s="72"/>
      <c r="AE823" s="72"/>
      <c r="AH823" s="72"/>
      <c r="AK823" s="72"/>
      <c r="AN823" s="72"/>
      <c r="AQ823" s="72"/>
      <c r="AT823" s="72"/>
      <c r="AW823" s="72"/>
      <c r="AZ823" s="72"/>
    </row>
    <row r="824" spans="1:52">
      <c r="A824" s="131"/>
      <c r="B824" s="72"/>
      <c r="D824" s="72"/>
      <c r="G824" s="72"/>
      <c r="J824" s="72"/>
      <c r="M824" s="72"/>
      <c r="P824" s="72"/>
      <c r="S824" s="72"/>
      <c r="V824" s="72"/>
      <c r="Y824" s="72"/>
      <c r="AB824" s="72"/>
      <c r="AE824" s="72"/>
      <c r="AH824" s="72"/>
      <c r="AK824" s="72"/>
      <c r="AN824" s="72"/>
      <c r="AQ824" s="72"/>
      <c r="AT824" s="72"/>
      <c r="AW824" s="72"/>
      <c r="AZ824" s="72"/>
    </row>
    <row r="825" spans="1:52">
      <c r="A825" s="131"/>
      <c r="B825" s="72"/>
      <c r="D825" s="72"/>
      <c r="G825" s="72"/>
      <c r="J825" s="72"/>
      <c r="M825" s="72"/>
      <c r="P825" s="72"/>
      <c r="S825" s="72"/>
      <c r="V825" s="72"/>
      <c r="Y825" s="72"/>
      <c r="AB825" s="72"/>
      <c r="AE825" s="72"/>
      <c r="AH825" s="72"/>
      <c r="AK825" s="72"/>
      <c r="AN825" s="72"/>
      <c r="AQ825" s="72"/>
      <c r="AT825" s="72"/>
      <c r="AW825" s="72"/>
      <c r="AZ825" s="72"/>
    </row>
    <row r="826" spans="1:52">
      <c r="A826" s="131"/>
      <c r="B826" s="72"/>
      <c r="D826" s="72"/>
      <c r="G826" s="72"/>
      <c r="J826" s="72"/>
      <c r="M826" s="72"/>
      <c r="P826" s="72"/>
      <c r="S826" s="72"/>
      <c r="V826" s="72"/>
      <c r="Y826" s="72"/>
      <c r="AB826" s="72"/>
      <c r="AE826" s="72"/>
      <c r="AH826" s="72"/>
      <c r="AK826" s="72"/>
      <c r="AN826" s="72"/>
      <c r="AQ826" s="72"/>
      <c r="AT826" s="72"/>
      <c r="AW826" s="72"/>
      <c r="AZ826" s="72"/>
    </row>
    <row r="827" spans="1:52">
      <c r="A827" s="131"/>
      <c r="B827" s="72"/>
      <c r="D827" s="72"/>
      <c r="G827" s="72"/>
      <c r="J827" s="72"/>
      <c r="M827" s="72"/>
      <c r="P827" s="72"/>
      <c r="S827" s="72"/>
      <c r="V827" s="72"/>
      <c r="Y827" s="72"/>
      <c r="AB827" s="72"/>
      <c r="AE827" s="72"/>
      <c r="AH827" s="72"/>
      <c r="AK827" s="72"/>
      <c r="AN827" s="72"/>
      <c r="AQ827" s="72"/>
      <c r="AT827" s="72"/>
      <c r="AW827" s="72"/>
      <c r="AZ827" s="72"/>
    </row>
    <row r="828" spans="1:52">
      <c r="A828" s="131"/>
      <c r="B828" s="72"/>
      <c r="D828" s="72"/>
      <c r="G828" s="72"/>
      <c r="J828" s="72"/>
      <c r="M828" s="72"/>
      <c r="P828" s="72"/>
      <c r="S828" s="72"/>
      <c r="V828" s="72"/>
      <c r="Y828" s="72"/>
      <c r="AB828" s="72"/>
      <c r="AE828" s="72"/>
      <c r="AH828" s="72"/>
      <c r="AK828" s="72"/>
      <c r="AN828" s="72"/>
      <c r="AQ828" s="72"/>
      <c r="AT828" s="72"/>
      <c r="AW828" s="72"/>
      <c r="AZ828" s="72"/>
    </row>
    <row r="829" spans="1:52">
      <c r="A829" s="131"/>
      <c r="B829" s="72"/>
      <c r="D829" s="72"/>
      <c r="G829" s="72"/>
      <c r="J829" s="72"/>
      <c r="M829" s="72"/>
      <c r="P829" s="72"/>
      <c r="S829" s="72"/>
      <c r="V829" s="72"/>
      <c r="Y829" s="72"/>
      <c r="AB829" s="72"/>
      <c r="AE829" s="72"/>
      <c r="AH829" s="72"/>
      <c r="AK829" s="72"/>
      <c r="AN829" s="72"/>
      <c r="AQ829" s="72"/>
      <c r="AT829" s="72"/>
      <c r="AW829" s="72"/>
      <c r="AZ829" s="72"/>
    </row>
    <row r="830" spans="1:52">
      <c r="A830" s="131"/>
      <c r="B830" s="72"/>
      <c r="D830" s="72"/>
      <c r="G830" s="72"/>
      <c r="J830" s="72"/>
      <c r="M830" s="72"/>
      <c r="P830" s="72"/>
      <c r="S830" s="72"/>
      <c r="V830" s="72"/>
      <c r="Y830" s="72"/>
      <c r="AB830" s="72"/>
      <c r="AE830" s="72"/>
      <c r="AH830" s="72"/>
      <c r="AK830" s="72"/>
      <c r="AN830" s="72"/>
      <c r="AQ830" s="72"/>
      <c r="AT830" s="72"/>
      <c r="AW830" s="72"/>
      <c r="AZ830" s="72"/>
    </row>
    <row r="831" spans="1:52">
      <c r="A831" s="131"/>
      <c r="B831" s="72"/>
      <c r="D831" s="72"/>
      <c r="G831" s="72"/>
      <c r="J831" s="72"/>
      <c r="M831" s="72"/>
      <c r="P831" s="72"/>
      <c r="S831" s="72"/>
      <c r="V831" s="72"/>
      <c r="Y831" s="72"/>
      <c r="AB831" s="72"/>
      <c r="AE831" s="72"/>
      <c r="AH831" s="72"/>
      <c r="AK831" s="72"/>
      <c r="AN831" s="72"/>
      <c r="AQ831" s="72"/>
      <c r="AT831" s="72"/>
      <c r="AW831" s="72"/>
      <c r="AZ831" s="72"/>
    </row>
    <row r="832" spans="1:52">
      <c r="A832" s="131"/>
      <c r="B832" s="72"/>
      <c r="D832" s="72"/>
      <c r="G832" s="72"/>
      <c r="J832" s="72"/>
      <c r="M832" s="72"/>
      <c r="P832" s="72"/>
      <c r="S832" s="72"/>
      <c r="V832" s="72"/>
      <c r="Y832" s="72"/>
      <c r="AB832" s="72"/>
      <c r="AE832" s="72"/>
      <c r="AH832" s="72"/>
      <c r="AK832" s="72"/>
      <c r="AN832" s="72"/>
      <c r="AQ832" s="72"/>
      <c r="AT832" s="72"/>
      <c r="AW832" s="72"/>
      <c r="AZ832" s="72"/>
    </row>
    <row r="833" spans="1:52">
      <c r="A833" s="131"/>
      <c r="B833" s="72"/>
      <c r="D833" s="72"/>
      <c r="G833" s="72"/>
      <c r="J833" s="72"/>
      <c r="M833" s="72"/>
      <c r="P833" s="72"/>
      <c r="S833" s="72"/>
      <c r="V833" s="72"/>
      <c r="Y833" s="72"/>
      <c r="AB833" s="72"/>
      <c r="AE833" s="72"/>
      <c r="AH833" s="72"/>
      <c r="AK833" s="72"/>
      <c r="AN833" s="72"/>
      <c r="AQ833" s="72"/>
      <c r="AT833" s="72"/>
      <c r="AW833" s="72"/>
      <c r="AZ833" s="72"/>
    </row>
    <row r="834" spans="1:52">
      <c r="A834" s="131"/>
      <c r="B834" s="72"/>
      <c r="D834" s="72"/>
      <c r="G834" s="72"/>
      <c r="J834" s="72"/>
      <c r="M834" s="72"/>
      <c r="P834" s="72"/>
      <c r="S834" s="72"/>
      <c r="V834" s="72"/>
      <c r="Y834" s="72"/>
      <c r="AB834" s="72"/>
      <c r="AE834" s="72"/>
      <c r="AH834" s="72"/>
      <c r="AK834" s="72"/>
      <c r="AN834" s="72"/>
      <c r="AQ834" s="72"/>
      <c r="AT834" s="72"/>
      <c r="AW834" s="72"/>
      <c r="AZ834" s="72"/>
    </row>
    <row r="835" spans="1:52">
      <c r="A835" s="131"/>
      <c r="B835" s="72"/>
      <c r="D835" s="72"/>
      <c r="G835" s="72"/>
      <c r="J835" s="72"/>
      <c r="M835" s="72"/>
      <c r="P835" s="72"/>
      <c r="S835" s="72"/>
      <c r="V835" s="72"/>
      <c r="Y835" s="72"/>
      <c r="AB835" s="72"/>
      <c r="AE835" s="72"/>
      <c r="AH835" s="72"/>
      <c r="AK835" s="72"/>
      <c r="AN835" s="72"/>
      <c r="AQ835" s="72"/>
      <c r="AT835" s="72"/>
      <c r="AW835" s="72"/>
      <c r="AZ835" s="72"/>
    </row>
    <row r="836" spans="1:52">
      <c r="A836" s="131"/>
      <c r="B836" s="72"/>
      <c r="D836" s="72"/>
      <c r="G836" s="72"/>
      <c r="J836" s="72"/>
      <c r="M836" s="72"/>
      <c r="P836" s="72"/>
      <c r="S836" s="72"/>
      <c r="V836" s="72"/>
      <c r="Y836" s="72"/>
      <c r="AB836" s="72"/>
      <c r="AE836" s="72"/>
      <c r="AH836" s="72"/>
      <c r="AK836" s="72"/>
      <c r="AN836" s="72"/>
      <c r="AQ836" s="72"/>
      <c r="AT836" s="72"/>
      <c r="AW836" s="72"/>
      <c r="AZ836" s="72"/>
    </row>
    <row r="837" spans="1:52">
      <c r="A837" s="131"/>
      <c r="B837" s="72"/>
      <c r="D837" s="72"/>
      <c r="G837" s="72"/>
      <c r="J837" s="72"/>
      <c r="M837" s="72"/>
      <c r="P837" s="72"/>
      <c r="S837" s="72"/>
      <c r="V837" s="72"/>
      <c r="Y837" s="72"/>
      <c r="AB837" s="72"/>
      <c r="AE837" s="72"/>
      <c r="AH837" s="72"/>
      <c r="AK837" s="72"/>
      <c r="AN837" s="72"/>
      <c r="AQ837" s="72"/>
      <c r="AT837" s="72"/>
      <c r="AW837" s="72"/>
      <c r="AZ837" s="72"/>
    </row>
    <row r="838" spans="1:52">
      <c r="A838" s="131"/>
      <c r="B838" s="72"/>
      <c r="D838" s="72"/>
      <c r="G838" s="72"/>
      <c r="J838" s="72"/>
      <c r="M838" s="72"/>
      <c r="P838" s="72"/>
      <c r="S838" s="72"/>
      <c r="V838" s="72"/>
      <c r="Y838" s="72"/>
      <c r="AB838" s="72"/>
      <c r="AE838" s="72"/>
      <c r="AH838" s="72"/>
      <c r="AK838" s="72"/>
      <c r="AN838" s="72"/>
      <c r="AQ838" s="72"/>
      <c r="AT838" s="72"/>
      <c r="AW838" s="72"/>
      <c r="AZ838" s="72"/>
    </row>
    <row r="839" spans="1:52">
      <c r="A839" s="131"/>
      <c r="B839" s="72"/>
      <c r="D839" s="72"/>
      <c r="G839" s="72"/>
      <c r="J839" s="72"/>
      <c r="M839" s="72"/>
      <c r="P839" s="72"/>
      <c r="S839" s="72"/>
      <c r="V839" s="72"/>
      <c r="Y839" s="72"/>
      <c r="AB839" s="72"/>
      <c r="AE839" s="72"/>
      <c r="AH839" s="72"/>
      <c r="AK839" s="72"/>
      <c r="AN839" s="72"/>
      <c r="AQ839" s="72"/>
      <c r="AT839" s="72"/>
      <c r="AW839" s="72"/>
      <c r="AZ839" s="72"/>
    </row>
    <row r="840" spans="1:52">
      <c r="A840" s="131"/>
      <c r="B840" s="72"/>
      <c r="D840" s="72"/>
      <c r="G840" s="72"/>
      <c r="J840" s="72"/>
      <c r="M840" s="72"/>
      <c r="P840" s="72"/>
      <c r="S840" s="72"/>
      <c r="V840" s="72"/>
      <c r="Y840" s="72"/>
      <c r="AB840" s="72"/>
      <c r="AE840" s="72"/>
      <c r="AH840" s="72"/>
      <c r="AK840" s="72"/>
      <c r="AN840" s="72"/>
      <c r="AQ840" s="72"/>
      <c r="AT840" s="72"/>
      <c r="AW840" s="72"/>
      <c r="AZ840" s="72"/>
    </row>
    <row r="841" spans="1:52">
      <c r="A841" s="131"/>
      <c r="B841" s="72"/>
      <c r="D841" s="72"/>
      <c r="G841" s="72"/>
      <c r="J841" s="72"/>
      <c r="M841" s="72"/>
      <c r="P841" s="72"/>
      <c r="S841" s="72"/>
      <c r="V841" s="72"/>
      <c r="Y841" s="72"/>
      <c r="AB841" s="72"/>
      <c r="AE841" s="72"/>
      <c r="AH841" s="72"/>
      <c r="AK841" s="72"/>
      <c r="AN841" s="72"/>
      <c r="AQ841" s="72"/>
      <c r="AT841" s="72"/>
      <c r="AW841" s="72"/>
      <c r="AZ841" s="72"/>
    </row>
    <row r="842" spans="1:52">
      <c r="A842" s="131"/>
      <c r="B842" s="72"/>
      <c r="D842" s="72"/>
      <c r="G842" s="72"/>
      <c r="J842" s="72"/>
      <c r="M842" s="72"/>
      <c r="P842" s="72"/>
      <c r="S842" s="72"/>
      <c r="V842" s="72"/>
      <c r="Y842" s="72"/>
      <c r="AB842" s="72"/>
      <c r="AE842" s="72"/>
      <c r="AH842" s="72"/>
      <c r="AK842" s="72"/>
      <c r="AN842" s="72"/>
      <c r="AQ842" s="72"/>
      <c r="AT842" s="72"/>
      <c r="AW842" s="72"/>
      <c r="AZ842" s="72"/>
    </row>
    <row r="843" spans="1:52">
      <c r="A843" s="131"/>
      <c r="B843" s="72"/>
      <c r="D843" s="72"/>
      <c r="G843" s="72"/>
      <c r="J843" s="72"/>
      <c r="M843" s="72"/>
      <c r="P843" s="72"/>
      <c r="S843" s="72"/>
      <c r="V843" s="72"/>
      <c r="Y843" s="72"/>
      <c r="AB843" s="72"/>
      <c r="AE843" s="72"/>
      <c r="AH843" s="72"/>
      <c r="AK843" s="72"/>
      <c r="AN843" s="72"/>
      <c r="AQ843" s="72"/>
      <c r="AT843" s="72"/>
      <c r="AW843" s="72"/>
      <c r="AZ843" s="72"/>
    </row>
    <row r="844" spans="1:52">
      <c r="A844" s="131"/>
      <c r="B844" s="72"/>
      <c r="D844" s="72"/>
      <c r="G844" s="72"/>
      <c r="J844" s="72"/>
      <c r="M844" s="72"/>
      <c r="P844" s="72"/>
      <c r="S844" s="72"/>
      <c r="V844" s="72"/>
      <c r="Y844" s="72"/>
      <c r="AB844" s="72"/>
      <c r="AE844" s="72"/>
      <c r="AH844" s="72"/>
      <c r="AK844" s="72"/>
      <c r="AN844" s="72"/>
      <c r="AQ844" s="72"/>
      <c r="AT844" s="72"/>
      <c r="AW844" s="72"/>
      <c r="AZ844" s="72"/>
    </row>
    <row r="845" spans="1:52">
      <c r="A845" s="131"/>
      <c r="B845" s="72"/>
      <c r="D845" s="72"/>
      <c r="G845" s="72"/>
      <c r="J845" s="72"/>
      <c r="M845" s="72"/>
      <c r="P845" s="72"/>
      <c r="S845" s="72"/>
      <c r="V845" s="72"/>
      <c r="Y845" s="72"/>
      <c r="AB845" s="72"/>
      <c r="AE845" s="72"/>
      <c r="AH845" s="72"/>
      <c r="AK845" s="72"/>
      <c r="AN845" s="72"/>
      <c r="AQ845" s="72"/>
      <c r="AT845" s="72"/>
      <c r="AW845" s="72"/>
      <c r="AZ845" s="72"/>
    </row>
    <row r="846" spans="1:52">
      <c r="A846" s="131"/>
      <c r="B846" s="72"/>
      <c r="D846" s="72"/>
      <c r="G846" s="72"/>
      <c r="J846" s="72"/>
      <c r="M846" s="72"/>
      <c r="P846" s="72"/>
      <c r="S846" s="72"/>
      <c r="V846" s="72"/>
      <c r="Y846" s="72"/>
      <c r="AB846" s="72"/>
      <c r="AE846" s="72"/>
      <c r="AH846" s="72"/>
      <c r="AK846" s="72"/>
      <c r="AN846" s="72"/>
      <c r="AQ846" s="72"/>
      <c r="AT846" s="72"/>
      <c r="AW846" s="72"/>
      <c r="AZ846" s="72"/>
    </row>
    <row r="847" spans="1:52">
      <c r="A847" s="131"/>
      <c r="B847" s="72"/>
      <c r="D847" s="72"/>
      <c r="G847" s="72"/>
      <c r="J847" s="72"/>
      <c r="M847" s="72"/>
      <c r="P847" s="72"/>
      <c r="S847" s="72"/>
      <c r="V847" s="72"/>
      <c r="Y847" s="72"/>
      <c r="AB847" s="72"/>
      <c r="AE847" s="72"/>
      <c r="AH847" s="72"/>
      <c r="AK847" s="72"/>
      <c r="AN847" s="72"/>
      <c r="AQ847" s="72"/>
      <c r="AT847" s="72"/>
      <c r="AW847" s="72"/>
      <c r="AZ847" s="72"/>
    </row>
    <row r="848" spans="1:52">
      <c r="A848" s="131"/>
      <c r="B848" s="72"/>
      <c r="D848" s="72"/>
      <c r="G848" s="72"/>
      <c r="J848" s="72"/>
      <c r="M848" s="72"/>
      <c r="P848" s="72"/>
      <c r="S848" s="72"/>
      <c r="V848" s="72"/>
      <c r="Y848" s="72"/>
      <c r="AB848" s="72"/>
      <c r="AE848" s="72"/>
      <c r="AH848" s="72"/>
      <c r="AK848" s="72"/>
      <c r="AN848" s="72"/>
      <c r="AQ848" s="72"/>
      <c r="AT848" s="72"/>
      <c r="AW848" s="72"/>
      <c r="AZ848" s="72"/>
    </row>
    <row r="849" spans="1:52">
      <c r="A849" s="131"/>
      <c r="B849" s="72"/>
      <c r="D849" s="72"/>
      <c r="G849" s="72"/>
      <c r="J849" s="72"/>
      <c r="M849" s="72"/>
      <c r="P849" s="72"/>
      <c r="S849" s="72"/>
      <c r="V849" s="72"/>
      <c r="Y849" s="72"/>
      <c r="AB849" s="72"/>
      <c r="AE849" s="72"/>
      <c r="AH849" s="72"/>
      <c r="AK849" s="72"/>
      <c r="AN849" s="72"/>
      <c r="AQ849" s="72"/>
      <c r="AT849" s="72"/>
      <c r="AW849" s="72"/>
      <c r="AZ849" s="72"/>
    </row>
    <row r="850" spans="1:52">
      <c r="A850" s="131"/>
      <c r="B850" s="72"/>
      <c r="D850" s="72"/>
      <c r="G850" s="72"/>
      <c r="J850" s="72"/>
      <c r="M850" s="72"/>
      <c r="P850" s="72"/>
      <c r="S850" s="72"/>
      <c r="V850" s="72"/>
      <c r="Y850" s="72"/>
      <c r="AB850" s="72"/>
      <c r="AE850" s="72"/>
      <c r="AH850" s="72"/>
      <c r="AK850" s="72"/>
      <c r="AN850" s="72"/>
      <c r="AQ850" s="72"/>
      <c r="AT850" s="72"/>
      <c r="AW850" s="72"/>
      <c r="AZ850" s="72"/>
    </row>
    <row r="851" spans="1:52">
      <c r="A851" s="131"/>
      <c r="B851" s="72"/>
      <c r="D851" s="72"/>
      <c r="G851" s="72"/>
      <c r="J851" s="72"/>
      <c r="M851" s="72"/>
      <c r="P851" s="72"/>
      <c r="S851" s="72"/>
      <c r="V851" s="72"/>
      <c r="Y851" s="72"/>
      <c r="AB851" s="72"/>
      <c r="AE851" s="72"/>
      <c r="AH851" s="72"/>
      <c r="AK851" s="72"/>
      <c r="AN851" s="72"/>
      <c r="AQ851" s="72"/>
      <c r="AT851" s="72"/>
      <c r="AW851" s="72"/>
      <c r="AZ851" s="72"/>
    </row>
    <row r="852" spans="1:52">
      <c r="A852" s="131"/>
      <c r="B852" s="72"/>
      <c r="D852" s="72"/>
      <c r="G852" s="72"/>
      <c r="J852" s="72"/>
      <c r="M852" s="72"/>
      <c r="P852" s="72"/>
      <c r="S852" s="72"/>
      <c r="V852" s="72"/>
      <c r="Y852" s="72"/>
      <c r="AB852" s="72"/>
      <c r="AE852" s="72"/>
      <c r="AH852" s="72"/>
      <c r="AK852" s="72"/>
      <c r="AN852" s="72"/>
      <c r="AQ852" s="72"/>
      <c r="AT852" s="72"/>
      <c r="AW852" s="72"/>
      <c r="AZ852" s="72"/>
    </row>
    <row r="853" spans="1:52">
      <c r="A853" s="131"/>
      <c r="B853" s="72"/>
      <c r="D853" s="72"/>
      <c r="G853" s="72"/>
      <c r="J853" s="72"/>
      <c r="M853" s="72"/>
      <c r="P853" s="72"/>
      <c r="S853" s="72"/>
      <c r="V853" s="72"/>
      <c r="Y853" s="72"/>
      <c r="AB853" s="72"/>
      <c r="AE853" s="72"/>
      <c r="AH853" s="72"/>
      <c r="AK853" s="72"/>
      <c r="AN853" s="72"/>
      <c r="AQ853" s="72"/>
      <c r="AT853" s="72"/>
      <c r="AW853" s="72"/>
      <c r="AZ853" s="72"/>
    </row>
    <row r="854" spans="1:52">
      <c r="A854" s="131"/>
      <c r="B854" s="72"/>
      <c r="D854" s="72"/>
      <c r="G854" s="72"/>
      <c r="J854" s="72"/>
      <c r="M854" s="72"/>
      <c r="P854" s="72"/>
      <c r="S854" s="72"/>
      <c r="V854" s="72"/>
      <c r="Y854" s="72"/>
      <c r="AB854" s="72"/>
      <c r="AE854" s="72"/>
      <c r="AH854" s="72"/>
      <c r="AK854" s="72"/>
      <c r="AN854" s="72"/>
      <c r="AQ854" s="72"/>
      <c r="AT854" s="72"/>
      <c r="AW854" s="72"/>
      <c r="AZ854" s="72"/>
    </row>
    <row r="855" spans="1:52">
      <c r="A855" s="131"/>
      <c r="B855" s="72"/>
      <c r="D855" s="72"/>
      <c r="G855" s="72"/>
      <c r="J855" s="72"/>
      <c r="M855" s="72"/>
      <c r="P855" s="72"/>
      <c r="S855" s="72"/>
      <c r="V855" s="72"/>
      <c r="Y855" s="72"/>
      <c r="AB855" s="72"/>
      <c r="AE855" s="72"/>
      <c r="AH855" s="72"/>
      <c r="AK855" s="72"/>
      <c r="AN855" s="72"/>
      <c r="AQ855" s="72"/>
      <c r="AT855" s="72"/>
      <c r="AW855" s="72"/>
      <c r="AZ855" s="72"/>
    </row>
    <row r="856" spans="1:52">
      <c r="A856" s="131"/>
      <c r="B856" s="72"/>
      <c r="D856" s="72"/>
      <c r="G856" s="72"/>
      <c r="J856" s="72"/>
      <c r="M856" s="72"/>
      <c r="P856" s="72"/>
      <c r="S856" s="72"/>
      <c r="V856" s="72"/>
      <c r="Y856" s="72"/>
      <c r="AB856" s="72"/>
      <c r="AE856" s="72"/>
      <c r="AH856" s="72"/>
      <c r="AK856" s="72"/>
      <c r="AN856" s="72"/>
      <c r="AQ856" s="72"/>
      <c r="AT856" s="72"/>
      <c r="AW856" s="72"/>
      <c r="AZ856" s="72"/>
    </row>
    <row r="857" spans="1:52">
      <c r="A857" s="131"/>
      <c r="B857" s="72"/>
      <c r="D857" s="72"/>
      <c r="G857" s="72"/>
      <c r="J857" s="72"/>
      <c r="M857" s="72"/>
      <c r="P857" s="72"/>
      <c r="S857" s="72"/>
      <c r="V857" s="72"/>
      <c r="Y857" s="72"/>
      <c r="AB857" s="72"/>
      <c r="AE857" s="72"/>
      <c r="AH857" s="72"/>
      <c r="AK857" s="72"/>
      <c r="AN857" s="72"/>
      <c r="AQ857" s="72"/>
      <c r="AT857" s="72"/>
      <c r="AW857" s="72"/>
      <c r="AZ857" s="72"/>
    </row>
    <row r="858" spans="1:52">
      <c r="A858" s="131"/>
      <c r="B858" s="72"/>
      <c r="D858" s="72"/>
      <c r="G858" s="72"/>
      <c r="J858" s="72"/>
      <c r="M858" s="72"/>
      <c r="P858" s="72"/>
      <c r="S858" s="72"/>
      <c r="V858" s="72"/>
      <c r="Y858" s="72"/>
      <c r="AB858" s="72"/>
      <c r="AE858" s="72"/>
      <c r="AH858" s="72"/>
      <c r="AK858" s="72"/>
      <c r="AN858" s="72"/>
      <c r="AQ858" s="72"/>
      <c r="AT858" s="72"/>
      <c r="AW858" s="72"/>
      <c r="AZ858" s="72"/>
    </row>
    <row r="859" spans="1:52">
      <c r="A859" s="131"/>
      <c r="B859" s="72"/>
      <c r="D859" s="72"/>
      <c r="G859" s="72"/>
      <c r="J859" s="72"/>
      <c r="M859" s="72"/>
      <c r="P859" s="72"/>
      <c r="S859" s="72"/>
      <c r="V859" s="72"/>
      <c r="Y859" s="72"/>
      <c r="AB859" s="72"/>
      <c r="AE859" s="72"/>
      <c r="AH859" s="72"/>
      <c r="AK859" s="72"/>
      <c r="AN859" s="72"/>
      <c r="AQ859" s="72"/>
      <c r="AT859" s="72"/>
      <c r="AW859" s="72"/>
      <c r="AZ859" s="72"/>
    </row>
    <row r="860" spans="1:52">
      <c r="A860" s="131"/>
      <c r="B860" s="72"/>
      <c r="D860" s="72"/>
      <c r="G860" s="72"/>
      <c r="J860" s="72"/>
      <c r="M860" s="72"/>
      <c r="P860" s="72"/>
      <c r="S860" s="72"/>
      <c r="V860" s="72"/>
      <c r="Y860" s="72"/>
      <c r="AB860" s="72"/>
      <c r="AE860" s="72"/>
      <c r="AH860" s="72"/>
      <c r="AK860" s="72"/>
      <c r="AN860" s="72"/>
      <c r="AQ860" s="72"/>
      <c r="AT860" s="72"/>
      <c r="AW860" s="72"/>
      <c r="AZ860" s="72"/>
    </row>
    <row r="861" spans="1:52">
      <c r="A861" s="131"/>
      <c r="B861" s="72"/>
      <c r="D861" s="72"/>
      <c r="G861" s="72"/>
      <c r="J861" s="72"/>
      <c r="M861" s="72"/>
      <c r="P861" s="72"/>
      <c r="S861" s="72"/>
      <c r="V861" s="72"/>
      <c r="Y861" s="72"/>
      <c r="AB861" s="72"/>
      <c r="AE861" s="72"/>
      <c r="AH861" s="72"/>
      <c r="AK861" s="72"/>
      <c r="AN861" s="72"/>
      <c r="AQ861" s="72"/>
      <c r="AT861" s="72"/>
      <c r="AW861" s="72"/>
      <c r="AZ861" s="72"/>
    </row>
    <row r="862" spans="1:52">
      <c r="A862" s="131"/>
      <c r="B862" s="72"/>
      <c r="D862" s="72"/>
      <c r="G862" s="72"/>
      <c r="J862" s="72"/>
      <c r="M862" s="72"/>
      <c r="P862" s="72"/>
      <c r="S862" s="72"/>
      <c r="V862" s="72"/>
      <c r="Y862" s="72"/>
      <c r="AB862" s="72"/>
      <c r="AE862" s="72"/>
      <c r="AH862" s="72"/>
      <c r="AK862" s="72"/>
      <c r="AN862" s="72"/>
      <c r="AQ862" s="72"/>
      <c r="AT862" s="72"/>
      <c r="AW862" s="72"/>
      <c r="AZ862" s="72"/>
    </row>
    <row r="863" spans="1:52">
      <c r="A863" s="131"/>
      <c r="B863" s="72"/>
      <c r="D863" s="72"/>
      <c r="G863" s="72"/>
      <c r="J863" s="72"/>
      <c r="M863" s="72"/>
      <c r="P863" s="72"/>
      <c r="S863" s="72"/>
      <c r="V863" s="72"/>
      <c r="Y863" s="72"/>
      <c r="AB863" s="72"/>
      <c r="AE863" s="72"/>
      <c r="AH863" s="72"/>
      <c r="AK863" s="72"/>
      <c r="AN863" s="72"/>
      <c r="AQ863" s="72"/>
      <c r="AT863" s="72"/>
      <c r="AW863" s="72"/>
      <c r="AZ863" s="72"/>
    </row>
    <row r="864" spans="1:52">
      <c r="A864" s="131"/>
      <c r="B864" s="72"/>
      <c r="D864" s="72"/>
      <c r="G864" s="72"/>
      <c r="J864" s="72"/>
      <c r="M864" s="72"/>
      <c r="P864" s="72"/>
      <c r="S864" s="72"/>
      <c r="V864" s="72"/>
      <c r="Y864" s="72"/>
      <c r="AB864" s="72"/>
      <c r="AE864" s="72"/>
      <c r="AH864" s="72"/>
      <c r="AK864" s="72"/>
      <c r="AN864" s="72"/>
      <c r="AQ864" s="72"/>
      <c r="AT864" s="72"/>
      <c r="AW864" s="72"/>
      <c r="AZ864" s="72"/>
    </row>
    <row r="865" spans="1:52">
      <c r="A865" s="131"/>
      <c r="B865" s="72"/>
      <c r="D865" s="72"/>
      <c r="G865" s="72"/>
      <c r="J865" s="72"/>
      <c r="M865" s="72"/>
      <c r="P865" s="72"/>
      <c r="S865" s="72"/>
      <c r="V865" s="72"/>
      <c r="Y865" s="72"/>
      <c r="AB865" s="72"/>
      <c r="AE865" s="72"/>
      <c r="AH865" s="72"/>
      <c r="AK865" s="72"/>
      <c r="AN865" s="72"/>
      <c r="AQ865" s="72"/>
      <c r="AT865" s="72"/>
      <c r="AW865" s="72"/>
      <c r="AZ865" s="72"/>
    </row>
    <row r="866" spans="1:52">
      <c r="A866" s="131"/>
      <c r="B866" s="72"/>
      <c r="D866" s="72"/>
      <c r="G866" s="72"/>
      <c r="J866" s="72"/>
      <c r="M866" s="72"/>
      <c r="P866" s="72"/>
      <c r="S866" s="72"/>
      <c r="V866" s="72"/>
      <c r="Y866" s="72"/>
      <c r="AB866" s="72"/>
      <c r="AE866" s="72"/>
      <c r="AH866" s="72"/>
      <c r="AK866" s="72"/>
      <c r="AN866" s="72"/>
      <c r="AQ866" s="72"/>
      <c r="AT866" s="72"/>
      <c r="AW866" s="72"/>
      <c r="AZ866" s="72"/>
    </row>
    <row r="867" spans="1:52">
      <c r="A867" s="131"/>
      <c r="B867" s="72"/>
      <c r="D867" s="72"/>
      <c r="G867" s="72"/>
      <c r="J867" s="72"/>
      <c r="M867" s="72"/>
      <c r="P867" s="72"/>
      <c r="S867" s="72"/>
      <c r="V867" s="72"/>
      <c r="Y867" s="72"/>
      <c r="AB867" s="72"/>
      <c r="AE867" s="72"/>
      <c r="AH867" s="72"/>
      <c r="AK867" s="72"/>
      <c r="AN867" s="72"/>
      <c r="AQ867" s="72"/>
      <c r="AT867" s="72"/>
      <c r="AW867" s="72"/>
      <c r="AZ867" s="72"/>
    </row>
    <row r="868" spans="1:52">
      <c r="A868" s="131"/>
      <c r="B868" s="72"/>
      <c r="D868" s="72"/>
      <c r="G868" s="72"/>
      <c r="J868" s="72"/>
      <c r="M868" s="72"/>
      <c r="P868" s="72"/>
      <c r="S868" s="72"/>
      <c r="V868" s="72"/>
      <c r="Y868" s="72"/>
      <c r="AB868" s="72"/>
      <c r="AE868" s="72"/>
      <c r="AH868" s="72"/>
      <c r="AK868" s="72"/>
      <c r="AN868" s="72"/>
      <c r="AQ868" s="72"/>
      <c r="AT868" s="72"/>
      <c r="AW868" s="72"/>
      <c r="AZ868" s="72"/>
    </row>
    <row r="869" spans="1:52">
      <c r="A869" s="131"/>
      <c r="B869" s="72"/>
      <c r="D869" s="72"/>
      <c r="G869" s="72"/>
      <c r="J869" s="72"/>
      <c r="M869" s="72"/>
      <c r="P869" s="72"/>
      <c r="S869" s="72"/>
      <c r="V869" s="72"/>
      <c r="Y869" s="72"/>
      <c r="AB869" s="72"/>
      <c r="AE869" s="72"/>
      <c r="AH869" s="72"/>
      <c r="AK869" s="72"/>
      <c r="AN869" s="72"/>
      <c r="AQ869" s="72"/>
      <c r="AT869" s="72"/>
      <c r="AW869" s="72"/>
      <c r="AZ869" s="72"/>
    </row>
    <row r="870" spans="1:52">
      <c r="A870" s="131"/>
      <c r="B870" s="72"/>
      <c r="D870" s="72"/>
      <c r="G870" s="72"/>
      <c r="J870" s="72"/>
      <c r="M870" s="72"/>
      <c r="P870" s="72"/>
      <c r="S870" s="72"/>
      <c r="V870" s="72"/>
      <c r="Y870" s="72"/>
      <c r="AB870" s="72"/>
      <c r="AE870" s="72"/>
      <c r="AH870" s="72"/>
      <c r="AK870" s="72"/>
      <c r="AN870" s="72"/>
      <c r="AQ870" s="72"/>
      <c r="AT870" s="72"/>
      <c r="AW870" s="72"/>
      <c r="AZ870" s="72"/>
    </row>
    <row r="871" spans="1:52">
      <c r="A871" s="131"/>
      <c r="B871" s="72"/>
      <c r="D871" s="72"/>
      <c r="G871" s="72"/>
      <c r="J871" s="72"/>
      <c r="M871" s="72"/>
      <c r="P871" s="72"/>
      <c r="S871" s="72"/>
      <c r="V871" s="72"/>
      <c r="Y871" s="72"/>
      <c r="AB871" s="72"/>
      <c r="AE871" s="72"/>
      <c r="AH871" s="72"/>
      <c r="AK871" s="72"/>
      <c r="AN871" s="72"/>
      <c r="AQ871" s="72"/>
      <c r="AT871" s="72"/>
      <c r="AW871" s="72"/>
      <c r="AZ871" s="72"/>
    </row>
    <row r="872" spans="1:52">
      <c r="A872" s="131"/>
      <c r="B872" s="72"/>
      <c r="D872" s="72"/>
      <c r="G872" s="72"/>
      <c r="J872" s="72"/>
      <c r="M872" s="72"/>
      <c r="P872" s="72"/>
      <c r="S872" s="72"/>
      <c r="V872" s="72"/>
      <c r="Y872" s="72"/>
      <c r="AB872" s="72"/>
      <c r="AE872" s="72"/>
      <c r="AH872" s="72"/>
      <c r="AK872" s="72"/>
      <c r="AN872" s="72"/>
      <c r="AQ872" s="72"/>
      <c r="AT872" s="72"/>
      <c r="AW872" s="72"/>
      <c r="AZ872" s="72"/>
    </row>
    <row r="873" spans="1:52">
      <c r="A873" s="131"/>
      <c r="B873" s="72"/>
      <c r="D873" s="72"/>
      <c r="G873" s="72"/>
      <c r="J873" s="72"/>
      <c r="M873" s="72"/>
      <c r="P873" s="72"/>
      <c r="S873" s="72"/>
      <c r="V873" s="72"/>
      <c r="Y873" s="72"/>
      <c r="AB873" s="72"/>
      <c r="AE873" s="72"/>
      <c r="AH873" s="72"/>
      <c r="AK873" s="72"/>
      <c r="AN873" s="72"/>
      <c r="AQ873" s="72"/>
      <c r="AT873" s="72"/>
      <c r="AW873" s="72"/>
      <c r="AZ873" s="72"/>
    </row>
    <row r="874" spans="1:52">
      <c r="A874" s="131"/>
      <c r="B874" s="72"/>
      <c r="D874" s="72"/>
      <c r="G874" s="72"/>
      <c r="J874" s="72"/>
      <c r="M874" s="72"/>
      <c r="P874" s="72"/>
      <c r="S874" s="72"/>
      <c r="V874" s="72"/>
      <c r="Y874" s="72"/>
      <c r="AB874" s="72"/>
      <c r="AE874" s="72"/>
      <c r="AH874" s="72"/>
      <c r="AK874" s="72"/>
      <c r="AN874" s="72"/>
      <c r="AQ874" s="72"/>
      <c r="AT874" s="72"/>
      <c r="AW874" s="72"/>
      <c r="AZ874" s="72"/>
    </row>
    <row r="875" spans="1:52">
      <c r="A875" s="131"/>
      <c r="B875" s="72"/>
      <c r="D875" s="72"/>
      <c r="G875" s="72"/>
      <c r="J875" s="72"/>
      <c r="M875" s="72"/>
      <c r="P875" s="72"/>
      <c r="S875" s="72"/>
      <c r="V875" s="72"/>
      <c r="Y875" s="72"/>
      <c r="AB875" s="72"/>
      <c r="AE875" s="72"/>
      <c r="AH875" s="72"/>
      <c r="AK875" s="72"/>
      <c r="AN875" s="72"/>
      <c r="AQ875" s="72"/>
      <c r="AT875" s="72"/>
      <c r="AW875" s="72"/>
      <c r="AZ875" s="72"/>
    </row>
    <row r="876" spans="1:52">
      <c r="A876" s="131"/>
      <c r="B876" s="72"/>
      <c r="D876" s="72"/>
      <c r="G876" s="72"/>
      <c r="J876" s="72"/>
      <c r="M876" s="72"/>
      <c r="P876" s="72"/>
      <c r="S876" s="72"/>
      <c r="V876" s="72"/>
      <c r="Y876" s="72"/>
      <c r="AB876" s="72"/>
      <c r="AE876" s="72"/>
      <c r="AH876" s="72"/>
      <c r="AK876" s="72"/>
      <c r="AN876" s="72"/>
      <c r="AQ876" s="72"/>
      <c r="AT876" s="72"/>
      <c r="AW876" s="72"/>
      <c r="AZ876" s="72"/>
    </row>
    <row r="877" spans="1:52">
      <c r="A877" s="131"/>
      <c r="B877" s="72"/>
      <c r="D877" s="72"/>
      <c r="G877" s="72"/>
      <c r="J877" s="72"/>
      <c r="M877" s="72"/>
      <c r="P877" s="72"/>
      <c r="S877" s="72"/>
      <c r="V877" s="72"/>
      <c r="Y877" s="72"/>
      <c r="AB877" s="72"/>
      <c r="AE877" s="72"/>
      <c r="AH877" s="72"/>
      <c r="AK877" s="72"/>
      <c r="AN877" s="72"/>
      <c r="AQ877" s="72"/>
      <c r="AT877" s="72"/>
      <c r="AW877" s="72"/>
      <c r="AZ877" s="72"/>
    </row>
    <row r="878" spans="1:52">
      <c r="A878" s="131"/>
      <c r="B878" s="72"/>
      <c r="D878" s="72"/>
      <c r="G878" s="72"/>
      <c r="J878" s="72"/>
      <c r="M878" s="72"/>
      <c r="P878" s="72"/>
      <c r="S878" s="72"/>
      <c r="V878" s="72"/>
      <c r="Y878" s="72"/>
      <c r="AB878" s="72"/>
      <c r="AE878" s="72"/>
      <c r="AH878" s="72"/>
      <c r="AK878" s="72"/>
      <c r="AN878" s="72"/>
      <c r="AQ878" s="72"/>
      <c r="AT878" s="72"/>
      <c r="AW878" s="72"/>
      <c r="AZ878" s="72"/>
    </row>
    <row r="879" spans="1:52">
      <c r="A879" s="131"/>
      <c r="B879" s="72"/>
      <c r="D879" s="72"/>
      <c r="G879" s="72"/>
      <c r="J879" s="72"/>
      <c r="M879" s="72"/>
      <c r="P879" s="72"/>
      <c r="S879" s="72"/>
      <c r="V879" s="72"/>
      <c r="Y879" s="72"/>
      <c r="AB879" s="72"/>
      <c r="AE879" s="72"/>
      <c r="AH879" s="72"/>
      <c r="AK879" s="72"/>
      <c r="AN879" s="72"/>
      <c r="AQ879" s="72"/>
      <c r="AT879" s="72"/>
      <c r="AW879" s="72"/>
      <c r="AZ879" s="72"/>
    </row>
    <row r="880" spans="1:52">
      <c r="A880" s="131"/>
      <c r="B880" s="72"/>
      <c r="D880" s="72"/>
      <c r="G880" s="72"/>
      <c r="J880" s="72"/>
      <c r="M880" s="72"/>
      <c r="P880" s="72"/>
      <c r="S880" s="72"/>
      <c r="V880" s="72"/>
      <c r="Y880" s="72"/>
      <c r="AB880" s="72"/>
      <c r="AE880" s="72"/>
      <c r="AH880" s="72"/>
      <c r="AK880" s="72"/>
      <c r="AN880" s="72"/>
      <c r="AQ880" s="72"/>
      <c r="AT880" s="72"/>
      <c r="AW880" s="72"/>
      <c r="AZ880" s="72"/>
    </row>
    <row r="881" spans="1:52">
      <c r="A881" s="131"/>
      <c r="B881" s="72"/>
      <c r="D881" s="72"/>
      <c r="G881" s="72"/>
      <c r="J881" s="72"/>
      <c r="M881" s="72"/>
      <c r="P881" s="72"/>
      <c r="S881" s="72"/>
      <c r="V881" s="72"/>
      <c r="Y881" s="72"/>
      <c r="AB881" s="72"/>
      <c r="AE881" s="72"/>
      <c r="AH881" s="72"/>
      <c r="AK881" s="72"/>
      <c r="AN881" s="72"/>
      <c r="AQ881" s="72"/>
      <c r="AT881" s="72"/>
      <c r="AW881" s="72"/>
      <c r="AZ881" s="72"/>
    </row>
    <row r="882" spans="1:52">
      <c r="A882" s="131"/>
      <c r="B882" s="72"/>
      <c r="D882" s="72"/>
      <c r="G882" s="72"/>
      <c r="J882" s="72"/>
      <c r="M882" s="72"/>
      <c r="P882" s="72"/>
      <c r="S882" s="72"/>
      <c r="V882" s="72"/>
      <c r="Y882" s="72"/>
      <c r="AB882" s="72"/>
      <c r="AE882" s="72"/>
      <c r="AH882" s="72"/>
      <c r="AK882" s="72"/>
      <c r="AN882" s="72"/>
      <c r="AQ882" s="72"/>
      <c r="AT882" s="72"/>
      <c r="AW882" s="72"/>
      <c r="AZ882" s="72"/>
    </row>
    <row r="883" spans="1:52">
      <c r="A883" s="131"/>
      <c r="B883" s="72"/>
      <c r="D883" s="72"/>
      <c r="G883" s="72"/>
      <c r="J883" s="72"/>
      <c r="M883" s="72"/>
      <c r="P883" s="72"/>
      <c r="S883" s="72"/>
      <c r="V883" s="72"/>
      <c r="Y883" s="72"/>
      <c r="AB883" s="72"/>
      <c r="AE883" s="72"/>
      <c r="AH883" s="72"/>
      <c r="AK883" s="72"/>
      <c r="AN883" s="72"/>
      <c r="AQ883" s="72"/>
      <c r="AT883" s="72"/>
      <c r="AW883" s="72"/>
      <c r="AZ883" s="72"/>
    </row>
    <row r="884" spans="1:52">
      <c r="A884" s="131"/>
      <c r="B884" s="72"/>
      <c r="D884" s="72"/>
      <c r="G884" s="72"/>
      <c r="J884" s="72"/>
      <c r="M884" s="72"/>
      <c r="P884" s="72"/>
      <c r="S884" s="72"/>
      <c r="V884" s="72"/>
      <c r="Y884" s="72"/>
      <c r="AB884" s="72"/>
      <c r="AE884" s="72"/>
      <c r="AH884" s="72"/>
      <c r="AK884" s="72"/>
      <c r="AN884" s="72"/>
      <c r="AQ884" s="72"/>
      <c r="AT884" s="72"/>
      <c r="AW884" s="72"/>
      <c r="AZ884" s="72"/>
    </row>
    <row r="885" spans="1:52">
      <c r="A885" s="131"/>
      <c r="B885" s="72"/>
      <c r="D885" s="72"/>
      <c r="G885" s="72"/>
      <c r="J885" s="72"/>
      <c r="M885" s="72"/>
      <c r="P885" s="72"/>
      <c r="S885" s="72"/>
      <c r="V885" s="72"/>
      <c r="Y885" s="72"/>
      <c r="AB885" s="72"/>
      <c r="AE885" s="72"/>
      <c r="AH885" s="72"/>
      <c r="AK885" s="72"/>
      <c r="AN885" s="72"/>
      <c r="AQ885" s="72"/>
      <c r="AT885" s="72"/>
      <c r="AW885" s="72"/>
      <c r="AZ885" s="72"/>
    </row>
    <row r="886" spans="1:52">
      <c r="A886" s="131"/>
      <c r="B886" s="72"/>
      <c r="D886" s="72"/>
      <c r="G886" s="72"/>
      <c r="J886" s="72"/>
      <c r="M886" s="72"/>
      <c r="P886" s="72"/>
      <c r="S886" s="72"/>
      <c r="V886" s="72"/>
      <c r="Y886" s="72"/>
      <c r="AB886" s="72"/>
      <c r="AE886" s="72"/>
      <c r="AH886" s="72"/>
      <c r="AK886" s="72"/>
      <c r="AN886" s="72"/>
      <c r="AQ886" s="72"/>
      <c r="AT886" s="72"/>
      <c r="AW886" s="72"/>
      <c r="AZ886" s="72"/>
    </row>
    <row r="887" spans="1:52">
      <c r="A887" s="131"/>
      <c r="B887" s="72"/>
      <c r="D887" s="72"/>
      <c r="G887" s="72"/>
      <c r="J887" s="72"/>
      <c r="M887" s="72"/>
      <c r="P887" s="72"/>
      <c r="S887" s="72"/>
      <c r="V887" s="72"/>
      <c r="Y887" s="72"/>
      <c r="AB887" s="72"/>
      <c r="AE887" s="72"/>
      <c r="AH887" s="72"/>
      <c r="AK887" s="72"/>
      <c r="AN887" s="72"/>
      <c r="AQ887" s="72"/>
      <c r="AT887" s="72"/>
      <c r="AW887" s="72"/>
      <c r="AZ887" s="72"/>
    </row>
    <row r="888" spans="1:52">
      <c r="A888" s="131"/>
      <c r="B888" s="72"/>
      <c r="D888" s="72"/>
      <c r="G888" s="72"/>
      <c r="J888" s="72"/>
      <c r="M888" s="72"/>
      <c r="P888" s="72"/>
      <c r="S888" s="72"/>
      <c r="V888" s="72"/>
      <c r="Y888" s="72"/>
      <c r="AB888" s="72"/>
      <c r="AE888" s="72"/>
      <c r="AH888" s="72"/>
      <c r="AK888" s="72"/>
      <c r="AN888" s="72"/>
      <c r="AQ888" s="72"/>
      <c r="AT888" s="72"/>
      <c r="AW888" s="72"/>
      <c r="AZ888" s="72"/>
    </row>
    <row r="889" spans="1:52">
      <c r="A889" s="131"/>
      <c r="B889" s="72"/>
      <c r="D889" s="72"/>
      <c r="G889" s="72"/>
      <c r="J889" s="72"/>
      <c r="M889" s="72"/>
      <c r="P889" s="72"/>
      <c r="S889" s="72"/>
      <c r="V889" s="72"/>
      <c r="Y889" s="72"/>
      <c r="AB889" s="72"/>
      <c r="AE889" s="72"/>
      <c r="AH889" s="72"/>
      <c r="AK889" s="72"/>
      <c r="AN889" s="72"/>
      <c r="AQ889" s="72"/>
      <c r="AT889" s="72"/>
      <c r="AW889" s="72"/>
      <c r="AZ889" s="72"/>
    </row>
    <row r="890" spans="1:52">
      <c r="A890" s="131"/>
      <c r="B890" s="72"/>
      <c r="D890" s="72"/>
      <c r="G890" s="72"/>
      <c r="J890" s="72"/>
      <c r="M890" s="72"/>
      <c r="P890" s="72"/>
      <c r="S890" s="72"/>
      <c r="V890" s="72"/>
      <c r="Y890" s="72"/>
      <c r="AB890" s="72"/>
      <c r="AE890" s="72"/>
      <c r="AH890" s="72"/>
      <c r="AK890" s="72"/>
      <c r="AN890" s="72"/>
      <c r="AQ890" s="72"/>
      <c r="AT890" s="72"/>
      <c r="AW890" s="72"/>
      <c r="AZ890" s="72"/>
    </row>
    <row r="891" spans="1:52">
      <c r="A891" s="131"/>
      <c r="B891" s="72"/>
      <c r="D891" s="72"/>
      <c r="G891" s="72"/>
      <c r="J891" s="72"/>
      <c r="M891" s="72"/>
      <c r="P891" s="72"/>
      <c r="S891" s="72"/>
      <c r="V891" s="72"/>
      <c r="Y891" s="72"/>
      <c r="AB891" s="72"/>
      <c r="AE891" s="72"/>
      <c r="AH891" s="72"/>
      <c r="AK891" s="72"/>
      <c r="AN891" s="72"/>
      <c r="AQ891" s="72"/>
      <c r="AT891" s="72"/>
      <c r="AW891" s="72"/>
      <c r="AZ891" s="72"/>
    </row>
    <row r="892" spans="1:52">
      <c r="A892" s="131"/>
      <c r="B892" s="72"/>
      <c r="D892" s="72"/>
      <c r="G892" s="72"/>
      <c r="J892" s="72"/>
      <c r="M892" s="72"/>
      <c r="P892" s="72"/>
      <c r="S892" s="72"/>
      <c r="V892" s="72"/>
      <c r="Y892" s="72"/>
      <c r="AB892" s="72"/>
      <c r="AE892" s="72"/>
      <c r="AH892" s="72"/>
      <c r="AK892" s="72"/>
      <c r="AN892" s="72"/>
      <c r="AQ892" s="72"/>
      <c r="AT892" s="72"/>
      <c r="AW892" s="72"/>
      <c r="AZ892" s="72"/>
    </row>
    <row r="893" spans="1:52">
      <c r="A893" s="131"/>
      <c r="B893" s="72"/>
      <c r="D893" s="72"/>
      <c r="G893" s="72"/>
      <c r="J893" s="72"/>
      <c r="M893" s="72"/>
      <c r="P893" s="72"/>
      <c r="S893" s="72"/>
      <c r="V893" s="72"/>
      <c r="Y893" s="72"/>
      <c r="AB893" s="72"/>
      <c r="AE893" s="72"/>
      <c r="AH893" s="72"/>
      <c r="AK893" s="72"/>
      <c r="AN893" s="72"/>
      <c r="AQ893" s="72"/>
      <c r="AT893" s="72"/>
      <c r="AW893" s="72"/>
      <c r="AZ893" s="72"/>
    </row>
    <row r="894" spans="1:52">
      <c r="A894" s="131"/>
      <c r="B894" s="72"/>
      <c r="D894" s="72"/>
      <c r="G894" s="72"/>
      <c r="J894" s="72"/>
      <c r="M894" s="72"/>
      <c r="P894" s="72"/>
      <c r="S894" s="72"/>
      <c r="V894" s="72"/>
      <c r="Y894" s="72"/>
      <c r="AB894" s="72"/>
      <c r="AE894" s="72"/>
      <c r="AH894" s="72"/>
      <c r="AK894" s="72"/>
      <c r="AN894" s="72"/>
      <c r="AQ894" s="72"/>
      <c r="AT894" s="72"/>
      <c r="AW894" s="72"/>
      <c r="AZ894" s="72"/>
    </row>
    <row r="895" spans="1:52">
      <c r="A895" s="131"/>
      <c r="B895" s="72"/>
      <c r="D895" s="72"/>
      <c r="G895" s="72"/>
      <c r="J895" s="72"/>
      <c r="M895" s="72"/>
      <c r="P895" s="72"/>
      <c r="S895" s="72"/>
      <c r="V895" s="72"/>
      <c r="Y895" s="72"/>
      <c r="AB895" s="72"/>
      <c r="AE895" s="72"/>
      <c r="AH895" s="72"/>
      <c r="AK895" s="72"/>
      <c r="AN895" s="72"/>
      <c r="AQ895" s="72"/>
      <c r="AT895" s="72"/>
      <c r="AW895" s="72"/>
      <c r="AZ895" s="72"/>
    </row>
    <row r="896" spans="1:52">
      <c r="A896" s="131"/>
      <c r="B896" s="72"/>
      <c r="D896" s="72"/>
      <c r="G896" s="72"/>
      <c r="J896" s="72"/>
      <c r="M896" s="72"/>
      <c r="P896" s="72"/>
      <c r="S896" s="72"/>
      <c r="V896" s="72"/>
      <c r="Y896" s="72"/>
      <c r="AB896" s="72"/>
      <c r="AE896" s="72"/>
      <c r="AH896" s="72"/>
      <c r="AK896" s="72"/>
      <c r="AN896" s="72"/>
      <c r="AQ896" s="72"/>
      <c r="AT896" s="72"/>
      <c r="AW896" s="72"/>
      <c r="AZ896" s="72"/>
    </row>
    <row r="897" spans="1:52">
      <c r="A897" s="131"/>
      <c r="B897" s="72"/>
      <c r="D897" s="72"/>
      <c r="G897" s="72"/>
      <c r="J897" s="72"/>
      <c r="M897" s="72"/>
      <c r="P897" s="72"/>
      <c r="S897" s="72"/>
      <c r="V897" s="72"/>
      <c r="Y897" s="72"/>
      <c r="AB897" s="72"/>
      <c r="AE897" s="72"/>
      <c r="AH897" s="72"/>
      <c r="AK897" s="72"/>
      <c r="AN897" s="72"/>
      <c r="AQ897" s="72"/>
      <c r="AT897" s="72"/>
      <c r="AW897" s="72"/>
      <c r="AZ897" s="72"/>
    </row>
    <row r="898" spans="1:52">
      <c r="A898" s="131"/>
      <c r="B898" s="72"/>
      <c r="D898" s="72"/>
      <c r="G898" s="72"/>
      <c r="J898" s="72"/>
      <c r="M898" s="72"/>
      <c r="P898" s="72"/>
      <c r="S898" s="72"/>
      <c r="V898" s="72"/>
      <c r="Y898" s="72"/>
      <c r="AB898" s="72"/>
      <c r="AE898" s="72"/>
      <c r="AH898" s="72"/>
      <c r="AK898" s="72"/>
      <c r="AN898" s="72"/>
      <c r="AQ898" s="72"/>
      <c r="AT898" s="72"/>
      <c r="AW898" s="72"/>
      <c r="AZ898" s="72"/>
    </row>
    <row r="899" spans="1:52">
      <c r="A899" s="131"/>
      <c r="B899" s="72"/>
      <c r="D899" s="72"/>
      <c r="G899" s="72"/>
      <c r="J899" s="72"/>
      <c r="M899" s="72"/>
      <c r="P899" s="72"/>
      <c r="S899" s="72"/>
      <c r="V899" s="72"/>
      <c r="Y899" s="72"/>
      <c r="AB899" s="72"/>
      <c r="AE899" s="72"/>
      <c r="AH899" s="72"/>
      <c r="AK899" s="72"/>
      <c r="AN899" s="72"/>
      <c r="AQ899" s="72"/>
      <c r="AT899" s="72"/>
      <c r="AW899" s="72"/>
      <c r="AZ899" s="72"/>
    </row>
    <row r="900" spans="1:52">
      <c r="A900" s="131"/>
      <c r="B900" s="72"/>
      <c r="D900" s="72"/>
      <c r="G900" s="72"/>
      <c r="J900" s="72"/>
      <c r="M900" s="72"/>
      <c r="P900" s="72"/>
      <c r="S900" s="72"/>
      <c r="V900" s="72"/>
      <c r="Y900" s="72"/>
      <c r="AB900" s="72"/>
      <c r="AE900" s="72"/>
      <c r="AH900" s="72"/>
      <c r="AK900" s="72"/>
      <c r="AN900" s="72"/>
      <c r="AQ900" s="72"/>
      <c r="AT900" s="72"/>
      <c r="AW900" s="72"/>
      <c r="AZ900" s="72"/>
    </row>
    <row r="901" spans="1:52">
      <c r="A901" s="131"/>
      <c r="B901" s="72"/>
      <c r="D901" s="72"/>
      <c r="G901" s="72"/>
      <c r="J901" s="72"/>
      <c r="M901" s="72"/>
      <c r="P901" s="72"/>
      <c r="S901" s="72"/>
      <c r="V901" s="72"/>
      <c r="Y901" s="72"/>
      <c r="AB901" s="72"/>
      <c r="AE901" s="72"/>
      <c r="AH901" s="72"/>
      <c r="AK901" s="72"/>
      <c r="AN901" s="72"/>
      <c r="AQ901" s="72"/>
      <c r="AT901" s="72"/>
      <c r="AW901" s="72"/>
      <c r="AZ901" s="72"/>
    </row>
    <row r="902" spans="1:52">
      <c r="A902" s="131"/>
      <c r="B902" s="72"/>
      <c r="D902" s="72"/>
      <c r="G902" s="72"/>
      <c r="J902" s="72"/>
      <c r="M902" s="72"/>
      <c r="P902" s="72"/>
      <c r="S902" s="72"/>
      <c r="V902" s="72"/>
      <c r="Y902" s="72"/>
      <c r="AB902" s="72"/>
      <c r="AE902" s="72"/>
      <c r="AH902" s="72"/>
      <c r="AK902" s="72"/>
      <c r="AN902" s="72"/>
      <c r="AQ902" s="72"/>
      <c r="AT902" s="72"/>
      <c r="AW902" s="72"/>
      <c r="AZ902" s="72"/>
    </row>
    <row r="903" spans="1:52">
      <c r="A903" s="131"/>
      <c r="B903" s="72"/>
      <c r="D903" s="72"/>
      <c r="G903" s="72"/>
      <c r="J903" s="72"/>
      <c r="M903" s="72"/>
      <c r="P903" s="72"/>
      <c r="S903" s="72"/>
      <c r="V903" s="72"/>
      <c r="Y903" s="72"/>
      <c r="AB903" s="72"/>
      <c r="AE903" s="72"/>
      <c r="AH903" s="72"/>
      <c r="AK903" s="72"/>
      <c r="AN903" s="72"/>
      <c r="AQ903" s="72"/>
      <c r="AT903" s="72"/>
      <c r="AW903" s="72"/>
      <c r="AZ903" s="72"/>
    </row>
    <row r="904" spans="1:52">
      <c r="A904" s="131"/>
      <c r="B904" s="72"/>
      <c r="D904" s="72"/>
      <c r="G904" s="72"/>
      <c r="J904" s="72"/>
      <c r="M904" s="72"/>
      <c r="P904" s="72"/>
      <c r="S904" s="72"/>
      <c r="V904" s="72"/>
      <c r="Y904" s="72"/>
      <c r="AB904" s="72"/>
      <c r="AE904" s="72"/>
      <c r="AH904" s="72"/>
      <c r="AK904" s="72"/>
      <c r="AN904" s="72"/>
      <c r="AQ904" s="72"/>
      <c r="AT904" s="72"/>
      <c r="AW904" s="72"/>
      <c r="AZ904" s="72"/>
    </row>
    <row r="905" spans="1:52">
      <c r="A905" s="131"/>
      <c r="B905" s="72"/>
      <c r="D905" s="72"/>
      <c r="G905" s="72"/>
      <c r="J905" s="72"/>
      <c r="M905" s="72"/>
      <c r="P905" s="72"/>
      <c r="S905" s="72"/>
      <c r="V905" s="72"/>
      <c r="Y905" s="72"/>
      <c r="AB905" s="72"/>
      <c r="AE905" s="72"/>
      <c r="AH905" s="72"/>
      <c r="AK905" s="72"/>
      <c r="AN905" s="72"/>
      <c r="AQ905" s="72"/>
      <c r="AT905" s="72"/>
      <c r="AW905" s="72"/>
      <c r="AZ905" s="72"/>
    </row>
    <row r="906" spans="1:52">
      <c r="A906" s="131"/>
      <c r="B906" s="72"/>
      <c r="D906" s="72"/>
      <c r="G906" s="72"/>
      <c r="J906" s="72"/>
      <c r="M906" s="72"/>
      <c r="P906" s="72"/>
      <c r="S906" s="72"/>
      <c r="V906" s="72"/>
      <c r="Y906" s="72"/>
      <c r="AB906" s="72"/>
      <c r="AE906" s="72"/>
      <c r="AH906" s="72"/>
      <c r="AK906" s="72"/>
      <c r="AN906" s="72"/>
      <c r="AQ906" s="72"/>
      <c r="AT906" s="72"/>
      <c r="AW906" s="72"/>
      <c r="AZ906" s="72"/>
    </row>
    <row r="907" spans="1:52">
      <c r="A907" s="131"/>
      <c r="B907" s="72"/>
      <c r="D907" s="72"/>
      <c r="G907" s="72"/>
      <c r="J907" s="72"/>
      <c r="M907" s="72"/>
      <c r="P907" s="72"/>
      <c r="S907" s="72"/>
      <c r="V907" s="72"/>
      <c r="Y907" s="72"/>
      <c r="AB907" s="72"/>
      <c r="AE907" s="72"/>
      <c r="AH907" s="72"/>
      <c r="AK907" s="72"/>
      <c r="AN907" s="72"/>
      <c r="AQ907" s="72"/>
      <c r="AT907" s="72"/>
      <c r="AW907" s="72"/>
      <c r="AZ907" s="72"/>
    </row>
    <row r="908" spans="1:52">
      <c r="A908" s="131"/>
      <c r="B908" s="72"/>
      <c r="D908" s="72"/>
      <c r="G908" s="72"/>
      <c r="J908" s="72"/>
      <c r="M908" s="72"/>
      <c r="P908" s="72"/>
      <c r="S908" s="72"/>
      <c r="V908" s="72"/>
      <c r="Y908" s="72"/>
      <c r="AB908" s="72"/>
      <c r="AE908" s="72"/>
      <c r="AH908" s="72"/>
      <c r="AK908" s="72"/>
      <c r="AN908" s="72"/>
      <c r="AQ908" s="72"/>
      <c r="AT908" s="72"/>
      <c r="AW908" s="72"/>
      <c r="AZ908" s="72"/>
    </row>
    <row r="909" spans="1:52">
      <c r="A909" s="131"/>
      <c r="B909" s="72"/>
      <c r="D909" s="72"/>
      <c r="G909" s="72"/>
      <c r="J909" s="72"/>
      <c r="M909" s="72"/>
      <c r="P909" s="72"/>
      <c r="S909" s="72"/>
      <c r="V909" s="72"/>
      <c r="Y909" s="72"/>
      <c r="AB909" s="72"/>
      <c r="AE909" s="72"/>
      <c r="AH909" s="72"/>
      <c r="AK909" s="72"/>
      <c r="AN909" s="72"/>
      <c r="AQ909" s="72"/>
      <c r="AT909" s="72"/>
      <c r="AW909" s="72"/>
      <c r="AZ909" s="72"/>
    </row>
    <row r="910" spans="1:52">
      <c r="A910" s="131"/>
      <c r="B910" s="72"/>
      <c r="D910" s="72"/>
      <c r="G910" s="72"/>
      <c r="J910" s="72"/>
      <c r="M910" s="72"/>
      <c r="P910" s="72"/>
      <c r="S910" s="72"/>
      <c r="V910" s="72"/>
      <c r="Y910" s="72"/>
      <c r="AB910" s="72"/>
      <c r="AE910" s="72"/>
      <c r="AH910" s="72"/>
      <c r="AK910" s="72"/>
      <c r="AN910" s="72"/>
      <c r="AQ910" s="72"/>
      <c r="AT910" s="72"/>
      <c r="AW910" s="72"/>
      <c r="AZ910" s="72"/>
    </row>
    <row r="911" spans="1:52">
      <c r="A911" s="131"/>
      <c r="B911" s="72"/>
      <c r="D911" s="72"/>
      <c r="G911" s="72"/>
      <c r="J911" s="72"/>
      <c r="M911" s="72"/>
      <c r="P911" s="72"/>
      <c r="S911" s="72"/>
      <c r="V911" s="72"/>
      <c r="Y911" s="72"/>
      <c r="AB911" s="72"/>
      <c r="AE911" s="72"/>
      <c r="AH911" s="72"/>
      <c r="AK911" s="72"/>
      <c r="AN911" s="72"/>
      <c r="AQ911" s="72"/>
      <c r="AT911" s="72"/>
      <c r="AW911" s="72"/>
      <c r="AZ911" s="72"/>
    </row>
    <row r="912" spans="1:52">
      <c r="A912" s="131"/>
      <c r="B912" s="72"/>
      <c r="D912" s="72"/>
      <c r="G912" s="72"/>
      <c r="J912" s="72"/>
      <c r="M912" s="72"/>
      <c r="P912" s="72"/>
      <c r="S912" s="72"/>
      <c r="V912" s="72"/>
      <c r="Y912" s="72"/>
      <c r="AB912" s="72"/>
      <c r="AE912" s="72"/>
      <c r="AH912" s="72"/>
      <c r="AK912" s="72"/>
      <c r="AN912" s="72"/>
      <c r="AQ912" s="72"/>
      <c r="AT912" s="72"/>
      <c r="AW912" s="72"/>
      <c r="AZ912" s="72"/>
    </row>
    <row r="913" spans="1:52">
      <c r="A913" s="131"/>
      <c r="B913" s="72"/>
      <c r="D913" s="72"/>
      <c r="G913" s="72"/>
      <c r="J913" s="72"/>
      <c r="M913" s="72"/>
      <c r="P913" s="72"/>
      <c r="S913" s="72"/>
      <c r="V913" s="72"/>
      <c r="Y913" s="72"/>
      <c r="AB913" s="72"/>
      <c r="AE913" s="72"/>
      <c r="AH913" s="72"/>
      <c r="AK913" s="72"/>
      <c r="AN913" s="72"/>
      <c r="AQ913" s="72"/>
      <c r="AT913" s="72"/>
      <c r="AW913" s="72"/>
      <c r="AZ913" s="72"/>
    </row>
    <row r="914" spans="1:52">
      <c r="A914" s="131"/>
      <c r="B914" s="72"/>
      <c r="D914" s="72"/>
      <c r="G914" s="72"/>
      <c r="J914" s="72"/>
      <c r="M914" s="72"/>
      <c r="P914" s="72"/>
      <c r="S914" s="72"/>
      <c r="V914" s="72"/>
      <c r="Y914" s="72"/>
      <c r="AB914" s="72"/>
      <c r="AE914" s="72"/>
      <c r="AH914" s="72"/>
      <c r="AK914" s="72"/>
      <c r="AN914" s="72"/>
      <c r="AQ914" s="72"/>
      <c r="AT914" s="72"/>
      <c r="AW914" s="72"/>
      <c r="AZ914" s="72"/>
    </row>
    <row r="915" spans="1:52">
      <c r="A915" s="131"/>
      <c r="B915" s="72"/>
      <c r="D915" s="72"/>
      <c r="G915" s="72"/>
      <c r="J915" s="72"/>
      <c r="M915" s="72"/>
      <c r="P915" s="72"/>
      <c r="S915" s="72"/>
      <c r="V915" s="72"/>
      <c r="Y915" s="72"/>
      <c r="AB915" s="72"/>
      <c r="AE915" s="72"/>
      <c r="AH915" s="72"/>
      <c r="AK915" s="72"/>
      <c r="AN915" s="72"/>
      <c r="AQ915" s="72"/>
      <c r="AT915" s="72"/>
      <c r="AW915" s="72"/>
      <c r="AZ915" s="72"/>
    </row>
    <row r="916" spans="1:52">
      <c r="A916" s="131"/>
      <c r="B916" s="72"/>
      <c r="D916" s="72"/>
      <c r="G916" s="72"/>
      <c r="J916" s="72"/>
      <c r="M916" s="72"/>
      <c r="P916" s="72"/>
      <c r="S916" s="72"/>
      <c r="V916" s="72"/>
      <c r="Y916" s="72"/>
      <c r="AB916" s="72"/>
      <c r="AE916" s="72"/>
      <c r="AH916" s="72"/>
      <c r="AK916" s="72"/>
      <c r="AN916" s="72"/>
      <c r="AQ916" s="72"/>
      <c r="AT916" s="72"/>
      <c r="AW916" s="72"/>
      <c r="AZ916" s="72"/>
    </row>
    <row r="917" spans="1:52">
      <c r="A917" s="131"/>
      <c r="B917" s="72"/>
      <c r="D917" s="72"/>
      <c r="G917" s="72"/>
      <c r="J917" s="72"/>
      <c r="M917" s="72"/>
      <c r="P917" s="72"/>
      <c r="S917" s="72"/>
      <c r="V917" s="72"/>
      <c r="Y917" s="72"/>
      <c r="AB917" s="72"/>
      <c r="AE917" s="72"/>
      <c r="AH917" s="72"/>
      <c r="AK917" s="72"/>
      <c r="AN917" s="72"/>
      <c r="AQ917" s="72"/>
      <c r="AT917" s="72"/>
      <c r="AW917" s="72"/>
      <c r="AZ917" s="72"/>
    </row>
    <row r="918" spans="1:52">
      <c r="A918" s="131"/>
      <c r="B918" s="72"/>
      <c r="D918" s="72"/>
      <c r="G918" s="72"/>
      <c r="J918" s="72"/>
      <c r="M918" s="72"/>
      <c r="P918" s="72"/>
      <c r="S918" s="72"/>
      <c r="V918" s="72"/>
      <c r="Y918" s="72"/>
      <c r="AB918" s="72"/>
      <c r="AE918" s="72"/>
      <c r="AH918" s="72"/>
      <c r="AK918" s="72"/>
      <c r="AN918" s="72"/>
      <c r="AQ918" s="72"/>
      <c r="AT918" s="72"/>
      <c r="AW918" s="72"/>
      <c r="AZ918" s="72"/>
    </row>
    <row r="919" spans="1:52">
      <c r="A919" s="131"/>
      <c r="B919" s="72"/>
      <c r="D919" s="72"/>
      <c r="G919" s="72"/>
      <c r="J919" s="72"/>
      <c r="M919" s="72"/>
      <c r="P919" s="72"/>
      <c r="S919" s="72"/>
      <c r="V919" s="72"/>
      <c r="Y919" s="72"/>
      <c r="AB919" s="72"/>
      <c r="AE919" s="72"/>
      <c r="AH919" s="72"/>
      <c r="AK919" s="72"/>
      <c r="AN919" s="72"/>
      <c r="AQ919" s="72"/>
      <c r="AT919" s="72"/>
      <c r="AW919" s="72"/>
      <c r="AZ919" s="72"/>
    </row>
    <row r="920" spans="1:52">
      <c r="A920" s="131"/>
      <c r="B920" s="72"/>
      <c r="D920" s="72"/>
      <c r="G920" s="72"/>
      <c r="J920" s="72"/>
      <c r="M920" s="72"/>
      <c r="P920" s="72"/>
      <c r="S920" s="72"/>
      <c r="V920" s="72"/>
      <c r="Y920" s="72"/>
      <c r="AB920" s="72"/>
      <c r="AE920" s="72"/>
      <c r="AH920" s="72"/>
      <c r="AK920" s="72"/>
      <c r="AN920" s="72"/>
      <c r="AQ920" s="72"/>
      <c r="AT920" s="72"/>
      <c r="AW920" s="72"/>
      <c r="AZ920" s="72"/>
    </row>
    <row r="921" spans="1:52">
      <c r="A921" s="131"/>
      <c r="B921" s="72"/>
      <c r="D921" s="72"/>
      <c r="G921" s="72"/>
      <c r="J921" s="72"/>
      <c r="M921" s="72"/>
      <c r="P921" s="72"/>
      <c r="S921" s="72"/>
      <c r="V921" s="72"/>
      <c r="Y921" s="72"/>
      <c r="AB921" s="72"/>
      <c r="AE921" s="72"/>
      <c r="AH921" s="72"/>
      <c r="AK921" s="72"/>
      <c r="AN921" s="72"/>
      <c r="AQ921" s="72"/>
      <c r="AT921" s="72"/>
      <c r="AW921" s="72"/>
      <c r="AZ921" s="72"/>
    </row>
    <row r="922" spans="1:52">
      <c r="A922" s="131"/>
      <c r="B922" s="72"/>
      <c r="D922" s="72"/>
      <c r="G922" s="72"/>
      <c r="J922" s="72"/>
      <c r="M922" s="72"/>
      <c r="P922" s="72"/>
      <c r="S922" s="72"/>
      <c r="V922" s="72"/>
      <c r="Y922" s="72"/>
      <c r="AB922" s="72"/>
      <c r="AE922" s="72"/>
      <c r="AH922" s="72"/>
      <c r="AK922" s="72"/>
      <c r="AN922" s="72"/>
      <c r="AQ922" s="72"/>
      <c r="AT922" s="72"/>
      <c r="AW922" s="72"/>
      <c r="AZ922" s="72"/>
    </row>
    <row r="923" spans="1:52">
      <c r="A923" s="131"/>
      <c r="B923" s="72"/>
      <c r="D923" s="72"/>
      <c r="G923" s="72"/>
      <c r="J923" s="72"/>
      <c r="M923" s="72"/>
      <c r="P923" s="72"/>
      <c r="S923" s="72"/>
      <c r="V923" s="72"/>
      <c r="Y923" s="72"/>
      <c r="AB923" s="72"/>
      <c r="AE923" s="72"/>
      <c r="AH923" s="72"/>
      <c r="AK923" s="72"/>
      <c r="AN923" s="72"/>
      <c r="AQ923" s="72"/>
      <c r="AT923" s="72"/>
      <c r="AW923" s="72"/>
      <c r="AZ923" s="72"/>
    </row>
    <row r="924" spans="1:52">
      <c r="A924" s="131"/>
      <c r="B924" s="72"/>
      <c r="D924" s="72"/>
      <c r="G924" s="72"/>
      <c r="J924" s="72"/>
      <c r="M924" s="72"/>
      <c r="P924" s="72"/>
      <c r="S924" s="72"/>
      <c r="V924" s="72"/>
      <c r="Y924" s="72"/>
      <c r="AB924" s="72"/>
      <c r="AE924" s="72"/>
      <c r="AH924" s="72"/>
      <c r="AK924" s="72"/>
      <c r="AN924" s="72"/>
      <c r="AQ924" s="72"/>
      <c r="AT924" s="72"/>
      <c r="AW924" s="72"/>
      <c r="AZ924" s="72"/>
    </row>
    <row r="925" spans="1:52">
      <c r="A925" s="131"/>
      <c r="B925" s="72"/>
      <c r="D925" s="72"/>
      <c r="G925" s="72"/>
      <c r="J925" s="72"/>
      <c r="M925" s="72"/>
      <c r="P925" s="72"/>
      <c r="S925" s="72"/>
      <c r="V925" s="72"/>
      <c r="Y925" s="72"/>
      <c r="AB925" s="72"/>
      <c r="AE925" s="72"/>
      <c r="AH925" s="72"/>
      <c r="AK925" s="72"/>
      <c r="AN925" s="72"/>
      <c r="AQ925" s="72"/>
      <c r="AT925" s="72"/>
      <c r="AW925" s="72"/>
      <c r="AZ925" s="72"/>
    </row>
    <row r="926" spans="1:52">
      <c r="A926" s="131"/>
      <c r="B926" s="72"/>
      <c r="D926" s="72"/>
      <c r="G926" s="72"/>
      <c r="J926" s="72"/>
      <c r="M926" s="72"/>
      <c r="P926" s="72"/>
      <c r="S926" s="72"/>
      <c r="V926" s="72"/>
      <c r="Y926" s="72"/>
      <c r="AB926" s="72"/>
      <c r="AE926" s="72"/>
      <c r="AH926" s="72"/>
      <c r="AK926" s="72"/>
      <c r="AN926" s="72"/>
      <c r="AQ926" s="72"/>
      <c r="AT926" s="72"/>
      <c r="AW926" s="72"/>
      <c r="AZ926" s="72"/>
    </row>
    <row r="927" spans="1:52">
      <c r="A927" s="131"/>
      <c r="B927" s="72"/>
      <c r="D927" s="72"/>
      <c r="G927" s="72"/>
      <c r="J927" s="72"/>
      <c r="M927" s="72"/>
      <c r="P927" s="72"/>
      <c r="S927" s="72"/>
      <c r="V927" s="72"/>
      <c r="Y927" s="72"/>
      <c r="AB927" s="72"/>
      <c r="AE927" s="72"/>
      <c r="AH927" s="72"/>
      <c r="AK927" s="72"/>
      <c r="AN927" s="72"/>
      <c r="AQ927" s="72"/>
      <c r="AT927" s="72"/>
      <c r="AW927" s="72"/>
      <c r="AZ927" s="72"/>
    </row>
    <row r="928" spans="1:52">
      <c r="A928" s="131"/>
      <c r="B928" s="72"/>
      <c r="D928" s="72"/>
      <c r="G928" s="72"/>
      <c r="J928" s="72"/>
      <c r="M928" s="72"/>
      <c r="P928" s="72"/>
      <c r="S928" s="72"/>
      <c r="V928" s="72"/>
      <c r="Y928" s="72"/>
      <c r="AB928" s="72"/>
      <c r="AE928" s="72"/>
      <c r="AH928" s="72"/>
      <c r="AK928" s="72"/>
      <c r="AN928" s="72"/>
      <c r="AQ928" s="72"/>
      <c r="AT928" s="72"/>
      <c r="AW928" s="72"/>
      <c r="AZ928" s="72"/>
    </row>
    <row r="929" spans="1:52">
      <c r="A929" s="131"/>
      <c r="B929" s="72"/>
      <c r="D929" s="72"/>
      <c r="G929" s="72"/>
      <c r="J929" s="72"/>
      <c r="M929" s="72"/>
      <c r="P929" s="72"/>
      <c r="S929" s="72"/>
      <c r="V929" s="72"/>
      <c r="Y929" s="72"/>
      <c r="AB929" s="72"/>
      <c r="AE929" s="72"/>
      <c r="AH929" s="72"/>
      <c r="AK929" s="72"/>
      <c r="AN929" s="72"/>
      <c r="AQ929" s="72"/>
      <c r="AT929" s="72"/>
      <c r="AW929" s="72"/>
      <c r="AZ929" s="72"/>
    </row>
    <row r="930" spans="1:52">
      <c r="A930" s="131"/>
      <c r="B930" s="72"/>
      <c r="D930" s="72"/>
      <c r="G930" s="72"/>
      <c r="J930" s="72"/>
      <c r="M930" s="72"/>
      <c r="P930" s="72"/>
      <c r="S930" s="72"/>
      <c r="V930" s="72"/>
      <c r="Y930" s="72"/>
      <c r="AB930" s="72"/>
      <c r="AE930" s="72"/>
      <c r="AH930" s="72"/>
      <c r="AK930" s="72"/>
      <c r="AN930" s="72"/>
      <c r="AQ930" s="72"/>
      <c r="AT930" s="72"/>
      <c r="AW930" s="72"/>
      <c r="AZ930" s="72"/>
    </row>
    <row r="931" spans="1:52">
      <c r="A931" s="131"/>
      <c r="B931" s="72"/>
      <c r="D931" s="72"/>
      <c r="G931" s="72"/>
      <c r="J931" s="72"/>
      <c r="M931" s="72"/>
      <c r="P931" s="72"/>
      <c r="S931" s="72"/>
      <c r="V931" s="72"/>
      <c r="Y931" s="72"/>
      <c r="AB931" s="72"/>
      <c r="AE931" s="72"/>
      <c r="AH931" s="72"/>
      <c r="AK931" s="72"/>
      <c r="AN931" s="72"/>
      <c r="AQ931" s="72"/>
      <c r="AT931" s="72"/>
      <c r="AW931" s="72"/>
      <c r="AZ931" s="72"/>
    </row>
    <row r="932" spans="1:52">
      <c r="A932" s="131"/>
      <c r="B932" s="72"/>
      <c r="D932" s="72"/>
      <c r="G932" s="72"/>
      <c r="J932" s="72"/>
      <c r="M932" s="72"/>
      <c r="P932" s="72"/>
      <c r="S932" s="72"/>
      <c r="V932" s="72"/>
      <c r="Y932" s="72"/>
      <c r="AB932" s="72"/>
      <c r="AE932" s="72"/>
      <c r="AH932" s="72"/>
      <c r="AK932" s="72"/>
      <c r="AN932" s="72"/>
      <c r="AQ932" s="72"/>
      <c r="AT932" s="72"/>
      <c r="AW932" s="72"/>
      <c r="AZ932" s="72"/>
    </row>
    <row r="933" spans="1:52">
      <c r="A933" s="131"/>
      <c r="B933" s="72"/>
      <c r="D933" s="72"/>
      <c r="G933" s="72"/>
      <c r="J933" s="72"/>
      <c r="M933" s="72"/>
      <c r="P933" s="72"/>
      <c r="S933" s="72"/>
      <c r="V933" s="72"/>
      <c r="Y933" s="72"/>
      <c r="AB933" s="72"/>
      <c r="AE933" s="72"/>
      <c r="AH933" s="72"/>
      <c r="AK933" s="72"/>
      <c r="AN933" s="72"/>
      <c r="AQ933" s="72"/>
      <c r="AT933" s="72"/>
      <c r="AW933" s="72"/>
      <c r="AZ933" s="72"/>
    </row>
    <row r="934" spans="1:52">
      <c r="A934" s="131"/>
      <c r="B934" s="72"/>
      <c r="D934" s="72"/>
      <c r="G934" s="72"/>
      <c r="J934" s="72"/>
      <c r="M934" s="72"/>
      <c r="P934" s="72"/>
      <c r="S934" s="72"/>
      <c r="V934" s="72"/>
      <c r="Y934" s="72"/>
      <c r="AB934" s="72"/>
      <c r="AE934" s="72"/>
      <c r="AH934" s="72"/>
      <c r="AK934" s="72"/>
      <c r="AN934" s="72"/>
      <c r="AQ934" s="72"/>
      <c r="AT934" s="72"/>
      <c r="AW934" s="72"/>
      <c r="AZ934" s="72"/>
    </row>
    <row r="935" spans="1:52">
      <c r="A935" s="131"/>
      <c r="B935" s="72"/>
      <c r="D935" s="72"/>
      <c r="G935" s="72"/>
      <c r="J935" s="72"/>
      <c r="M935" s="72"/>
      <c r="P935" s="72"/>
      <c r="S935" s="72"/>
      <c r="V935" s="72"/>
      <c r="Y935" s="72"/>
      <c r="AB935" s="72"/>
      <c r="AE935" s="72"/>
      <c r="AH935" s="72"/>
      <c r="AK935" s="72"/>
      <c r="AN935" s="72"/>
      <c r="AQ935" s="72"/>
      <c r="AT935" s="72"/>
      <c r="AW935" s="72"/>
      <c r="AZ935" s="72"/>
    </row>
    <row r="936" spans="1:52">
      <c r="A936" s="131"/>
      <c r="B936" s="72"/>
      <c r="D936" s="72"/>
      <c r="G936" s="72"/>
      <c r="J936" s="72"/>
      <c r="M936" s="72"/>
      <c r="P936" s="72"/>
      <c r="S936" s="72"/>
      <c r="V936" s="72"/>
      <c r="Y936" s="72"/>
      <c r="AB936" s="72"/>
      <c r="AE936" s="72"/>
      <c r="AH936" s="72"/>
      <c r="AK936" s="72"/>
      <c r="AN936" s="72"/>
      <c r="AQ936" s="72"/>
      <c r="AT936" s="72"/>
      <c r="AW936" s="72"/>
      <c r="AZ936" s="72"/>
    </row>
    <row r="937" spans="1:52">
      <c r="A937" s="131"/>
      <c r="B937" s="72"/>
      <c r="D937" s="72"/>
      <c r="G937" s="72"/>
      <c r="J937" s="72"/>
      <c r="M937" s="72"/>
      <c r="P937" s="72"/>
      <c r="S937" s="72"/>
      <c r="V937" s="72"/>
      <c r="Y937" s="72"/>
      <c r="AB937" s="72"/>
      <c r="AE937" s="72"/>
      <c r="AH937" s="72"/>
      <c r="AK937" s="72"/>
      <c r="AN937" s="72"/>
      <c r="AQ937" s="72"/>
      <c r="AT937" s="72"/>
      <c r="AW937" s="72"/>
      <c r="AZ937" s="72"/>
    </row>
    <row r="938" spans="1:52">
      <c r="A938" s="131"/>
      <c r="B938" s="72"/>
      <c r="D938" s="72"/>
      <c r="G938" s="72"/>
      <c r="J938" s="72"/>
      <c r="M938" s="72"/>
      <c r="P938" s="72"/>
      <c r="S938" s="72"/>
      <c r="V938" s="72"/>
      <c r="Y938" s="72"/>
      <c r="AB938" s="72"/>
      <c r="AE938" s="72"/>
      <c r="AH938" s="72"/>
      <c r="AK938" s="72"/>
      <c r="AN938" s="72"/>
      <c r="AQ938" s="72"/>
      <c r="AT938" s="72"/>
      <c r="AW938" s="72"/>
      <c r="AZ938" s="72"/>
    </row>
    <row r="939" spans="1:52">
      <c r="A939" s="131"/>
      <c r="B939" s="72"/>
      <c r="D939" s="72"/>
      <c r="G939" s="72"/>
      <c r="J939" s="72"/>
      <c r="M939" s="72"/>
      <c r="P939" s="72"/>
      <c r="S939" s="72"/>
      <c r="V939" s="72"/>
      <c r="Y939" s="72"/>
      <c r="AB939" s="72"/>
      <c r="AE939" s="72"/>
      <c r="AH939" s="72"/>
      <c r="AK939" s="72"/>
      <c r="AN939" s="72"/>
      <c r="AQ939" s="72"/>
      <c r="AT939" s="72"/>
      <c r="AW939" s="72"/>
      <c r="AZ939" s="72"/>
    </row>
    <row r="940" spans="1:52">
      <c r="A940" s="131"/>
      <c r="B940" s="72"/>
      <c r="D940" s="72"/>
      <c r="G940" s="72"/>
      <c r="J940" s="72"/>
      <c r="M940" s="72"/>
      <c r="P940" s="72"/>
      <c r="S940" s="72"/>
      <c r="V940" s="72"/>
      <c r="Y940" s="72"/>
      <c r="AB940" s="72"/>
      <c r="AE940" s="72"/>
      <c r="AH940" s="72"/>
      <c r="AK940" s="72"/>
      <c r="AN940" s="72"/>
      <c r="AQ940" s="72"/>
      <c r="AT940" s="72"/>
      <c r="AW940" s="72"/>
      <c r="AZ940" s="72"/>
    </row>
    <row r="941" spans="1:52">
      <c r="A941" s="131"/>
      <c r="B941" s="72"/>
      <c r="D941" s="72"/>
      <c r="G941" s="72"/>
      <c r="J941" s="72"/>
      <c r="M941" s="72"/>
      <c r="P941" s="72"/>
      <c r="S941" s="72"/>
      <c r="V941" s="72"/>
      <c r="Y941" s="72"/>
      <c r="AB941" s="72"/>
      <c r="AE941" s="72"/>
      <c r="AH941" s="72"/>
      <c r="AK941" s="72"/>
      <c r="AN941" s="72"/>
      <c r="AQ941" s="72"/>
      <c r="AT941" s="72"/>
      <c r="AW941" s="72"/>
      <c r="AZ941" s="72"/>
    </row>
    <row r="942" spans="1:52">
      <c r="A942" s="131"/>
      <c r="B942" s="72"/>
      <c r="D942" s="72"/>
      <c r="G942" s="72"/>
      <c r="J942" s="72"/>
      <c r="M942" s="72"/>
      <c r="P942" s="72"/>
      <c r="S942" s="72"/>
      <c r="V942" s="72"/>
      <c r="Y942" s="72"/>
      <c r="AB942" s="72"/>
      <c r="AE942" s="72"/>
      <c r="AH942" s="72"/>
      <c r="AK942" s="72"/>
      <c r="AN942" s="72"/>
      <c r="AQ942" s="72"/>
      <c r="AT942" s="72"/>
      <c r="AW942" s="72"/>
      <c r="AZ942" s="72"/>
    </row>
    <row r="943" spans="1:52">
      <c r="A943" s="131"/>
      <c r="B943" s="72"/>
      <c r="D943" s="72"/>
      <c r="G943" s="72"/>
      <c r="J943" s="72"/>
      <c r="M943" s="72"/>
      <c r="P943" s="72"/>
      <c r="S943" s="72"/>
      <c r="V943" s="72"/>
      <c r="Y943" s="72"/>
      <c r="AB943" s="72"/>
      <c r="AE943" s="72"/>
      <c r="AH943" s="72"/>
      <c r="AK943" s="72"/>
      <c r="AN943" s="72"/>
      <c r="AQ943" s="72"/>
      <c r="AT943" s="72"/>
      <c r="AW943" s="72"/>
      <c r="AZ943" s="72"/>
    </row>
    <row r="944" spans="1:52">
      <c r="A944" s="131"/>
      <c r="B944" s="72"/>
      <c r="D944" s="72"/>
      <c r="G944" s="72"/>
      <c r="J944" s="72"/>
      <c r="M944" s="72"/>
      <c r="P944" s="72"/>
      <c r="S944" s="72"/>
      <c r="V944" s="72"/>
      <c r="Y944" s="72"/>
      <c r="AB944" s="72"/>
      <c r="AE944" s="72"/>
      <c r="AH944" s="72"/>
      <c r="AK944" s="72"/>
      <c r="AN944" s="72"/>
      <c r="AQ944" s="72"/>
      <c r="AT944" s="72"/>
      <c r="AW944" s="72"/>
      <c r="AZ944" s="72"/>
    </row>
    <row r="945" spans="1:52">
      <c r="A945" s="131"/>
      <c r="B945" s="72"/>
      <c r="D945" s="72"/>
      <c r="G945" s="72"/>
      <c r="J945" s="72"/>
      <c r="M945" s="72"/>
      <c r="P945" s="72"/>
      <c r="S945" s="72"/>
      <c r="V945" s="72"/>
      <c r="Y945" s="72"/>
      <c r="AB945" s="72"/>
      <c r="AE945" s="72"/>
      <c r="AH945" s="72"/>
      <c r="AK945" s="72"/>
      <c r="AN945" s="72"/>
      <c r="AQ945" s="72"/>
      <c r="AT945" s="72"/>
      <c r="AW945" s="72"/>
      <c r="AZ945" s="72"/>
    </row>
    <row r="946" spans="1:52">
      <c r="A946" s="131"/>
      <c r="B946" s="72"/>
      <c r="D946" s="72"/>
      <c r="G946" s="72"/>
      <c r="J946" s="72"/>
      <c r="M946" s="72"/>
      <c r="P946" s="72"/>
      <c r="S946" s="72"/>
      <c r="V946" s="72"/>
      <c r="Y946" s="72"/>
      <c r="AB946" s="72"/>
      <c r="AE946" s="72"/>
      <c r="AH946" s="72"/>
      <c r="AK946" s="72"/>
      <c r="AN946" s="72"/>
      <c r="AQ946" s="72"/>
      <c r="AT946" s="72"/>
      <c r="AW946" s="72"/>
      <c r="AZ946" s="72"/>
    </row>
    <row r="947" spans="1:52">
      <c r="A947" s="131"/>
      <c r="B947" s="72"/>
      <c r="D947" s="72"/>
      <c r="G947" s="72"/>
      <c r="J947" s="72"/>
      <c r="M947" s="72"/>
      <c r="P947" s="72"/>
      <c r="S947" s="72"/>
      <c r="V947" s="72"/>
      <c r="Y947" s="72"/>
      <c r="AB947" s="72"/>
      <c r="AE947" s="72"/>
      <c r="AH947" s="72"/>
      <c r="AK947" s="72"/>
      <c r="AN947" s="72"/>
      <c r="AQ947" s="72"/>
      <c r="AT947" s="72"/>
      <c r="AW947" s="72"/>
      <c r="AZ947" s="72"/>
    </row>
    <row r="948" spans="1:52">
      <c r="A948" s="131"/>
      <c r="B948" s="72"/>
      <c r="D948" s="72"/>
      <c r="G948" s="72"/>
      <c r="J948" s="72"/>
      <c r="M948" s="72"/>
      <c r="P948" s="72"/>
      <c r="S948" s="72"/>
      <c r="V948" s="72"/>
      <c r="Y948" s="72"/>
      <c r="AB948" s="72"/>
      <c r="AE948" s="72"/>
      <c r="AH948" s="72"/>
      <c r="AK948" s="72"/>
      <c r="AN948" s="72"/>
      <c r="AQ948" s="72"/>
      <c r="AT948" s="72"/>
      <c r="AW948" s="72"/>
      <c r="AZ948" s="72"/>
    </row>
    <row r="949" spans="1:52">
      <c r="A949" s="131"/>
      <c r="B949" s="72"/>
      <c r="D949" s="72"/>
      <c r="G949" s="72"/>
      <c r="J949" s="72"/>
      <c r="M949" s="72"/>
      <c r="P949" s="72"/>
      <c r="S949" s="72"/>
      <c r="V949" s="72"/>
      <c r="Y949" s="72"/>
      <c r="AB949" s="72"/>
      <c r="AE949" s="72"/>
      <c r="AH949" s="72"/>
      <c r="AK949" s="72"/>
      <c r="AN949" s="72"/>
      <c r="AQ949" s="72"/>
      <c r="AT949" s="72"/>
      <c r="AW949" s="72"/>
      <c r="AZ949" s="72"/>
    </row>
    <row r="950" spans="1:52">
      <c r="A950" s="131"/>
      <c r="B950" s="72"/>
      <c r="D950" s="72"/>
      <c r="G950" s="72"/>
      <c r="J950" s="72"/>
      <c r="M950" s="72"/>
      <c r="P950" s="72"/>
      <c r="S950" s="72"/>
      <c r="V950" s="72"/>
      <c r="Y950" s="72"/>
      <c r="AB950" s="72"/>
      <c r="AE950" s="72"/>
      <c r="AH950" s="72"/>
      <c r="AK950" s="72"/>
      <c r="AN950" s="72"/>
      <c r="AQ950" s="72"/>
      <c r="AT950" s="72"/>
      <c r="AW950" s="72"/>
      <c r="AZ950" s="72"/>
    </row>
    <row r="951" spans="1:52">
      <c r="A951" s="131"/>
      <c r="B951" s="72"/>
      <c r="D951" s="72"/>
      <c r="G951" s="72"/>
      <c r="J951" s="72"/>
      <c r="M951" s="72"/>
      <c r="P951" s="72"/>
      <c r="S951" s="72"/>
      <c r="V951" s="72"/>
      <c r="Y951" s="72"/>
      <c r="AB951" s="72"/>
      <c r="AE951" s="72"/>
      <c r="AH951" s="72"/>
      <c r="AK951" s="72"/>
      <c r="AN951" s="72"/>
      <c r="AQ951" s="72"/>
      <c r="AT951" s="72"/>
      <c r="AW951" s="72"/>
      <c r="AZ951" s="72"/>
    </row>
    <row r="952" spans="1:52">
      <c r="A952" s="131"/>
      <c r="B952" s="72"/>
      <c r="D952" s="72"/>
      <c r="G952" s="72"/>
      <c r="J952" s="72"/>
      <c r="M952" s="72"/>
      <c r="P952" s="72"/>
      <c r="S952" s="72"/>
      <c r="V952" s="72"/>
      <c r="Y952" s="72"/>
      <c r="AB952" s="72"/>
      <c r="AE952" s="72"/>
      <c r="AH952" s="72"/>
      <c r="AK952" s="72"/>
      <c r="AN952" s="72"/>
      <c r="AQ952" s="72"/>
      <c r="AT952" s="72"/>
      <c r="AW952" s="72"/>
      <c r="AZ952" s="72"/>
    </row>
    <row r="953" spans="1:52">
      <c r="A953" s="131"/>
      <c r="B953" s="72"/>
      <c r="D953" s="72"/>
      <c r="G953" s="72"/>
      <c r="J953" s="72"/>
      <c r="M953" s="72"/>
      <c r="P953" s="72"/>
      <c r="S953" s="72"/>
      <c r="V953" s="72"/>
      <c r="Y953" s="72"/>
      <c r="AB953" s="72"/>
      <c r="AE953" s="72"/>
      <c r="AH953" s="72"/>
      <c r="AK953" s="72"/>
      <c r="AN953" s="72"/>
      <c r="AQ953" s="72"/>
      <c r="AT953" s="72"/>
      <c r="AW953" s="72"/>
      <c r="AZ953" s="72"/>
    </row>
    <row r="954" spans="1:52">
      <c r="A954" s="131"/>
      <c r="B954" s="72"/>
      <c r="D954" s="72"/>
      <c r="G954" s="72"/>
      <c r="J954" s="72"/>
      <c r="M954" s="72"/>
      <c r="P954" s="72"/>
      <c r="S954" s="72"/>
      <c r="V954" s="72"/>
      <c r="Y954" s="72"/>
      <c r="AB954" s="72"/>
      <c r="AE954" s="72"/>
      <c r="AH954" s="72"/>
      <c r="AK954" s="72"/>
      <c r="AN954" s="72"/>
      <c r="AQ954" s="72"/>
      <c r="AT954" s="72"/>
      <c r="AW954" s="72"/>
      <c r="AZ954" s="72"/>
    </row>
    <row r="955" spans="1:52">
      <c r="A955" s="131"/>
      <c r="B955" s="72"/>
      <c r="D955" s="72"/>
      <c r="G955" s="72"/>
      <c r="J955" s="72"/>
      <c r="M955" s="72"/>
      <c r="P955" s="72"/>
      <c r="S955" s="72"/>
      <c r="V955" s="72"/>
      <c r="Y955" s="72"/>
      <c r="AB955" s="72"/>
      <c r="AE955" s="72"/>
      <c r="AH955" s="72"/>
      <c r="AK955" s="72"/>
      <c r="AN955" s="72"/>
      <c r="AQ955" s="72"/>
      <c r="AT955" s="72"/>
      <c r="AW955" s="72"/>
      <c r="AZ955" s="72"/>
    </row>
    <row r="956" spans="1:52">
      <c r="A956" s="131"/>
      <c r="B956" s="72"/>
      <c r="D956" s="72"/>
      <c r="G956" s="72"/>
      <c r="J956" s="72"/>
      <c r="M956" s="72"/>
      <c r="P956" s="72"/>
      <c r="S956" s="72"/>
      <c r="V956" s="72"/>
      <c r="Y956" s="72"/>
      <c r="AB956" s="72"/>
      <c r="AE956" s="72"/>
      <c r="AH956" s="72"/>
      <c r="AK956" s="72"/>
      <c r="AN956" s="72"/>
      <c r="AQ956" s="72"/>
      <c r="AT956" s="72"/>
      <c r="AW956" s="72"/>
      <c r="AZ956" s="72"/>
    </row>
    <row r="957" spans="1:52">
      <c r="A957" s="131"/>
      <c r="B957" s="72"/>
      <c r="D957" s="72"/>
      <c r="G957" s="72"/>
      <c r="J957" s="72"/>
      <c r="M957" s="72"/>
      <c r="P957" s="72"/>
      <c r="S957" s="72"/>
      <c r="V957" s="72"/>
      <c r="Y957" s="72"/>
      <c r="AB957" s="72"/>
      <c r="AE957" s="72"/>
      <c r="AH957" s="72"/>
      <c r="AK957" s="72"/>
      <c r="AN957" s="72"/>
      <c r="AQ957" s="72"/>
      <c r="AT957" s="72"/>
      <c r="AW957" s="72"/>
      <c r="AZ957" s="72"/>
    </row>
    <row r="958" spans="1:52">
      <c r="A958" s="131"/>
      <c r="B958" s="72"/>
      <c r="D958" s="72"/>
      <c r="G958" s="72"/>
      <c r="J958" s="72"/>
      <c r="M958" s="72"/>
      <c r="P958" s="72"/>
      <c r="S958" s="72"/>
      <c r="V958" s="72"/>
      <c r="Y958" s="72"/>
      <c r="AB958" s="72"/>
      <c r="AE958" s="72"/>
      <c r="AH958" s="72"/>
      <c r="AK958" s="72"/>
      <c r="AN958" s="72"/>
      <c r="AQ958" s="72"/>
      <c r="AT958" s="72"/>
      <c r="AW958" s="72"/>
      <c r="AZ958" s="72"/>
    </row>
    <row r="959" spans="1:52">
      <c r="A959" s="131"/>
      <c r="B959" s="72"/>
      <c r="D959" s="72"/>
      <c r="G959" s="72"/>
      <c r="J959" s="72"/>
      <c r="M959" s="72"/>
      <c r="P959" s="72"/>
      <c r="S959" s="72"/>
      <c r="V959" s="72"/>
      <c r="Y959" s="72"/>
      <c r="AB959" s="72"/>
      <c r="AE959" s="72"/>
      <c r="AH959" s="72"/>
      <c r="AK959" s="72"/>
      <c r="AN959" s="72"/>
      <c r="AQ959" s="72"/>
      <c r="AT959" s="72"/>
      <c r="AW959" s="72"/>
      <c r="AZ959" s="72"/>
    </row>
    <row r="960" spans="1:52">
      <c r="A960" s="131"/>
      <c r="B960" s="72"/>
      <c r="D960" s="72"/>
      <c r="G960" s="72"/>
      <c r="J960" s="72"/>
      <c r="M960" s="72"/>
      <c r="P960" s="72"/>
      <c r="S960" s="72"/>
      <c r="V960" s="72"/>
      <c r="Y960" s="72"/>
      <c r="AB960" s="72"/>
      <c r="AE960" s="72"/>
      <c r="AH960" s="72"/>
      <c r="AK960" s="72"/>
      <c r="AN960" s="72"/>
      <c r="AQ960" s="72"/>
      <c r="AT960" s="72"/>
      <c r="AW960" s="72"/>
      <c r="AZ960" s="72"/>
    </row>
    <row r="961" spans="1:52">
      <c r="A961" s="131"/>
      <c r="B961" s="72"/>
      <c r="D961" s="72"/>
      <c r="G961" s="72"/>
      <c r="J961" s="72"/>
      <c r="M961" s="72"/>
      <c r="P961" s="72"/>
      <c r="S961" s="72"/>
      <c r="V961" s="72"/>
      <c r="Y961" s="72"/>
      <c r="AB961" s="72"/>
      <c r="AE961" s="72"/>
      <c r="AH961" s="72"/>
      <c r="AK961" s="72"/>
      <c r="AN961" s="72"/>
      <c r="AQ961" s="72"/>
      <c r="AT961" s="72"/>
      <c r="AW961" s="72"/>
      <c r="AZ961" s="72"/>
    </row>
    <row r="962" spans="1:52">
      <c r="A962" s="131"/>
      <c r="B962" s="72"/>
      <c r="D962" s="72"/>
      <c r="G962" s="72"/>
      <c r="J962" s="72"/>
      <c r="M962" s="72"/>
      <c r="P962" s="72"/>
      <c r="S962" s="72"/>
      <c r="V962" s="72"/>
      <c r="Y962" s="72"/>
      <c r="AB962" s="72"/>
      <c r="AE962" s="72"/>
      <c r="AH962" s="72"/>
      <c r="AK962" s="72"/>
      <c r="AN962" s="72"/>
      <c r="AQ962" s="72"/>
      <c r="AT962" s="72"/>
      <c r="AW962" s="72"/>
      <c r="AZ962" s="72"/>
    </row>
    <row r="963" spans="1:52">
      <c r="A963" s="131"/>
      <c r="B963" s="72"/>
      <c r="D963" s="72"/>
      <c r="G963" s="72"/>
      <c r="J963" s="72"/>
      <c r="M963" s="72"/>
      <c r="P963" s="72"/>
      <c r="S963" s="72"/>
      <c r="V963" s="72"/>
      <c r="Y963" s="72"/>
      <c r="AB963" s="72"/>
      <c r="AE963" s="72"/>
      <c r="AH963" s="72"/>
      <c r="AK963" s="72"/>
      <c r="AN963" s="72"/>
      <c r="AQ963" s="72"/>
      <c r="AT963" s="72"/>
      <c r="AW963" s="72"/>
      <c r="AZ963" s="72"/>
    </row>
    <row r="964" spans="1:52">
      <c r="A964" s="131"/>
      <c r="B964" s="72"/>
      <c r="D964" s="72"/>
      <c r="G964" s="72"/>
      <c r="J964" s="72"/>
      <c r="M964" s="72"/>
      <c r="P964" s="72"/>
      <c r="S964" s="72"/>
      <c r="V964" s="72"/>
      <c r="Y964" s="72"/>
      <c r="AB964" s="72"/>
      <c r="AE964" s="72"/>
      <c r="AH964" s="72"/>
      <c r="AK964" s="72"/>
      <c r="AN964" s="72"/>
      <c r="AQ964" s="72"/>
      <c r="AT964" s="72"/>
      <c r="AW964" s="72"/>
      <c r="AZ964" s="72"/>
    </row>
    <row r="965" spans="1:52">
      <c r="A965" s="131"/>
      <c r="B965" s="72"/>
      <c r="D965" s="72"/>
      <c r="G965" s="72"/>
      <c r="J965" s="72"/>
      <c r="M965" s="72"/>
      <c r="P965" s="72"/>
      <c r="S965" s="72"/>
      <c r="V965" s="72"/>
      <c r="Y965" s="72"/>
      <c r="AB965" s="72"/>
      <c r="AE965" s="72"/>
      <c r="AH965" s="72"/>
      <c r="AK965" s="72"/>
      <c r="AN965" s="72"/>
      <c r="AQ965" s="72"/>
      <c r="AT965" s="72"/>
      <c r="AW965" s="72"/>
      <c r="AZ965" s="72"/>
    </row>
    <row r="966" spans="1:52">
      <c r="A966" s="131"/>
      <c r="B966" s="72"/>
      <c r="D966" s="72"/>
      <c r="G966" s="72"/>
      <c r="J966" s="72"/>
      <c r="M966" s="72"/>
      <c r="P966" s="72"/>
      <c r="S966" s="72"/>
      <c r="V966" s="72"/>
      <c r="Y966" s="72"/>
      <c r="AB966" s="72"/>
      <c r="AE966" s="72"/>
      <c r="AH966" s="72"/>
      <c r="AK966" s="72"/>
      <c r="AN966" s="72"/>
      <c r="AQ966" s="72"/>
      <c r="AT966" s="72"/>
      <c r="AW966" s="72"/>
      <c r="AZ966" s="72"/>
    </row>
    <row r="967" spans="1:52">
      <c r="A967" s="131"/>
      <c r="B967" s="72"/>
      <c r="D967" s="72"/>
      <c r="G967" s="72"/>
      <c r="J967" s="72"/>
      <c r="M967" s="72"/>
      <c r="P967" s="72"/>
      <c r="S967" s="72"/>
      <c r="V967" s="72"/>
      <c r="Y967" s="72"/>
      <c r="AB967" s="72"/>
      <c r="AE967" s="72"/>
      <c r="AH967" s="72"/>
      <c r="AK967" s="72"/>
      <c r="AN967" s="72"/>
      <c r="AQ967" s="72"/>
      <c r="AT967" s="72"/>
      <c r="AW967" s="72"/>
      <c r="AZ967" s="72"/>
    </row>
    <row r="968" spans="1:52">
      <c r="A968" s="131"/>
      <c r="B968" s="72"/>
      <c r="D968" s="72"/>
      <c r="G968" s="72"/>
      <c r="J968" s="72"/>
      <c r="M968" s="72"/>
      <c r="P968" s="72"/>
      <c r="S968" s="72"/>
      <c r="V968" s="72"/>
      <c r="Y968" s="72"/>
      <c r="AB968" s="72"/>
      <c r="AE968" s="72"/>
      <c r="AH968" s="72"/>
      <c r="AK968" s="72"/>
      <c r="AN968" s="72"/>
      <c r="AQ968" s="72"/>
      <c r="AT968" s="72"/>
      <c r="AW968" s="72"/>
      <c r="AZ968" s="72"/>
    </row>
    <row r="969" spans="1:52">
      <c r="A969" s="131"/>
      <c r="B969" s="72"/>
      <c r="D969" s="72"/>
      <c r="G969" s="72"/>
      <c r="J969" s="72"/>
      <c r="M969" s="72"/>
      <c r="P969" s="72"/>
      <c r="S969" s="72"/>
      <c r="V969" s="72"/>
      <c r="Y969" s="72"/>
      <c r="AB969" s="72"/>
      <c r="AE969" s="72"/>
      <c r="AH969" s="72"/>
      <c r="AK969" s="72"/>
      <c r="AN969" s="72"/>
      <c r="AQ969" s="72"/>
      <c r="AT969" s="72"/>
      <c r="AW969" s="72"/>
      <c r="AZ969" s="72"/>
    </row>
    <row r="970" spans="1:52">
      <c r="A970" s="131"/>
      <c r="B970" s="72"/>
      <c r="D970" s="72"/>
      <c r="G970" s="72"/>
      <c r="J970" s="72"/>
      <c r="M970" s="72"/>
      <c r="P970" s="72"/>
      <c r="S970" s="72"/>
      <c r="V970" s="72"/>
      <c r="Y970" s="72"/>
      <c r="AB970" s="72"/>
      <c r="AE970" s="72"/>
      <c r="AH970" s="72"/>
      <c r="AK970" s="72"/>
      <c r="AN970" s="72"/>
      <c r="AQ970" s="72"/>
      <c r="AT970" s="72"/>
      <c r="AW970" s="72"/>
      <c r="AZ970" s="72"/>
    </row>
    <row r="971" spans="1:52">
      <c r="A971" s="131"/>
      <c r="B971" s="72"/>
      <c r="D971" s="72"/>
      <c r="G971" s="72"/>
      <c r="J971" s="72"/>
      <c r="M971" s="72"/>
      <c r="P971" s="72"/>
      <c r="S971" s="72"/>
      <c r="V971" s="72"/>
      <c r="Y971" s="72"/>
      <c r="AB971" s="72"/>
      <c r="AE971" s="72"/>
      <c r="AH971" s="72"/>
      <c r="AK971" s="72"/>
      <c r="AN971" s="72"/>
      <c r="AQ971" s="72"/>
      <c r="AT971" s="72"/>
      <c r="AW971" s="72"/>
      <c r="AZ971" s="72"/>
    </row>
    <row r="972" spans="1:52">
      <c r="A972" s="131"/>
      <c r="B972" s="72"/>
      <c r="D972" s="72"/>
      <c r="G972" s="72"/>
      <c r="J972" s="72"/>
      <c r="M972" s="72"/>
      <c r="P972" s="72"/>
      <c r="S972" s="72"/>
      <c r="V972" s="72"/>
      <c r="Y972" s="72"/>
      <c r="AB972" s="72"/>
      <c r="AE972" s="72"/>
      <c r="AH972" s="72"/>
      <c r="AK972" s="72"/>
      <c r="AN972" s="72"/>
      <c r="AQ972" s="72"/>
      <c r="AT972" s="72"/>
      <c r="AW972" s="72"/>
      <c r="AZ972" s="72"/>
    </row>
    <row r="973" spans="1:52">
      <c r="A973" s="131"/>
      <c r="B973" s="72"/>
      <c r="D973" s="72"/>
      <c r="G973" s="72"/>
      <c r="J973" s="72"/>
      <c r="M973" s="72"/>
      <c r="P973" s="72"/>
      <c r="S973" s="72"/>
      <c r="V973" s="72"/>
      <c r="Y973" s="72"/>
      <c r="AB973" s="72"/>
      <c r="AE973" s="72"/>
      <c r="AH973" s="72"/>
      <c r="AK973" s="72"/>
      <c r="AN973" s="72"/>
      <c r="AQ973" s="72"/>
      <c r="AT973" s="72"/>
      <c r="AW973" s="72"/>
      <c r="AZ973" s="72"/>
    </row>
    <row r="974" spans="1:52">
      <c r="A974" s="131"/>
      <c r="B974" s="72"/>
      <c r="D974" s="72"/>
      <c r="G974" s="72"/>
      <c r="J974" s="72"/>
      <c r="M974" s="72"/>
      <c r="P974" s="72"/>
      <c r="S974" s="72"/>
      <c r="V974" s="72"/>
      <c r="Y974" s="72"/>
      <c r="AB974" s="72"/>
      <c r="AE974" s="72"/>
      <c r="AH974" s="72"/>
      <c r="AK974" s="72"/>
      <c r="AN974" s="72"/>
      <c r="AQ974" s="72"/>
      <c r="AT974" s="72"/>
      <c r="AW974" s="72"/>
      <c r="AZ974" s="72"/>
    </row>
    <row r="975" spans="1:52">
      <c r="A975" s="131"/>
      <c r="B975" s="72"/>
      <c r="D975" s="72"/>
      <c r="G975" s="72"/>
      <c r="J975" s="72"/>
      <c r="M975" s="72"/>
      <c r="P975" s="72"/>
      <c r="S975" s="72"/>
      <c r="V975" s="72"/>
      <c r="Y975" s="72"/>
      <c r="AB975" s="72"/>
      <c r="AE975" s="72"/>
      <c r="AH975" s="72"/>
      <c r="AK975" s="72"/>
      <c r="AN975" s="72"/>
      <c r="AQ975" s="72"/>
      <c r="AT975" s="72"/>
      <c r="AW975" s="72"/>
      <c r="AZ975" s="72"/>
    </row>
    <row r="976" spans="1:52">
      <c r="A976" s="131"/>
      <c r="B976" s="72"/>
      <c r="D976" s="72"/>
      <c r="G976" s="72"/>
      <c r="J976" s="72"/>
      <c r="M976" s="72"/>
      <c r="P976" s="72"/>
      <c r="S976" s="72"/>
      <c r="V976" s="72"/>
      <c r="Y976" s="72"/>
      <c r="AB976" s="72"/>
      <c r="AE976" s="72"/>
      <c r="AH976" s="72"/>
      <c r="AK976" s="72"/>
      <c r="AN976" s="72"/>
      <c r="AQ976" s="72"/>
      <c r="AT976" s="72"/>
      <c r="AW976" s="72"/>
      <c r="AZ976" s="72"/>
    </row>
    <row r="977" spans="1:52">
      <c r="A977" s="131"/>
      <c r="B977" s="72"/>
      <c r="D977" s="72"/>
      <c r="G977" s="72"/>
      <c r="J977" s="72"/>
      <c r="M977" s="72"/>
      <c r="P977" s="72"/>
      <c r="S977" s="72"/>
      <c r="V977" s="72"/>
      <c r="Y977" s="72"/>
      <c r="AB977" s="72"/>
      <c r="AE977" s="72"/>
      <c r="AH977" s="72"/>
      <c r="AK977" s="72"/>
      <c r="AN977" s="72"/>
      <c r="AQ977" s="72"/>
      <c r="AT977" s="72"/>
      <c r="AW977" s="72"/>
      <c r="AZ977" s="72"/>
    </row>
    <row r="978" spans="1:52">
      <c r="A978" s="131"/>
      <c r="B978" s="72"/>
      <c r="D978" s="72"/>
      <c r="G978" s="72"/>
      <c r="J978" s="72"/>
      <c r="M978" s="72"/>
      <c r="P978" s="72"/>
      <c r="S978" s="72"/>
      <c r="V978" s="72"/>
      <c r="Y978" s="72"/>
      <c r="AB978" s="72"/>
      <c r="AE978" s="72"/>
      <c r="AH978" s="72"/>
      <c r="AK978" s="72"/>
      <c r="AN978" s="72"/>
      <c r="AQ978" s="72"/>
      <c r="AT978" s="72"/>
      <c r="AW978" s="72"/>
      <c r="AZ978" s="72"/>
    </row>
    <row r="979" spans="1:52">
      <c r="A979" s="131"/>
      <c r="B979" s="72"/>
      <c r="D979" s="72"/>
      <c r="G979" s="72"/>
      <c r="J979" s="72"/>
      <c r="M979" s="72"/>
      <c r="P979" s="72"/>
      <c r="S979" s="72"/>
      <c r="V979" s="72"/>
      <c r="Y979" s="72"/>
      <c r="AB979" s="72"/>
      <c r="AE979" s="72"/>
      <c r="AH979" s="72"/>
      <c r="AK979" s="72"/>
      <c r="AN979" s="72"/>
      <c r="AQ979" s="72"/>
      <c r="AT979" s="72"/>
      <c r="AW979" s="72"/>
      <c r="AZ979" s="72"/>
    </row>
    <row r="980" spans="1:52">
      <c r="A980" s="131"/>
      <c r="B980" s="72"/>
      <c r="D980" s="72"/>
      <c r="G980" s="72"/>
      <c r="J980" s="72"/>
      <c r="M980" s="72"/>
      <c r="P980" s="72"/>
      <c r="S980" s="72"/>
      <c r="V980" s="72"/>
      <c r="Y980" s="72"/>
      <c r="AB980" s="72"/>
      <c r="AE980" s="72"/>
      <c r="AH980" s="72"/>
      <c r="AK980" s="72"/>
      <c r="AN980" s="72"/>
      <c r="AQ980" s="72"/>
      <c r="AT980" s="72"/>
      <c r="AW980" s="72"/>
      <c r="AZ980" s="72"/>
    </row>
    <row r="981" spans="1:52">
      <c r="A981" s="131"/>
      <c r="B981" s="72"/>
      <c r="D981" s="72"/>
      <c r="G981" s="72"/>
      <c r="J981" s="72"/>
      <c r="M981" s="72"/>
      <c r="P981" s="72"/>
      <c r="S981" s="72"/>
      <c r="V981" s="72"/>
      <c r="Y981" s="72"/>
      <c r="AB981" s="72"/>
      <c r="AE981" s="72"/>
      <c r="AH981" s="72"/>
      <c r="AK981" s="72"/>
      <c r="AN981" s="72"/>
      <c r="AQ981" s="72"/>
      <c r="AT981" s="72"/>
      <c r="AW981" s="72"/>
      <c r="AZ981" s="72"/>
    </row>
    <row r="982" spans="1:52">
      <c r="A982" s="131"/>
      <c r="B982" s="72"/>
      <c r="D982" s="72"/>
      <c r="G982" s="72"/>
      <c r="J982" s="72"/>
      <c r="M982" s="72"/>
      <c r="P982" s="72"/>
      <c r="S982" s="72"/>
      <c r="V982" s="72"/>
      <c r="Y982" s="72"/>
      <c r="AB982" s="72"/>
      <c r="AE982" s="72"/>
      <c r="AH982" s="72"/>
      <c r="AK982" s="72"/>
      <c r="AN982" s="72"/>
      <c r="AQ982" s="72"/>
      <c r="AT982" s="72"/>
      <c r="AW982" s="72"/>
      <c r="AZ982" s="72"/>
    </row>
    <row r="983" spans="1:52">
      <c r="A983" s="131"/>
      <c r="B983" s="72"/>
      <c r="D983" s="72"/>
      <c r="G983" s="72"/>
      <c r="J983" s="72"/>
      <c r="M983" s="72"/>
      <c r="P983" s="72"/>
      <c r="S983" s="72"/>
      <c r="V983" s="72"/>
      <c r="Y983" s="72"/>
      <c r="AB983" s="72"/>
      <c r="AE983" s="72"/>
      <c r="AH983" s="72"/>
      <c r="AK983" s="72"/>
      <c r="AN983" s="72"/>
      <c r="AQ983" s="72"/>
      <c r="AT983" s="72"/>
      <c r="AW983" s="72"/>
      <c r="AZ983" s="72"/>
    </row>
    <row r="984" spans="1:52">
      <c r="A984" s="131"/>
      <c r="B984" s="72"/>
      <c r="D984" s="72"/>
      <c r="G984" s="72"/>
      <c r="J984" s="72"/>
      <c r="M984" s="72"/>
      <c r="P984" s="72"/>
      <c r="S984" s="72"/>
      <c r="V984" s="72"/>
      <c r="Y984" s="72"/>
      <c r="AB984" s="72"/>
      <c r="AE984" s="72"/>
      <c r="AH984" s="72"/>
      <c r="AK984" s="72"/>
      <c r="AN984" s="72"/>
      <c r="AQ984" s="72"/>
      <c r="AT984" s="72"/>
      <c r="AW984" s="72"/>
      <c r="AZ984" s="72"/>
    </row>
    <row r="985" spans="1:52">
      <c r="A985" s="131"/>
      <c r="B985" s="72"/>
      <c r="D985" s="72"/>
      <c r="G985" s="72"/>
      <c r="J985" s="72"/>
      <c r="M985" s="72"/>
      <c r="P985" s="72"/>
      <c r="S985" s="72"/>
      <c r="V985" s="72"/>
      <c r="Y985" s="72"/>
      <c r="AB985" s="72"/>
      <c r="AE985" s="72"/>
      <c r="AH985" s="72"/>
      <c r="AK985" s="72"/>
      <c r="AN985" s="72"/>
      <c r="AQ985" s="72"/>
      <c r="AT985" s="72"/>
      <c r="AW985" s="72"/>
      <c r="AZ985" s="72"/>
    </row>
    <row r="986" spans="1:52">
      <c r="A986" s="131"/>
      <c r="B986" s="72"/>
      <c r="D986" s="72"/>
      <c r="G986" s="72"/>
      <c r="J986" s="72"/>
      <c r="M986" s="72"/>
      <c r="P986" s="72"/>
      <c r="S986" s="72"/>
      <c r="V986" s="72"/>
      <c r="Y986" s="72"/>
      <c r="AB986" s="72"/>
      <c r="AE986" s="72"/>
      <c r="AH986" s="72"/>
      <c r="AK986" s="72"/>
      <c r="AN986" s="72"/>
      <c r="AQ986" s="72"/>
      <c r="AT986" s="72"/>
      <c r="AW986" s="72"/>
      <c r="AZ986" s="72"/>
    </row>
    <row r="987" spans="1:52">
      <c r="A987" s="131"/>
      <c r="B987" s="72"/>
      <c r="D987" s="72"/>
      <c r="G987" s="72"/>
      <c r="J987" s="72"/>
      <c r="M987" s="72"/>
      <c r="P987" s="72"/>
      <c r="S987" s="72"/>
      <c r="V987" s="72"/>
      <c r="Y987" s="72"/>
      <c r="AB987" s="72"/>
      <c r="AE987" s="72"/>
      <c r="AH987" s="72"/>
      <c r="AK987" s="72"/>
      <c r="AN987" s="72"/>
      <c r="AQ987" s="72"/>
      <c r="AT987" s="72"/>
      <c r="AW987" s="72"/>
      <c r="AZ987" s="72"/>
    </row>
    <row r="988" spans="1:52">
      <c r="A988" s="131"/>
      <c r="B988" s="72"/>
      <c r="D988" s="72"/>
      <c r="G988" s="72"/>
      <c r="J988" s="72"/>
      <c r="M988" s="72"/>
      <c r="P988" s="72"/>
      <c r="S988" s="72"/>
      <c r="V988" s="72"/>
      <c r="Y988" s="72"/>
      <c r="AB988" s="72"/>
      <c r="AE988" s="72"/>
      <c r="AH988" s="72"/>
      <c r="AK988" s="72"/>
      <c r="AN988" s="72"/>
      <c r="AQ988" s="72"/>
      <c r="AT988" s="72"/>
      <c r="AW988" s="72"/>
      <c r="AZ988" s="72"/>
    </row>
    <row r="989" spans="1:52">
      <c r="A989" s="131"/>
      <c r="B989" s="72"/>
      <c r="D989" s="72"/>
      <c r="G989" s="72"/>
      <c r="J989" s="72"/>
      <c r="M989" s="72"/>
      <c r="P989" s="72"/>
      <c r="S989" s="72"/>
      <c r="V989" s="72"/>
      <c r="Y989" s="72"/>
      <c r="AB989" s="72"/>
      <c r="AE989" s="72"/>
      <c r="AH989" s="72"/>
      <c r="AK989" s="72"/>
      <c r="AN989" s="72"/>
      <c r="AQ989" s="72"/>
      <c r="AT989" s="72"/>
      <c r="AW989" s="72"/>
      <c r="AZ989" s="72"/>
    </row>
    <row r="990" spans="1:52">
      <c r="A990" s="131"/>
      <c r="B990" s="72"/>
      <c r="D990" s="72"/>
      <c r="G990" s="72"/>
      <c r="J990" s="72"/>
      <c r="M990" s="72"/>
      <c r="P990" s="72"/>
      <c r="S990" s="72"/>
      <c r="V990" s="72"/>
      <c r="Y990" s="72"/>
      <c r="AB990" s="72"/>
      <c r="AE990" s="72"/>
      <c r="AH990" s="72"/>
      <c r="AK990" s="72"/>
      <c r="AN990" s="72"/>
      <c r="AQ990" s="72"/>
      <c r="AT990" s="72"/>
      <c r="AW990" s="72"/>
      <c r="AZ990" s="72"/>
    </row>
    <row r="991" spans="1:52">
      <c r="A991" s="131"/>
      <c r="B991" s="72"/>
      <c r="D991" s="72"/>
      <c r="G991" s="72"/>
      <c r="J991" s="72"/>
      <c r="M991" s="72"/>
      <c r="P991" s="72"/>
      <c r="S991" s="72"/>
      <c r="V991" s="72"/>
      <c r="Y991" s="72"/>
      <c r="AB991" s="72"/>
      <c r="AE991" s="72"/>
      <c r="AH991" s="72"/>
      <c r="AK991" s="72"/>
      <c r="AN991" s="72"/>
      <c r="AQ991" s="72"/>
      <c r="AT991" s="72"/>
      <c r="AW991" s="72"/>
      <c r="AZ991" s="72"/>
    </row>
    <row r="992" spans="1:52">
      <c r="A992" s="131"/>
      <c r="B992" s="72"/>
      <c r="D992" s="72"/>
      <c r="G992" s="72"/>
      <c r="J992" s="72"/>
      <c r="M992" s="72"/>
      <c r="P992" s="72"/>
      <c r="S992" s="72"/>
      <c r="V992" s="72"/>
      <c r="Y992" s="72"/>
      <c r="AB992" s="72"/>
      <c r="AE992" s="72"/>
      <c r="AH992" s="72"/>
      <c r="AK992" s="72"/>
      <c r="AN992" s="72"/>
      <c r="AQ992" s="72"/>
      <c r="AT992" s="72"/>
      <c r="AW992" s="72"/>
      <c r="AZ992" s="72"/>
    </row>
    <row r="993" spans="1:52">
      <c r="A993" s="131"/>
      <c r="B993" s="72"/>
      <c r="D993" s="72"/>
      <c r="G993" s="72"/>
      <c r="J993" s="72"/>
      <c r="M993" s="72"/>
      <c r="P993" s="72"/>
      <c r="S993" s="72"/>
      <c r="V993" s="72"/>
      <c r="Y993" s="72"/>
      <c r="AB993" s="72"/>
      <c r="AE993" s="72"/>
      <c r="AH993" s="72"/>
      <c r="AK993" s="72"/>
      <c r="AN993" s="72"/>
      <c r="AQ993" s="72"/>
      <c r="AT993" s="72"/>
      <c r="AW993" s="72"/>
      <c r="AZ993" s="72"/>
    </row>
    <row r="994" spans="1:52">
      <c r="A994" s="131"/>
      <c r="B994" s="72"/>
      <c r="D994" s="72"/>
      <c r="G994" s="72"/>
      <c r="J994" s="72"/>
      <c r="M994" s="72"/>
      <c r="P994" s="72"/>
      <c r="S994" s="72"/>
      <c r="V994" s="72"/>
      <c r="Y994" s="72"/>
      <c r="AB994" s="72"/>
      <c r="AE994" s="72"/>
      <c r="AH994" s="72"/>
      <c r="AK994" s="72"/>
      <c r="AN994" s="72"/>
      <c r="AQ994" s="72"/>
      <c r="AT994" s="72"/>
      <c r="AW994" s="72"/>
      <c r="AZ994" s="72"/>
    </row>
    <row r="995" spans="1:52">
      <c r="A995" s="131"/>
      <c r="B995" s="72"/>
      <c r="D995" s="72"/>
      <c r="G995" s="72"/>
      <c r="J995" s="72"/>
      <c r="M995" s="72"/>
      <c r="P995" s="72"/>
      <c r="S995" s="72"/>
      <c r="V995" s="72"/>
      <c r="Y995" s="72"/>
      <c r="AB995" s="72"/>
      <c r="AE995" s="72"/>
      <c r="AH995" s="72"/>
      <c r="AK995" s="72"/>
      <c r="AN995" s="72"/>
      <c r="AQ995" s="72"/>
      <c r="AT995" s="72"/>
      <c r="AW995" s="72"/>
      <c r="AZ995" s="72"/>
    </row>
    <row r="996" spans="1:52">
      <c r="A996" s="131"/>
      <c r="B996" s="72"/>
      <c r="D996" s="72"/>
      <c r="G996" s="72"/>
      <c r="J996" s="72"/>
      <c r="M996" s="72"/>
      <c r="P996" s="72"/>
      <c r="S996" s="72"/>
      <c r="V996" s="72"/>
      <c r="Y996" s="72"/>
      <c r="AB996" s="72"/>
      <c r="AE996" s="72"/>
      <c r="AH996" s="72"/>
      <c r="AK996" s="72"/>
      <c r="AN996" s="72"/>
      <c r="AQ996" s="72"/>
      <c r="AT996" s="72"/>
      <c r="AW996" s="72"/>
      <c r="AZ996" s="72"/>
    </row>
    <row r="997" spans="1:52">
      <c r="A997" s="131"/>
      <c r="B997" s="72"/>
      <c r="D997" s="72"/>
      <c r="G997" s="72"/>
      <c r="J997" s="72"/>
      <c r="M997" s="72"/>
      <c r="P997" s="72"/>
      <c r="S997" s="72"/>
      <c r="V997" s="72"/>
      <c r="Y997" s="72"/>
      <c r="AB997" s="72"/>
      <c r="AE997" s="72"/>
      <c r="AH997" s="72"/>
      <c r="AK997" s="72"/>
      <c r="AN997" s="72"/>
      <c r="AQ997" s="72"/>
      <c r="AT997" s="72"/>
      <c r="AW997" s="72"/>
      <c r="AZ997" s="72"/>
    </row>
    <row r="998" spans="1:52">
      <c r="A998" s="131"/>
      <c r="B998" s="72"/>
      <c r="D998" s="72"/>
      <c r="G998" s="72"/>
      <c r="J998" s="72"/>
      <c r="M998" s="72"/>
      <c r="P998" s="72"/>
      <c r="S998" s="72"/>
      <c r="V998" s="72"/>
      <c r="Y998" s="72"/>
      <c r="AB998" s="72"/>
      <c r="AE998" s="72"/>
      <c r="AH998" s="72"/>
      <c r="AK998" s="72"/>
      <c r="AN998" s="72"/>
      <c r="AQ998" s="72"/>
      <c r="AT998" s="72"/>
      <c r="AW998" s="72"/>
      <c r="AZ998" s="72"/>
    </row>
    <row r="999" spans="1:52">
      <c r="A999" s="131"/>
      <c r="B999" s="72"/>
      <c r="D999" s="72"/>
      <c r="G999" s="72"/>
      <c r="J999" s="72"/>
      <c r="M999" s="72"/>
      <c r="P999" s="72"/>
      <c r="S999" s="72"/>
      <c r="V999" s="72"/>
      <c r="Y999" s="72"/>
      <c r="AB999" s="72"/>
      <c r="AE999" s="72"/>
      <c r="AH999" s="72"/>
      <c r="AK999" s="72"/>
      <c r="AN999" s="72"/>
      <c r="AQ999" s="72"/>
      <c r="AT999" s="72"/>
      <c r="AW999" s="72"/>
      <c r="AZ999" s="72"/>
    </row>
    <row r="1000" spans="1:52">
      <c r="A1000" s="131"/>
      <c r="B1000" s="72"/>
      <c r="D1000" s="72"/>
      <c r="G1000" s="72"/>
      <c r="J1000" s="72"/>
      <c r="M1000" s="72"/>
      <c r="P1000" s="72"/>
      <c r="S1000" s="72"/>
      <c r="V1000" s="72"/>
      <c r="Y1000" s="72"/>
      <c r="AB1000" s="72"/>
      <c r="AE1000" s="72"/>
      <c r="AH1000" s="72"/>
      <c r="AK1000" s="72"/>
      <c r="AN1000" s="72"/>
      <c r="AQ1000" s="72"/>
      <c r="AT1000" s="72"/>
      <c r="AW1000" s="72"/>
      <c r="AZ1000" s="72"/>
    </row>
    <row r="1001" spans="1:52">
      <c r="A1001" s="131"/>
      <c r="B1001" s="72"/>
      <c r="D1001" s="72"/>
      <c r="G1001" s="72"/>
      <c r="J1001" s="72"/>
      <c r="M1001" s="72"/>
      <c r="P1001" s="72"/>
      <c r="S1001" s="72"/>
      <c r="V1001" s="72"/>
      <c r="Y1001" s="72"/>
      <c r="AB1001" s="72"/>
      <c r="AE1001" s="72"/>
      <c r="AH1001" s="72"/>
      <c r="AK1001" s="72"/>
      <c r="AN1001" s="72"/>
      <c r="AQ1001" s="72"/>
      <c r="AT1001" s="72"/>
      <c r="AW1001" s="72"/>
      <c r="AZ1001" s="72"/>
    </row>
    <row r="1002" spans="1:52">
      <c r="A1002" s="131"/>
      <c r="B1002" s="72"/>
      <c r="D1002" s="72"/>
      <c r="G1002" s="72"/>
      <c r="J1002" s="72"/>
      <c r="M1002" s="72"/>
      <c r="P1002" s="72"/>
      <c r="S1002" s="72"/>
      <c r="V1002" s="72"/>
      <c r="Y1002" s="72"/>
      <c r="AB1002" s="72"/>
      <c r="AE1002" s="72"/>
      <c r="AH1002" s="72"/>
      <c r="AK1002" s="72"/>
      <c r="AN1002" s="72"/>
      <c r="AQ1002" s="72"/>
      <c r="AT1002" s="72"/>
      <c r="AW1002" s="72"/>
      <c r="AZ1002" s="72"/>
    </row>
    <row r="1003" spans="1:52">
      <c r="A1003" s="131"/>
      <c r="B1003" s="72"/>
      <c r="D1003" s="72"/>
      <c r="G1003" s="72"/>
      <c r="J1003" s="72"/>
      <c r="M1003" s="72"/>
      <c r="P1003" s="72"/>
      <c r="S1003" s="72"/>
      <c r="V1003" s="72"/>
      <c r="Y1003" s="72"/>
      <c r="AB1003" s="72"/>
      <c r="AE1003" s="72"/>
      <c r="AH1003" s="72"/>
      <c r="AK1003" s="72"/>
      <c r="AN1003" s="72"/>
      <c r="AQ1003" s="72"/>
      <c r="AT1003" s="72"/>
      <c r="AW1003" s="72"/>
      <c r="AZ1003" s="72"/>
    </row>
    <row r="1004" spans="1:52">
      <c r="A1004" s="131"/>
      <c r="B1004" s="72"/>
      <c r="D1004" s="72"/>
      <c r="G1004" s="72"/>
      <c r="J1004" s="72"/>
      <c r="M1004" s="72"/>
      <c r="P1004" s="72"/>
      <c r="S1004" s="72"/>
      <c r="V1004" s="72"/>
      <c r="Y1004" s="72"/>
      <c r="AB1004" s="72"/>
      <c r="AE1004" s="72"/>
      <c r="AH1004" s="72"/>
      <c r="AK1004" s="72"/>
      <c r="AN1004" s="72"/>
      <c r="AQ1004" s="72"/>
      <c r="AT1004" s="72"/>
      <c r="AW1004" s="72"/>
      <c r="AZ1004" s="72"/>
    </row>
    <row r="1005" spans="1:52">
      <c r="A1005" s="131"/>
      <c r="B1005" s="72"/>
      <c r="D1005" s="72"/>
      <c r="G1005" s="72"/>
      <c r="J1005" s="72"/>
      <c r="M1005" s="72"/>
      <c r="P1005" s="72"/>
      <c r="S1005" s="72"/>
      <c r="V1005" s="72"/>
      <c r="Y1005" s="72"/>
      <c r="AB1005" s="72"/>
      <c r="AE1005" s="72"/>
      <c r="AH1005" s="72"/>
      <c r="AK1005" s="72"/>
      <c r="AN1005" s="72"/>
      <c r="AQ1005" s="72"/>
      <c r="AT1005" s="72"/>
      <c r="AW1005" s="72"/>
      <c r="AZ1005" s="72"/>
    </row>
    <row r="1006" spans="1:52">
      <c r="A1006" s="131"/>
      <c r="B1006" s="72"/>
      <c r="D1006" s="72"/>
      <c r="G1006" s="72"/>
      <c r="J1006" s="72"/>
      <c r="M1006" s="72"/>
      <c r="P1006" s="72"/>
      <c r="S1006" s="72"/>
      <c r="V1006" s="72"/>
      <c r="Y1006" s="72"/>
      <c r="AB1006" s="72"/>
      <c r="AE1006" s="72"/>
      <c r="AH1006" s="72"/>
      <c r="AK1006" s="72"/>
      <c r="AN1006" s="72"/>
      <c r="AQ1006" s="72"/>
      <c r="AT1006" s="72"/>
      <c r="AW1006" s="72"/>
      <c r="AZ1006" s="72"/>
    </row>
    <row r="1007" spans="1:52">
      <c r="A1007" s="131"/>
      <c r="B1007" s="72"/>
      <c r="D1007" s="72"/>
      <c r="G1007" s="72"/>
      <c r="J1007" s="72"/>
      <c r="M1007" s="72"/>
      <c r="P1007" s="72"/>
      <c r="S1007" s="72"/>
      <c r="V1007" s="72"/>
      <c r="Y1007" s="72"/>
      <c r="AB1007" s="72"/>
      <c r="AE1007" s="72"/>
      <c r="AH1007" s="72"/>
      <c r="AK1007" s="72"/>
      <c r="AN1007" s="72"/>
      <c r="AQ1007" s="72"/>
      <c r="AT1007" s="72"/>
      <c r="AW1007" s="72"/>
      <c r="AZ1007" s="72"/>
    </row>
    <row r="1008" spans="1:52">
      <c r="A1008" s="131"/>
      <c r="B1008" s="72"/>
      <c r="D1008" s="72"/>
      <c r="G1008" s="72"/>
      <c r="J1008" s="72"/>
      <c r="M1008" s="72"/>
      <c r="P1008" s="72"/>
      <c r="S1008" s="72"/>
      <c r="V1008" s="72"/>
      <c r="Y1008" s="72"/>
      <c r="AB1008" s="72"/>
      <c r="AE1008" s="72"/>
      <c r="AH1008" s="72"/>
      <c r="AK1008" s="72"/>
      <c r="AN1008" s="72"/>
      <c r="AQ1008" s="72"/>
      <c r="AT1008" s="72"/>
      <c r="AW1008" s="72"/>
      <c r="AZ1008" s="72"/>
    </row>
    <row r="1009" spans="1:52">
      <c r="A1009" s="131"/>
      <c r="B1009" s="72"/>
      <c r="D1009" s="72"/>
      <c r="G1009" s="72"/>
      <c r="J1009" s="72"/>
      <c r="M1009" s="72"/>
      <c r="P1009" s="72"/>
      <c r="S1009" s="72"/>
      <c r="V1009" s="72"/>
      <c r="Y1009" s="72"/>
      <c r="AB1009" s="72"/>
      <c r="AE1009" s="72"/>
      <c r="AH1009" s="72"/>
      <c r="AK1009" s="72"/>
      <c r="AN1009" s="72"/>
      <c r="AQ1009" s="72"/>
      <c r="AT1009" s="72"/>
      <c r="AW1009" s="72"/>
      <c r="AZ1009" s="72"/>
    </row>
    <row r="1010" spans="1:52">
      <c r="A1010" s="131"/>
      <c r="B1010" s="72"/>
      <c r="D1010" s="72"/>
      <c r="G1010" s="72"/>
      <c r="J1010" s="72"/>
      <c r="M1010" s="72"/>
      <c r="P1010" s="72"/>
      <c r="S1010" s="72"/>
      <c r="V1010" s="72"/>
      <c r="Y1010" s="72"/>
      <c r="AB1010" s="72"/>
      <c r="AE1010" s="72"/>
      <c r="AH1010" s="72"/>
      <c r="AK1010" s="72"/>
      <c r="AN1010" s="72"/>
      <c r="AQ1010" s="72"/>
      <c r="AT1010" s="72"/>
      <c r="AW1010" s="72"/>
      <c r="AZ1010" s="72"/>
    </row>
    <row r="1011" spans="1:52">
      <c r="A1011" s="131"/>
      <c r="B1011" s="72"/>
      <c r="D1011" s="72"/>
      <c r="G1011" s="72"/>
      <c r="J1011" s="72"/>
      <c r="M1011" s="72"/>
      <c r="P1011" s="72"/>
      <c r="S1011" s="72"/>
      <c r="V1011" s="72"/>
      <c r="Y1011" s="72"/>
      <c r="AB1011" s="72"/>
      <c r="AE1011" s="72"/>
      <c r="AH1011" s="72"/>
      <c r="AK1011" s="72"/>
      <c r="AN1011" s="72"/>
      <c r="AQ1011" s="72"/>
      <c r="AT1011" s="72"/>
      <c r="AW1011" s="72"/>
      <c r="AZ1011" s="72"/>
    </row>
    <row r="1012" spans="1:52">
      <c r="A1012" s="131"/>
      <c r="B1012" s="72"/>
      <c r="D1012" s="72"/>
      <c r="G1012" s="72"/>
      <c r="J1012" s="72"/>
      <c r="M1012" s="72"/>
      <c r="P1012" s="72"/>
      <c r="S1012" s="72"/>
      <c r="V1012" s="72"/>
      <c r="Y1012" s="72"/>
      <c r="AB1012" s="72"/>
      <c r="AE1012" s="72"/>
      <c r="AH1012" s="72"/>
      <c r="AK1012" s="72"/>
      <c r="AN1012" s="72"/>
      <c r="AQ1012" s="72"/>
      <c r="AT1012" s="72"/>
      <c r="AW1012" s="72"/>
      <c r="AZ1012" s="72"/>
    </row>
    <row r="1013" spans="1:52">
      <c r="A1013" s="131"/>
      <c r="B1013" s="72"/>
      <c r="D1013" s="72"/>
      <c r="G1013" s="72"/>
      <c r="J1013" s="72"/>
      <c r="M1013" s="72"/>
      <c r="P1013" s="72"/>
      <c r="S1013" s="72"/>
      <c r="V1013" s="72"/>
      <c r="Y1013" s="72"/>
      <c r="AB1013" s="72"/>
      <c r="AE1013" s="72"/>
      <c r="AH1013" s="72"/>
      <c r="AK1013" s="72"/>
      <c r="AN1013" s="72"/>
      <c r="AQ1013" s="72"/>
      <c r="AT1013" s="72"/>
      <c r="AW1013" s="72"/>
      <c r="AZ1013" s="72"/>
    </row>
    <row r="1014" spans="1:52">
      <c r="A1014" s="131"/>
      <c r="B1014" s="72"/>
      <c r="D1014" s="72"/>
      <c r="G1014" s="72"/>
      <c r="J1014" s="72"/>
      <c r="M1014" s="72"/>
      <c r="P1014" s="72"/>
      <c r="S1014" s="72"/>
      <c r="V1014" s="72"/>
      <c r="Y1014" s="72"/>
      <c r="AB1014" s="72"/>
      <c r="AE1014" s="72"/>
      <c r="AH1014" s="72"/>
      <c r="AK1014" s="72"/>
      <c r="AN1014" s="72"/>
      <c r="AQ1014" s="72"/>
      <c r="AT1014" s="72"/>
      <c r="AW1014" s="72"/>
      <c r="AZ1014" s="72"/>
    </row>
    <row r="1015" spans="1:52">
      <c r="A1015" s="131"/>
      <c r="B1015" s="72"/>
      <c r="D1015" s="72"/>
      <c r="G1015" s="72"/>
      <c r="J1015" s="72"/>
      <c r="M1015" s="72"/>
      <c r="P1015" s="72"/>
      <c r="S1015" s="72"/>
      <c r="V1015" s="72"/>
      <c r="Y1015" s="72"/>
      <c r="AB1015" s="72"/>
      <c r="AE1015" s="72"/>
      <c r="AH1015" s="72"/>
      <c r="AK1015" s="72"/>
      <c r="AN1015" s="72"/>
      <c r="AQ1015" s="72"/>
      <c r="AT1015" s="72"/>
      <c r="AW1015" s="72"/>
      <c r="AZ1015" s="72"/>
    </row>
    <row r="1016" spans="1:52">
      <c r="A1016" s="131"/>
      <c r="B1016" s="72"/>
      <c r="D1016" s="72"/>
      <c r="G1016" s="72"/>
      <c r="J1016" s="72"/>
      <c r="M1016" s="72"/>
      <c r="P1016" s="72"/>
      <c r="S1016" s="72"/>
      <c r="V1016" s="72"/>
      <c r="Y1016" s="72"/>
      <c r="AB1016" s="72"/>
      <c r="AE1016" s="72"/>
      <c r="AH1016" s="72"/>
      <c r="AK1016" s="72"/>
      <c r="AN1016" s="72"/>
      <c r="AQ1016" s="72"/>
      <c r="AT1016" s="72"/>
      <c r="AW1016" s="72"/>
      <c r="AZ1016" s="72"/>
    </row>
    <row r="1017" spans="1:52">
      <c r="A1017" s="131"/>
      <c r="B1017" s="72"/>
      <c r="D1017" s="72"/>
      <c r="G1017" s="72"/>
      <c r="J1017" s="72"/>
      <c r="M1017" s="72"/>
      <c r="P1017" s="72"/>
      <c r="S1017" s="72"/>
      <c r="V1017" s="72"/>
      <c r="Y1017" s="72"/>
      <c r="AB1017" s="72"/>
      <c r="AE1017" s="72"/>
      <c r="AH1017" s="72"/>
      <c r="AK1017" s="72"/>
      <c r="AN1017" s="72"/>
      <c r="AQ1017" s="72"/>
      <c r="AT1017" s="72"/>
      <c r="AW1017" s="72"/>
      <c r="AZ1017" s="72"/>
    </row>
    <row r="1018" spans="1:52">
      <c r="A1018" s="131"/>
      <c r="B1018" s="72"/>
      <c r="D1018" s="72"/>
      <c r="G1018" s="72"/>
      <c r="J1018" s="72"/>
      <c r="M1018" s="72"/>
      <c r="P1018" s="72"/>
      <c r="S1018" s="72"/>
      <c r="V1018" s="72"/>
      <c r="Y1018" s="72"/>
      <c r="AB1018" s="72"/>
      <c r="AE1018" s="72"/>
      <c r="AH1018" s="72"/>
      <c r="AK1018" s="72"/>
      <c r="AN1018" s="72"/>
      <c r="AQ1018" s="72"/>
      <c r="AT1018" s="72"/>
      <c r="AW1018" s="72"/>
      <c r="AZ1018" s="72"/>
    </row>
    <row r="1019" spans="1:52">
      <c r="A1019" s="131"/>
      <c r="B1019" s="72"/>
      <c r="D1019" s="72"/>
      <c r="G1019" s="72"/>
      <c r="J1019" s="72"/>
      <c r="M1019" s="72"/>
      <c r="P1019" s="72"/>
      <c r="S1019" s="72"/>
      <c r="V1019" s="72"/>
      <c r="Y1019" s="72"/>
      <c r="AB1019" s="72"/>
      <c r="AE1019" s="72"/>
      <c r="AH1019" s="72"/>
      <c r="AK1019" s="72"/>
      <c r="AN1019" s="72"/>
      <c r="AQ1019" s="72"/>
      <c r="AT1019" s="72"/>
      <c r="AW1019" s="72"/>
      <c r="AZ1019" s="72"/>
    </row>
    <row r="1020" spans="1:52">
      <c r="A1020" s="131"/>
      <c r="B1020" s="72"/>
      <c r="D1020" s="72"/>
      <c r="G1020" s="72"/>
      <c r="J1020" s="72"/>
      <c r="M1020" s="72"/>
      <c r="P1020" s="72"/>
      <c r="S1020" s="72"/>
      <c r="V1020" s="72"/>
      <c r="Y1020" s="72"/>
      <c r="AB1020" s="72"/>
      <c r="AE1020" s="72"/>
      <c r="AH1020" s="72"/>
      <c r="AK1020" s="72"/>
      <c r="AN1020" s="72"/>
      <c r="AQ1020" s="72"/>
      <c r="AT1020" s="72"/>
      <c r="AW1020" s="72"/>
      <c r="AZ1020" s="72"/>
    </row>
    <row r="1021" spans="1:52">
      <c r="A1021" s="131"/>
      <c r="B1021" s="72"/>
      <c r="D1021" s="72"/>
      <c r="G1021" s="72"/>
      <c r="J1021" s="72"/>
      <c r="M1021" s="72"/>
      <c r="P1021" s="72"/>
      <c r="S1021" s="72"/>
      <c r="V1021" s="72"/>
      <c r="Y1021" s="72"/>
      <c r="AB1021" s="72"/>
      <c r="AE1021" s="72"/>
      <c r="AH1021" s="72"/>
      <c r="AK1021" s="72"/>
      <c r="AN1021" s="72"/>
      <c r="AQ1021" s="72"/>
      <c r="AT1021" s="72"/>
      <c r="AW1021" s="72"/>
      <c r="AZ1021" s="72"/>
    </row>
    <row r="1022" spans="1:52">
      <c r="A1022" s="131"/>
      <c r="B1022" s="72"/>
      <c r="D1022" s="72"/>
      <c r="G1022" s="72"/>
      <c r="J1022" s="72"/>
      <c r="M1022" s="72"/>
      <c r="P1022" s="72"/>
      <c r="S1022" s="72"/>
      <c r="V1022" s="72"/>
      <c r="Y1022" s="72"/>
      <c r="AB1022" s="72"/>
      <c r="AE1022" s="72"/>
      <c r="AH1022" s="72"/>
      <c r="AK1022" s="72"/>
      <c r="AN1022" s="72"/>
      <c r="AQ1022" s="72"/>
      <c r="AT1022" s="72"/>
      <c r="AW1022" s="72"/>
      <c r="AZ1022" s="72"/>
    </row>
    <row r="1023" spans="1:52">
      <c r="A1023" s="131"/>
      <c r="B1023" s="72"/>
      <c r="D1023" s="72"/>
      <c r="G1023" s="72"/>
      <c r="J1023" s="72"/>
      <c r="M1023" s="72"/>
      <c r="P1023" s="72"/>
      <c r="S1023" s="72"/>
      <c r="V1023" s="72"/>
      <c r="Y1023" s="72"/>
      <c r="AB1023" s="72"/>
      <c r="AE1023" s="72"/>
      <c r="AH1023" s="72"/>
      <c r="AK1023" s="72"/>
      <c r="AN1023" s="72"/>
      <c r="AQ1023" s="72"/>
      <c r="AT1023" s="72"/>
      <c r="AW1023" s="72"/>
      <c r="AZ1023" s="72"/>
    </row>
    <row r="1024" spans="1:52">
      <c r="A1024" s="131"/>
      <c r="B1024" s="72"/>
      <c r="D1024" s="72"/>
      <c r="G1024" s="72"/>
      <c r="J1024" s="72"/>
      <c r="M1024" s="72"/>
      <c r="P1024" s="72"/>
      <c r="S1024" s="72"/>
      <c r="V1024" s="72"/>
      <c r="Y1024" s="72"/>
      <c r="AB1024" s="72"/>
      <c r="AE1024" s="72"/>
      <c r="AH1024" s="72"/>
      <c r="AK1024" s="72"/>
      <c r="AN1024" s="72"/>
      <c r="AQ1024" s="72"/>
      <c r="AT1024" s="72"/>
      <c r="AW1024" s="72"/>
      <c r="AZ1024" s="72"/>
    </row>
    <row r="1025" spans="1:52">
      <c r="A1025" s="131"/>
      <c r="B1025" s="72"/>
      <c r="D1025" s="72"/>
      <c r="G1025" s="72"/>
      <c r="J1025" s="72"/>
      <c r="M1025" s="72"/>
      <c r="P1025" s="72"/>
      <c r="S1025" s="72"/>
      <c r="V1025" s="72"/>
      <c r="Y1025" s="72"/>
      <c r="AB1025" s="72"/>
      <c r="AE1025" s="72"/>
      <c r="AH1025" s="72"/>
      <c r="AK1025" s="72"/>
      <c r="AN1025" s="72"/>
      <c r="AQ1025" s="72"/>
      <c r="AT1025" s="72"/>
      <c r="AW1025" s="72"/>
      <c r="AZ1025" s="72"/>
    </row>
    <row r="1026" spans="1:52">
      <c r="A1026" s="131"/>
      <c r="B1026" s="72"/>
      <c r="D1026" s="72"/>
      <c r="G1026" s="72"/>
      <c r="J1026" s="72"/>
      <c r="M1026" s="72"/>
      <c r="P1026" s="72"/>
      <c r="S1026" s="72"/>
      <c r="V1026" s="72"/>
      <c r="Y1026" s="72"/>
      <c r="AB1026" s="72"/>
      <c r="AE1026" s="72"/>
      <c r="AH1026" s="72"/>
      <c r="AK1026" s="72"/>
      <c r="AN1026" s="72"/>
      <c r="AQ1026" s="72"/>
      <c r="AT1026" s="72"/>
      <c r="AW1026" s="72"/>
      <c r="AZ1026" s="72"/>
    </row>
    <row r="1027" spans="1:52">
      <c r="A1027" s="131"/>
      <c r="B1027" s="72"/>
      <c r="D1027" s="72"/>
      <c r="G1027" s="72"/>
      <c r="J1027" s="72"/>
      <c r="M1027" s="72"/>
      <c r="P1027" s="72"/>
      <c r="S1027" s="72"/>
      <c r="V1027" s="72"/>
      <c r="Y1027" s="72"/>
      <c r="AB1027" s="72"/>
      <c r="AE1027" s="72"/>
      <c r="AH1027" s="72"/>
      <c r="AK1027" s="72"/>
      <c r="AN1027" s="72"/>
      <c r="AQ1027" s="72"/>
      <c r="AT1027" s="72"/>
      <c r="AW1027" s="72"/>
      <c r="AZ1027" s="72"/>
    </row>
    <row r="1028" spans="1:52">
      <c r="A1028" s="131"/>
      <c r="B1028" s="72"/>
      <c r="D1028" s="72"/>
      <c r="G1028" s="72"/>
      <c r="J1028" s="72"/>
      <c r="M1028" s="72"/>
      <c r="P1028" s="72"/>
      <c r="S1028" s="72"/>
      <c r="V1028" s="72"/>
      <c r="Y1028" s="72"/>
      <c r="AB1028" s="72"/>
      <c r="AE1028" s="72"/>
      <c r="AH1028" s="72"/>
      <c r="AK1028" s="72"/>
      <c r="AN1028" s="72"/>
      <c r="AQ1028" s="72"/>
      <c r="AT1028" s="72"/>
      <c r="AW1028" s="72"/>
      <c r="AZ1028" s="72"/>
    </row>
    <row r="1029" spans="1:52">
      <c r="A1029" s="131"/>
      <c r="B1029" s="72"/>
      <c r="D1029" s="72"/>
      <c r="G1029" s="72"/>
      <c r="J1029" s="72"/>
      <c r="M1029" s="72"/>
      <c r="P1029" s="72"/>
      <c r="S1029" s="72"/>
      <c r="V1029" s="72"/>
      <c r="Y1029" s="72"/>
      <c r="AB1029" s="72"/>
      <c r="AE1029" s="72"/>
      <c r="AH1029" s="72"/>
      <c r="AK1029" s="72"/>
      <c r="AN1029" s="72"/>
      <c r="AQ1029" s="72"/>
      <c r="AT1029" s="72"/>
      <c r="AW1029" s="72"/>
      <c r="AZ1029" s="72"/>
    </row>
    <row r="1030" spans="1:52">
      <c r="A1030" s="131"/>
      <c r="B1030" s="72"/>
      <c r="D1030" s="72"/>
      <c r="G1030" s="72"/>
      <c r="J1030" s="72"/>
      <c r="M1030" s="72"/>
      <c r="P1030" s="72"/>
      <c r="S1030" s="72"/>
      <c r="V1030" s="72"/>
      <c r="Y1030" s="72"/>
      <c r="AB1030" s="72"/>
      <c r="AE1030" s="72"/>
      <c r="AH1030" s="72"/>
      <c r="AK1030" s="72"/>
      <c r="AN1030" s="72"/>
      <c r="AQ1030" s="72"/>
      <c r="AT1030" s="72"/>
      <c r="AW1030" s="72"/>
      <c r="AZ1030" s="72"/>
    </row>
    <row r="1031" spans="1:52">
      <c r="A1031" s="131"/>
      <c r="B1031" s="72"/>
      <c r="D1031" s="72"/>
      <c r="G1031" s="72"/>
      <c r="J1031" s="72"/>
      <c r="M1031" s="72"/>
      <c r="P1031" s="72"/>
      <c r="S1031" s="72"/>
      <c r="V1031" s="72"/>
      <c r="Y1031" s="72"/>
      <c r="AB1031" s="72"/>
      <c r="AE1031" s="72"/>
      <c r="AH1031" s="72"/>
      <c r="AK1031" s="72"/>
      <c r="AN1031" s="72"/>
      <c r="AQ1031" s="72"/>
      <c r="AT1031" s="72"/>
      <c r="AW1031" s="72"/>
      <c r="AZ1031" s="72"/>
    </row>
    <row r="1032" spans="1:52">
      <c r="A1032" s="131"/>
      <c r="B1032" s="72"/>
      <c r="D1032" s="72"/>
      <c r="G1032" s="72"/>
      <c r="J1032" s="72"/>
      <c r="M1032" s="72"/>
      <c r="P1032" s="72"/>
      <c r="S1032" s="72"/>
      <c r="V1032" s="72"/>
      <c r="Y1032" s="72"/>
      <c r="AB1032" s="72"/>
      <c r="AE1032" s="72"/>
      <c r="AH1032" s="72"/>
      <c r="AK1032" s="72"/>
      <c r="AN1032" s="72"/>
      <c r="AQ1032" s="72"/>
      <c r="AT1032" s="72"/>
      <c r="AW1032" s="72"/>
      <c r="AZ1032" s="72"/>
    </row>
    <row r="1033" spans="1:52">
      <c r="A1033" s="131"/>
      <c r="B1033" s="72"/>
      <c r="D1033" s="72"/>
      <c r="G1033" s="72"/>
      <c r="J1033" s="72"/>
      <c r="M1033" s="72"/>
      <c r="P1033" s="72"/>
      <c r="S1033" s="72"/>
      <c r="V1033" s="72"/>
      <c r="Y1033" s="72"/>
      <c r="AB1033" s="72"/>
      <c r="AE1033" s="72"/>
      <c r="AH1033" s="72"/>
      <c r="AK1033" s="72"/>
      <c r="AN1033" s="72"/>
      <c r="AQ1033" s="72"/>
      <c r="AT1033" s="72"/>
      <c r="AW1033" s="72"/>
      <c r="AZ1033" s="72"/>
    </row>
    <row r="1034" spans="1:52">
      <c r="A1034" s="131"/>
      <c r="B1034" s="72"/>
      <c r="D1034" s="72"/>
      <c r="G1034" s="72"/>
      <c r="J1034" s="72"/>
      <c r="M1034" s="72"/>
      <c r="P1034" s="72"/>
      <c r="S1034" s="72"/>
      <c r="V1034" s="72"/>
      <c r="Y1034" s="72"/>
      <c r="AB1034" s="72"/>
      <c r="AE1034" s="72"/>
      <c r="AH1034" s="72"/>
      <c r="AK1034" s="72"/>
      <c r="AN1034" s="72"/>
      <c r="AQ1034" s="72"/>
      <c r="AT1034" s="72"/>
      <c r="AW1034" s="72"/>
      <c r="AZ1034" s="72"/>
    </row>
    <row r="1035" spans="1:52">
      <c r="A1035" s="131"/>
      <c r="B1035" s="72"/>
      <c r="D1035" s="72"/>
      <c r="G1035" s="72"/>
      <c r="J1035" s="72"/>
      <c r="M1035" s="72"/>
      <c r="P1035" s="72"/>
      <c r="S1035" s="72"/>
      <c r="V1035" s="72"/>
      <c r="Y1035" s="72"/>
      <c r="AB1035" s="72"/>
      <c r="AE1035" s="72"/>
      <c r="AH1035" s="72"/>
      <c r="AK1035" s="72"/>
      <c r="AN1035" s="72"/>
      <c r="AQ1035" s="72"/>
      <c r="AT1035" s="72"/>
      <c r="AW1035" s="72"/>
      <c r="AZ1035" s="72"/>
    </row>
    <row r="1036" spans="1:52">
      <c r="A1036" s="131"/>
      <c r="B1036" s="72"/>
      <c r="D1036" s="72"/>
      <c r="G1036" s="72"/>
      <c r="J1036" s="72"/>
      <c r="M1036" s="72"/>
      <c r="P1036" s="72"/>
      <c r="S1036" s="72"/>
      <c r="V1036" s="72"/>
      <c r="Y1036" s="72"/>
      <c r="AB1036" s="72"/>
      <c r="AE1036" s="72"/>
      <c r="AH1036" s="72"/>
      <c r="AK1036" s="72"/>
      <c r="AN1036" s="72"/>
      <c r="AQ1036" s="72"/>
      <c r="AT1036" s="72"/>
      <c r="AW1036" s="72"/>
      <c r="AZ1036" s="72"/>
    </row>
    <row r="1037" spans="1:52">
      <c r="A1037" s="131"/>
      <c r="B1037" s="72"/>
      <c r="D1037" s="72"/>
      <c r="G1037" s="72"/>
      <c r="J1037" s="72"/>
      <c r="M1037" s="72"/>
      <c r="P1037" s="72"/>
      <c r="S1037" s="72"/>
      <c r="V1037" s="72"/>
      <c r="Y1037" s="72"/>
      <c r="AB1037" s="72"/>
      <c r="AE1037" s="72"/>
      <c r="AH1037" s="72"/>
      <c r="AK1037" s="72"/>
      <c r="AN1037" s="72"/>
      <c r="AQ1037" s="72"/>
      <c r="AT1037" s="72"/>
      <c r="AW1037" s="72"/>
      <c r="AZ1037" s="72"/>
    </row>
    <row r="1038" spans="1:52">
      <c r="A1038" s="131"/>
      <c r="B1038" s="72"/>
      <c r="D1038" s="72"/>
      <c r="G1038" s="72"/>
      <c r="J1038" s="72"/>
      <c r="M1038" s="72"/>
      <c r="P1038" s="72"/>
      <c r="S1038" s="72"/>
      <c r="V1038" s="72"/>
      <c r="Y1038" s="72"/>
      <c r="AB1038" s="72"/>
      <c r="AE1038" s="72"/>
      <c r="AH1038" s="72"/>
      <c r="AK1038" s="72"/>
      <c r="AN1038" s="72"/>
      <c r="AQ1038" s="72"/>
      <c r="AT1038" s="72"/>
      <c r="AW1038" s="72"/>
      <c r="AZ1038" s="72"/>
    </row>
    <row r="1039" spans="1:52">
      <c r="A1039" s="131"/>
      <c r="B1039" s="72"/>
      <c r="D1039" s="72"/>
      <c r="G1039" s="72"/>
      <c r="J1039" s="72"/>
      <c r="M1039" s="72"/>
      <c r="P1039" s="72"/>
      <c r="S1039" s="72"/>
      <c r="V1039" s="72"/>
      <c r="Y1039" s="72"/>
      <c r="AB1039" s="72"/>
      <c r="AE1039" s="72"/>
      <c r="AH1039" s="72"/>
      <c r="AK1039" s="72"/>
      <c r="AN1039" s="72"/>
      <c r="AQ1039" s="72"/>
      <c r="AT1039" s="72"/>
      <c r="AW1039" s="72"/>
      <c r="AZ1039" s="72"/>
    </row>
    <row r="1040" spans="1:52">
      <c r="A1040" s="131"/>
      <c r="B1040" s="72"/>
      <c r="D1040" s="72"/>
      <c r="G1040" s="72"/>
      <c r="J1040" s="72"/>
      <c r="M1040" s="72"/>
      <c r="P1040" s="72"/>
      <c r="S1040" s="72"/>
      <c r="V1040" s="72"/>
      <c r="Y1040" s="72"/>
      <c r="AB1040" s="72"/>
      <c r="AE1040" s="72"/>
      <c r="AH1040" s="72"/>
      <c r="AK1040" s="72"/>
      <c r="AN1040" s="72"/>
      <c r="AQ1040" s="72"/>
      <c r="AT1040" s="72"/>
      <c r="AW1040" s="72"/>
      <c r="AZ1040" s="72"/>
    </row>
    <row r="1041" spans="1:52">
      <c r="A1041" s="131"/>
      <c r="B1041" s="72"/>
      <c r="D1041" s="72"/>
      <c r="G1041" s="72"/>
      <c r="J1041" s="72"/>
      <c r="M1041" s="72"/>
      <c r="P1041" s="72"/>
      <c r="S1041" s="72"/>
      <c r="V1041" s="72"/>
      <c r="Y1041" s="72"/>
      <c r="AB1041" s="72"/>
      <c r="AE1041" s="72"/>
      <c r="AH1041" s="72"/>
      <c r="AK1041" s="72"/>
      <c r="AN1041" s="72"/>
      <c r="AQ1041" s="72"/>
      <c r="AT1041" s="72"/>
      <c r="AW1041" s="72"/>
      <c r="AZ1041" s="72"/>
    </row>
    <row r="1042" spans="1:52">
      <c r="A1042" s="131"/>
      <c r="B1042" s="72"/>
      <c r="D1042" s="72"/>
      <c r="G1042" s="72"/>
      <c r="J1042" s="72"/>
      <c r="M1042" s="72"/>
      <c r="P1042" s="72"/>
      <c r="S1042" s="72"/>
      <c r="V1042" s="72"/>
      <c r="Y1042" s="72"/>
      <c r="AB1042" s="72"/>
      <c r="AE1042" s="72"/>
      <c r="AH1042" s="72"/>
      <c r="AK1042" s="72"/>
      <c r="AN1042" s="72"/>
      <c r="AQ1042" s="72"/>
      <c r="AT1042" s="72"/>
      <c r="AW1042" s="72"/>
      <c r="AZ1042" s="72"/>
    </row>
    <row r="1043" spans="1:52">
      <c r="A1043" s="131"/>
      <c r="B1043" s="72"/>
      <c r="D1043" s="72"/>
      <c r="G1043" s="72"/>
      <c r="J1043" s="72"/>
      <c r="M1043" s="72"/>
      <c r="P1043" s="72"/>
      <c r="S1043" s="72"/>
      <c r="V1043" s="72"/>
      <c r="Y1043" s="72"/>
      <c r="AB1043" s="72"/>
      <c r="AE1043" s="72"/>
      <c r="AH1043" s="72"/>
      <c r="AK1043" s="72"/>
      <c r="AN1043" s="72"/>
      <c r="AQ1043" s="72"/>
      <c r="AT1043" s="72"/>
      <c r="AW1043" s="72"/>
      <c r="AZ1043" s="72"/>
    </row>
    <row r="1044" spans="1:52">
      <c r="A1044" s="131"/>
      <c r="B1044" s="72"/>
      <c r="D1044" s="72"/>
      <c r="G1044" s="72"/>
      <c r="J1044" s="72"/>
      <c r="M1044" s="72"/>
      <c r="P1044" s="72"/>
      <c r="S1044" s="72"/>
      <c r="V1044" s="72"/>
      <c r="Y1044" s="72"/>
      <c r="AB1044" s="72"/>
      <c r="AE1044" s="72"/>
      <c r="AH1044" s="72"/>
      <c r="AK1044" s="72"/>
      <c r="AN1044" s="72"/>
      <c r="AQ1044" s="72"/>
      <c r="AT1044" s="72"/>
      <c r="AW1044" s="72"/>
      <c r="AZ1044" s="72"/>
    </row>
    <row r="1045" spans="1:52">
      <c r="A1045" s="131"/>
      <c r="B1045" s="72"/>
      <c r="D1045" s="72"/>
      <c r="G1045" s="72"/>
      <c r="J1045" s="72"/>
      <c r="M1045" s="72"/>
      <c r="P1045" s="72"/>
      <c r="S1045" s="72"/>
      <c r="V1045" s="72"/>
      <c r="Y1045" s="72"/>
      <c r="AB1045" s="72"/>
      <c r="AE1045" s="72"/>
      <c r="AH1045" s="72"/>
      <c r="AK1045" s="72"/>
      <c r="AN1045" s="72"/>
      <c r="AQ1045" s="72"/>
      <c r="AT1045" s="72"/>
      <c r="AW1045" s="72"/>
      <c r="AZ1045" s="72"/>
    </row>
    <row r="1046" spans="1:52">
      <c r="A1046" s="131"/>
      <c r="B1046" s="72"/>
      <c r="D1046" s="72"/>
      <c r="G1046" s="72"/>
      <c r="J1046" s="72"/>
      <c r="M1046" s="72"/>
      <c r="P1046" s="72"/>
      <c r="S1046" s="72"/>
      <c r="V1046" s="72"/>
      <c r="Y1046" s="72"/>
      <c r="AB1046" s="72"/>
      <c r="AE1046" s="72"/>
      <c r="AH1046" s="72"/>
      <c r="AK1046" s="72"/>
      <c r="AN1046" s="72"/>
      <c r="AQ1046" s="72"/>
      <c r="AT1046" s="72"/>
      <c r="AW1046" s="72"/>
      <c r="AZ1046" s="72"/>
    </row>
    <row r="1047" spans="1:52">
      <c r="A1047" s="131"/>
      <c r="B1047" s="72"/>
      <c r="D1047" s="72"/>
      <c r="G1047" s="72"/>
      <c r="J1047" s="72"/>
      <c r="M1047" s="72"/>
      <c r="P1047" s="72"/>
      <c r="S1047" s="72"/>
      <c r="V1047" s="72"/>
      <c r="Y1047" s="72"/>
      <c r="AB1047" s="72"/>
      <c r="AE1047" s="72"/>
      <c r="AH1047" s="72"/>
      <c r="AK1047" s="72"/>
      <c r="AN1047" s="72"/>
      <c r="AQ1047" s="72"/>
      <c r="AT1047" s="72"/>
      <c r="AW1047" s="72"/>
      <c r="AZ1047" s="72"/>
    </row>
    <row r="1048" spans="1:52">
      <c r="A1048" s="131"/>
      <c r="B1048" s="72"/>
      <c r="D1048" s="72"/>
      <c r="G1048" s="72"/>
      <c r="J1048" s="72"/>
      <c r="M1048" s="72"/>
      <c r="P1048" s="72"/>
      <c r="S1048" s="72"/>
      <c r="V1048" s="72"/>
      <c r="Y1048" s="72"/>
      <c r="AB1048" s="72"/>
      <c r="AE1048" s="72"/>
      <c r="AH1048" s="72"/>
      <c r="AK1048" s="72"/>
      <c r="AN1048" s="72"/>
      <c r="AQ1048" s="72"/>
      <c r="AT1048" s="72"/>
      <c r="AW1048" s="72"/>
      <c r="AZ1048" s="72"/>
    </row>
    <row r="1049" spans="1:52">
      <c r="A1049" s="131"/>
      <c r="B1049" s="72"/>
      <c r="D1049" s="72"/>
      <c r="G1049" s="72"/>
      <c r="J1049" s="72"/>
      <c r="M1049" s="72"/>
      <c r="P1049" s="72"/>
      <c r="S1049" s="72"/>
      <c r="V1049" s="72"/>
      <c r="Y1049" s="72"/>
      <c r="AB1049" s="72"/>
      <c r="AE1049" s="72"/>
      <c r="AH1049" s="72"/>
      <c r="AK1049" s="72"/>
      <c r="AN1049" s="72"/>
      <c r="AQ1049" s="72"/>
      <c r="AT1049" s="72"/>
      <c r="AW1049" s="72"/>
      <c r="AZ1049" s="72"/>
    </row>
    <row r="1050" spans="1:52">
      <c r="A1050" s="131"/>
      <c r="B1050" s="72"/>
      <c r="D1050" s="72"/>
      <c r="G1050" s="72"/>
      <c r="J1050" s="72"/>
      <c r="M1050" s="72"/>
      <c r="P1050" s="72"/>
      <c r="S1050" s="72"/>
      <c r="V1050" s="72"/>
      <c r="Y1050" s="72"/>
      <c r="AB1050" s="72"/>
      <c r="AE1050" s="72"/>
      <c r="AH1050" s="72"/>
      <c r="AK1050" s="72"/>
      <c r="AN1050" s="72"/>
      <c r="AQ1050" s="72"/>
      <c r="AT1050" s="72"/>
      <c r="AW1050" s="72"/>
      <c r="AZ1050" s="72"/>
    </row>
    <row r="1051" spans="1:52">
      <c r="A1051" s="131"/>
      <c r="B1051" s="72"/>
      <c r="D1051" s="72"/>
      <c r="G1051" s="72"/>
      <c r="J1051" s="72"/>
      <c r="M1051" s="72"/>
      <c r="P1051" s="72"/>
      <c r="S1051" s="72"/>
      <c r="V1051" s="72"/>
      <c r="Y1051" s="72"/>
      <c r="AB1051" s="72"/>
      <c r="AE1051" s="72"/>
      <c r="AH1051" s="72"/>
      <c r="AK1051" s="72"/>
      <c r="AN1051" s="72"/>
      <c r="AQ1051" s="72"/>
      <c r="AT1051" s="72"/>
      <c r="AW1051" s="72"/>
      <c r="AZ1051" s="72"/>
    </row>
    <row r="1052" spans="1:52">
      <c r="A1052" s="131"/>
      <c r="B1052" s="72"/>
      <c r="D1052" s="72"/>
      <c r="G1052" s="72"/>
      <c r="J1052" s="72"/>
      <c r="M1052" s="72"/>
      <c r="P1052" s="72"/>
      <c r="S1052" s="72"/>
      <c r="V1052" s="72"/>
      <c r="Y1052" s="72"/>
      <c r="AB1052" s="72"/>
      <c r="AE1052" s="72"/>
      <c r="AH1052" s="72"/>
      <c r="AK1052" s="72"/>
      <c r="AN1052" s="72"/>
      <c r="AQ1052" s="72"/>
      <c r="AT1052" s="72"/>
      <c r="AW1052" s="72"/>
      <c r="AZ1052" s="72"/>
    </row>
    <row r="1053" spans="1:52">
      <c r="A1053" s="131"/>
      <c r="B1053" s="72"/>
      <c r="D1053" s="72"/>
      <c r="G1053" s="72"/>
      <c r="J1053" s="72"/>
      <c r="M1053" s="72"/>
      <c r="P1053" s="72"/>
      <c r="S1053" s="72"/>
      <c r="V1053" s="72"/>
      <c r="Y1053" s="72"/>
      <c r="AB1053" s="72"/>
      <c r="AE1053" s="72"/>
      <c r="AH1053" s="72"/>
      <c r="AK1053" s="72"/>
      <c r="AN1053" s="72"/>
      <c r="AQ1053" s="72"/>
      <c r="AT1053" s="72"/>
      <c r="AW1053" s="72"/>
      <c r="AZ1053" s="72"/>
    </row>
    <row r="1054" spans="1:52">
      <c r="A1054" s="131"/>
      <c r="B1054" s="72"/>
      <c r="D1054" s="72"/>
      <c r="G1054" s="72"/>
      <c r="J1054" s="72"/>
      <c r="M1054" s="72"/>
      <c r="P1054" s="72"/>
      <c r="S1054" s="72"/>
      <c r="V1054" s="72"/>
      <c r="Y1054" s="72"/>
      <c r="AB1054" s="72"/>
      <c r="AE1054" s="72"/>
      <c r="AH1054" s="72"/>
      <c r="AK1054" s="72"/>
      <c r="AN1054" s="72"/>
      <c r="AQ1054" s="72"/>
      <c r="AT1054" s="72"/>
      <c r="AW1054" s="72"/>
      <c r="AZ1054" s="72"/>
    </row>
    <row r="1055" spans="1:52">
      <c r="A1055" s="131"/>
      <c r="B1055" s="72"/>
      <c r="D1055" s="72"/>
      <c r="G1055" s="72"/>
      <c r="J1055" s="72"/>
      <c r="M1055" s="72"/>
      <c r="P1055" s="72"/>
      <c r="S1055" s="72"/>
      <c r="V1055" s="72"/>
      <c r="Y1055" s="72"/>
      <c r="AB1055" s="72"/>
      <c r="AE1055" s="72"/>
      <c r="AH1055" s="72"/>
      <c r="AK1055" s="72"/>
      <c r="AN1055" s="72"/>
      <c r="AQ1055" s="72"/>
      <c r="AT1055" s="72"/>
      <c r="AW1055" s="72"/>
      <c r="AZ1055" s="72"/>
    </row>
    <row r="1056" spans="1:52">
      <c r="A1056" s="131"/>
      <c r="B1056" s="72"/>
      <c r="D1056" s="72"/>
      <c r="G1056" s="72"/>
      <c r="J1056" s="72"/>
      <c r="M1056" s="72"/>
      <c r="P1056" s="72"/>
      <c r="S1056" s="72"/>
      <c r="V1056" s="72"/>
      <c r="Y1056" s="72"/>
      <c r="AB1056" s="72"/>
      <c r="AE1056" s="72"/>
      <c r="AH1056" s="72"/>
      <c r="AK1056" s="72"/>
      <c r="AN1056" s="72"/>
      <c r="AQ1056" s="72"/>
      <c r="AT1056" s="72"/>
      <c r="AW1056" s="72"/>
      <c r="AZ1056" s="72"/>
    </row>
    <row r="1057" spans="1:52">
      <c r="A1057" s="131"/>
      <c r="B1057" s="72"/>
      <c r="D1057" s="72"/>
      <c r="G1057" s="72"/>
      <c r="J1057" s="72"/>
      <c r="M1057" s="72"/>
      <c r="P1057" s="72"/>
      <c r="S1057" s="72"/>
      <c r="V1057" s="72"/>
      <c r="Y1057" s="72"/>
      <c r="AB1057" s="72"/>
      <c r="AE1057" s="72"/>
      <c r="AH1057" s="72"/>
      <c r="AK1057" s="72"/>
      <c r="AN1057" s="72"/>
      <c r="AQ1057" s="72"/>
      <c r="AT1057" s="72"/>
      <c r="AW1057" s="72"/>
      <c r="AZ1057" s="72"/>
    </row>
    <row r="1058" spans="1:52">
      <c r="A1058" s="131"/>
      <c r="B1058" s="72"/>
      <c r="D1058" s="72"/>
      <c r="G1058" s="72"/>
      <c r="J1058" s="72"/>
      <c r="M1058" s="72"/>
      <c r="P1058" s="72"/>
      <c r="S1058" s="72"/>
      <c r="V1058" s="72"/>
      <c r="Y1058" s="72"/>
      <c r="AB1058" s="72"/>
      <c r="AE1058" s="72"/>
      <c r="AH1058" s="72"/>
      <c r="AK1058" s="72"/>
      <c r="AN1058" s="72"/>
      <c r="AQ1058" s="72"/>
      <c r="AT1058" s="72"/>
      <c r="AW1058" s="72"/>
      <c r="AZ1058" s="72"/>
    </row>
    <row r="1059" spans="1:52">
      <c r="A1059" s="131"/>
      <c r="B1059" s="72"/>
      <c r="D1059" s="72"/>
      <c r="G1059" s="72"/>
      <c r="J1059" s="72"/>
      <c r="M1059" s="72"/>
      <c r="P1059" s="72"/>
      <c r="S1059" s="72"/>
      <c r="V1059" s="72"/>
      <c r="Y1059" s="72"/>
      <c r="AB1059" s="72"/>
      <c r="AE1059" s="72"/>
      <c r="AH1059" s="72"/>
      <c r="AK1059" s="72"/>
      <c r="AN1059" s="72"/>
      <c r="AQ1059" s="72"/>
      <c r="AT1059" s="72"/>
      <c r="AW1059" s="72"/>
      <c r="AZ1059" s="72"/>
    </row>
    <row r="1060" spans="1:52">
      <c r="A1060" s="131"/>
      <c r="B1060" s="72"/>
      <c r="D1060" s="72"/>
      <c r="G1060" s="72"/>
      <c r="J1060" s="72"/>
      <c r="M1060" s="72"/>
      <c r="P1060" s="72"/>
      <c r="S1060" s="72"/>
      <c r="V1060" s="72"/>
      <c r="Y1060" s="72"/>
      <c r="AB1060" s="72"/>
      <c r="AE1060" s="72"/>
      <c r="AH1060" s="72"/>
      <c r="AK1060" s="72"/>
      <c r="AN1060" s="72"/>
      <c r="AQ1060" s="72"/>
      <c r="AT1060" s="72"/>
      <c r="AW1060" s="72"/>
      <c r="AZ1060" s="72"/>
    </row>
    <row r="1061" spans="1:52">
      <c r="A1061" s="131"/>
      <c r="B1061" s="72"/>
      <c r="D1061" s="72"/>
      <c r="G1061" s="72"/>
      <c r="J1061" s="72"/>
      <c r="M1061" s="72"/>
      <c r="P1061" s="72"/>
      <c r="S1061" s="72"/>
      <c r="V1061" s="72"/>
      <c r="Y1061" s="72"/>
      <c r="AB1061" s="72"/>
      <c r="AE1061" s="72"/>
      <c r="AH1061" s="72"/>
      <c r="AK1061" s="72"/>
      <c r="AN1061" s="72"/>
      <c r="AQ1061" s="72"/>
      <c r="AT1061" s="72"/>
      <c r="AW1061" s="72"/>
      <c r="AZ1061" s="72"/>
    </row>
    <row r="1062" spans="1:52">
      <c r="A1062" s="131"/>
      <c r="B1062" s="72"/>
      <c r="D1062" s="72"/>
      <c r="G1062" s="72"/>
      <c r="J1062" s="72"/>
      <c r="M1062" s="72"/>
      <c r="P1062" s="72"/>
      <c r="S1062" s="72"/>
      <c r="V1062" s="72"/>
      <c r="Y1062" s="72"/>
      <c r="AB1062" s="72"/>
      <c r="AE1062" s="72"/>
      <c r="AH1062" s="72"/>
      <c r="AK1062" s="72"/>
      <c r="AN1062" s="72"/>
      <c r="AQ1062" s="72"/>
      <c r="AT1062" s="72"/>
      <c r="AW1062" s="72"/>
      <c r="AZ1062" s="72"/>
    </row>
    <row r="1063" spans="1:52">
      <c r="A1063" s="131"/>
      <c r="B1063" s="72"/>
      <c r="D1063" s="72"/>
      <c r="G1063" s="72"/>
      <c r="J1063" s="72"/>
      <c r="M1063" s="72"/>
      <c r="P1063" s="72"/>
      <c r="S1063" s="72"/>
      <c r="V1063" s="72"/>
      <c r="Y1063" s="72"/>
      <c r="AB1063" s="72"/>
      <c r="AE1063" s="72"/>
      <c r="AH1063" s="72"/>
      <c r="AK1063" s="72"/>
      <c r="AN1063" s="72"/>
      <c r="AQ1063" s="72"/>
      <c r="AT1063" s="72"/>
      <c r="AW1063" s="72"/>
      <c r="AZ1063" s="72"/>
    </row>
    <row r="1064" spans="1:52">
      <c r="A1064" s="131"/>
      <c r="B1064" s="72"/>
      <c r="D1064" s="72"/>
      <c r="G1064" s="72"/>
      <c r="J1064" s="72"/>
      <c r="M1064" s="72"/>
      <c r="P1064" s="72"/>
      <c r="S1064" s="72"/>
      <c r="V1064" s="72"/>
      <c r="Y1064" s="72"/>
      <c r="AB1064" s="72"/>
      <c r="AE1064" s="72"/>
      <c r="AH1064" s="72"/>
      <c r="AK1064" s="72"/>
      <c r="AN1064" s="72"/>
      <c r="AQ1064" s="72"/>
      <c r="AT1064" s="72"/>
      <c r="AW1064" s="72"/>
      <c r="AZ1064" s="72"/>
    </row>
    <row r="1065" spans="1:52">
      <c r="A1065" s="131"/>
      <c r="B1065" s="72"/>
      <c r="D1065" s="72"/>
      <c r="G1065" s="72"/>
      <c r="J1065" s="72"/>
      <c r="M1065" s="72"/>
      <c r="P1065" s="72"/>
      <c r="S1065" s="72"/>
      <c r="V1065" s="72"/>
      <c r="Y1065" s="72"/>
      <c r="AB1065" s="72"/>
      <c r="AE1065" s="72"/>
      <c r="AH1065" s="72"/>
      <c r="AK1065" s="72"/>
      <c r="AN1065" s="72"/>
      <c r="AQ1065" s="72"/>
      <c r="AT1065" s="72"/>
      <c r="AW1065" s="72"/>
      <c r="AZ1065" s="72"/>
    </row>
    <row r="1066" spans="1:52">
      <c r="A1066" s="131"/>
      <c r="B1066" s="72"/>
      <c r="D1066" s="72"/>
      <c r="G1066" s="72"/>
      <c r="J1066" s="72"/>
      <c r="M1066" s="72"/>
      <c r="P1066" s="72"/>
      <c r="S1066" s="72"/>
      <c r="V1066" s="72"/>
      <c r="Y1066" s="72"/>
      <c r="AB1066" s="72"/>
      <c r="AE1066" s="72"/>
      <c r="AH1066" s="72"/>
      <c r="AK1066" s="72"/>
      <c r="AN1066" s="72"/>
      <c r="AQ1066" s="72"/>
      <c r="AT1066" s="72"/>
      <c r="AW1066" s="72"/>
      <c r="AZ1066" s="72"/>
    </row>
    <row r="1067" spans="1:52">
      <c r="A1067" s="131"/>
      <c r="B1067" s="72"/>
      <c r="D1067" s="72"/>
      <c r="G1067" s="72"/>
      <c r="J1067" s="72"/>
      <c r="M1067" s="72"/>
      <c r="P1067" s="72"/>
      <c r="S1067" s="72"/>
      <c r="V1067" s="72"/>
      <c r="Y1067" s="72"/>
      <c r="AB1067" s="72"/>
      <c r="AE1067" s="72"/>
      <c r="AH1067" s="72"/>
      <c r="AK1067" s="72"/>
      <c r="AN1067" s="72"/>
      <c r="AQ1067" s="72"/>
      <c r="AT1067" s="72"/>
      <c r="AW1067" s="72"/>
      <c r="AZ1067" s="72"/>
    </row>
    <row r="1068" spans="1:52">
      <c r="A1068" s="131"/>
      <c r="B1068" s="72"/>
      <c r="D1068" s="72"/>
      <c r="G1068" s="72"/>
      <c r="J1068" s="72"/>
      <c r="M1068" s="72"/>
      <c r="P1068" s="72"/>
      <c r="S1068" s="72"/>
      <c r="V1068" s="72"/>
      <c r="Y1068" s="72"/>
      <c r="AB1068" s="72"/>
      <c r="AE1068" s="72"/>
      <c r="AH1068" s="72"/>
      <c r="AK1068" s="72"/>
      <c r="AN1068" s="72"/>
      <c r="AQ1068" s="72"/>
      <c r="AT1068" s="72"/>
      <c r="AW1068" s="72"/>
      <c r="AZ1068" s="72"/>
    </row>
    <row r="1069" spans="1:52">
      <c r="A1069" s="131"/>
      <c r="B1069" s="72"/>
      <c r="D1069" s="72"/>
      <c r="G1069" s="72"/>
      <c r="J1069" s="72"/>
      <c r="M1069" s="72"/>
      <c r="P1069" s="72"/>
      <c r="S1069" s="72"/>
      <c r="V1069" s="72"/>
      <c r="Y1069" s="72"/>
      <c r="AB1069" s="72"/>
      <c r="AE1069" s="72"/>
      <c r="AH1069" s="72"/>
      <c r="AK1069" s="72"/>
      <c r="AN1069" s="72"/>
      <c r="AQ1069" s="72"/>
      <c r="AT1069" s="72"/>
      <c r="AW1069" s="72"/>
      <c r="AZ1069" s="72"/>
    </row>
    <row r="1070" spans="1:52">
      <c r="A1070" s="131"/>
      <c r="B1070" s="72"/>
      <c r="D1070" s="72"/>
      <c r="G1070" s="72"/>
      <c r="J1070" s="72"/>
      <c r="M1070" s="72"/>
      <c r="P1070" s="72"/>
      <c r="S1070" s="72"/>
      <c r="V1070" s="72"/>
      <c r="Y1070" s="72"/>
      <c r="AB1070" s="72"/>
      <c r="AE1070" s="72"/>
      <c r="AH1070" s="72"/>
      <c r="AK1070" s="72"/>
      <c r="AN1070" s="72"/>
      <c r="AQ1070" s="72"/>
      <c r="AT1070" s="72"/>
      <c r="AW1070" s="72"/>
      <c r="AZ1070" s="72"/>
    </row>
    <row r="1071" spans="1:52">
      <c r="A1071" s="131"/>
      <c r="B1071" s="72"/>
      <c r="D1071" s="72"/>
      <c r="G1071" s="72"/>
      <c r="J1071" s="72"/>
      <c r="M1071" s="72"/>
      <c r="P1071" s="72"/>
      <c r="S1071" s="72"/>
      <c r="V1071" s="72"/>
      <c r="Y1071" s="72"/>
      <c r="AB1071" s="72"/>
      <c r="AE1071" s="72"/>
      <c r="AH1071" s="72"/>
      <c r="AK1071" s="72"/>
      <c r="AN1071" s="72"/>
      <c r="AQ1071" s="72"/>
      <c r="AT1071" s="72"/>
      <c r="AW1071" s="72"/>
      <c r="AZ1071" s="72"/>
    </row>
    <row r="1072" spans="1:52">
      <c r="A1072" s="131"/>
      <c r="B1072" s="72"/>
      <c r="D1072" s="72"/>
      <c r="G1072" s="72"/>
      <c r="J1072" s="72"/>
      <c r="M1072" s="72"/>
      <c r="P1072" s="72"/>
      <c r="S1072" s="72"/>
      <c r="V1072" s="72"/>
      <c r="Y1072" s="72"/>
      <c r="AB1072" s="72"/>
      <c r="AE1072" s="72"/>
      <c r="AH1072" s="72"/>
      <c r="AK1072" s="72"/>
      <c r="AN1072" s="72"/>
      <c r="AQ1072" s="72"/>
      <c r="AT1072" s="72"/>
      <c r="AW1072" s="72"/>
      <c r="AZ1072" s="72"/>
    </row>
    <row r="1073" spans="1:52">
      <c r="A1073" s="131"/>
      <c r="B1073" s="72"/>
      <c r="D1073" s="72"/>
      <c r="G1073" s="72"/>
      <c r="J1073" s="72"/>
      <c r="M1073" s="72"/>
      <c r="P1073" s="72"/>
      <c r="S1073" s="72"/>
      <c r="V1073" s="72"/>
      <c r="Y1073" s="72"/>
      <c r="AB1073" s="72"/>
      <c r="AE1073" s="72"/>
      <c r="AH1073" s="72"/>
      <c r="AK1073" s="72"/>
      <c r="AN1073" s="72"/>
      <c r="AQ1073" s="72"/>
      <c r="AT1073" s="72"/>
      <c r="AW1073" s="72"/>
      <c r="AZ1073" s="72"/>
    </row>
    <row r="1074" spans="1:52">
      <c r="A1074" s="131"/>
      <c r="B1074" s="72"/>
      <c r="D1074" s="72"/>
      <c r="G1074" s="72"/>
      <c r="J1074" s="72"/>
      <c r="M1074" s="72"/>
      <c r="P1074" s="72"/>
      <c r="S1074" s="72"/>
      <c r="V1074" s="72"/>
      <c r="Y1074" s="72"/>
      <c r="AB1074" s="72"/>
      <c r="AE1074" s="72"/>
      <c r="AH1074" s="72"/>
      <c r="AK1074" s="72"/>
      <c r="AN1074" s="72"/>
      <c r="AQ1074" s="72"/>
      <c r="AT1074" s="72"/>
      <c r="AW1074" s="72"/>
      <c r="AZ1074" s="72"/>
    </row>
    <row r="1075" spans="1:52">
      <c r="A1075" s="131"/>
      <c r="B1075" s="72"/>
      <c r="D1075" s="72"/>
      <c r="G1075" s="72"/>
      <c r="J1075" s="72"/>
      <c r="M1075" s="72"/>
      <c r="P1075" s="72"/>
      <c r="S1075" s="72"/>
      <c r="V1075" s="72"/>
      <c r="Y1075" s="72"/>
      <c r="AB1075" s="72"/>
      <c r="AE1075" s="72"/>
      <c r="AH1075" s="72"/>
      <c r="AK1075" s="72"/>
      <c r="AN1075" s="72"/>
      <c r="AQ1075" s="72"/>
      <c r="AT1075" s="72"/>
      <c r="AW1075" s="72"/>
      <c r="AZ1075" s="72"/>
    </row>
    <row r="1076" spans="1:52">
      <c r="A1076" s="131"/>
      <c r="B1076" s="72"/>
      <c r="D1076" s="72"/>
      <c r="G1076" s="72"/>
      <c r="J1076" s="72"/>
      <c r="M1076" s="72"/>
      <c r="P1076" s="72"/>
      <c r="S1076" s="72"/>
      <c r="V1076" s="72"/>
      <c r="Y1076" s="72"/>
      <c r="AB1076" s="72"/>
      <c r="AE1076" s="72"/>
      <c r="AH1076" s="72"/>
      <c r="AK1076" s="72"/>
      <c r="AN1076" s="72"/>
      <c r="AQ1076" s="72"/>
      <c r="AT1076" s="72"/>
      <c r="AW1076" s="72"/>
      <c r="AZ1076" s="72"/>
    </row>
    <row r="1077" spans="1:52">
      <c r="A1077" s="131"/>
      <c r="B1077" s="72"/>
      <c r="D1077" s="72"/>
      <c r="G1077" s="72"/>
      <c r="J1077" s="72"/>
      <c r="M1077" s="72"/>
      <c r="P1077" s="72"/>
      <c r="S1077" s="72"/>
      <c r="V1077" s="72"/>
      <c r="Y1077" s="72"/>
      <c r="AB1077" s="72"/>
      <c r="AE1077" s="72"/>
      <c r="AH1077" s="72"/>
      <c r="AK1077" s="72"/>
      <c r="AN1077" s="72"/>
      <c r="AQ1077" s="72"/>
      <c r="AT1077" s="72"/>
      <c r="AW1077" s="72"/>
      <c r="AZ1077" s="72"/>
    </row>
    <row r="1078" spans="1:52">
      <c r="A1078" s="131"/>
      <c r="B1078" s="72"/>
      <c r="D1078" s="72"/>
      <c r="G1078" s="72"/>
      <c r="J1078" s="72"/>
      <c r="M1078" s="72"/>
      <c r="P1078" s="72"/>
      <c r="S1078" s="72"/>
      <c r="V1078" s="72"/>
      <c r="Y1078" s="72"/>
      <c r="AB1078" s="72"/>
      <c r="AE1078" s="72"/>
      <c r="AH1078" s="72"/>
      <c r="AK1078" s="72"/>
      <c r="AN1078" s="72"/>
      <c r="AQ1078" s="72"/>
      <c r="AT1078" s="72"/>
      <c r="AW1078" s="72"/>
      <c r="AZ1078" s="72"/>
    </row>
    <row r="1079" spans="1:52">
      <c r="A1079" s="131"/>
      <c r="B1079" s="72"/>
      <c r="D1079" s="72"/>
      <c r="G1079" s="72"/>
      <c r="J1079" s="72"/>
      <c r="M1079" s="72"/>
      <c r="P1079" s="72"/>
      <c r="S1079" s="72"/>
      <c r="V1079" s="72"/>
      <c r="Y1079" s="72"/>
      <c r="AB1079" s="72"/>
      <c r="AE1079" s="72"/>
      <c r="AH1079" s="72"/>
      <c r="AK1079" s="72"/>
      <c r="AN1079" s="72"/>
      <c r="AQ1079" s="72"/>
      <c r="AT1079" s="72"/>
      <c r="AW1079" s="72"/>
      <c r="AZ1079" s="72"/>
    </row>
    <row r="1080" spans="1:52">
      <c r="A1080" s="131"/>
      <c r="B1080" s="72"/>
      <c r="D1080" s="72"/>
      <c r="G1080" s="72"/>
      <c r="J1080" s="72"/>
      <c r="M1080" s="72"/>
      <c r="P1080" s="72"/>
      <c r="S1080" s="72"/>
      <c r="V1080" s="72"/>
      <c r="Y1080" s="72"/>
      <c r="AB1080" s="72"/>
      <c r="AE1080" s="72"/>
      <c r="AH1080" s="72"/>
      <c r="AK1080" s="72"/>
      <c r="AN1080" s="72"/>
      <c r="AQ1080" s="72"/>
      <c r="AT1080" s="72"/>
      <c r="AW1080" s="72"/>
      <c r="AZ1080" s="72"/>
    </row>
    <row r="1081" spans="1:52">
      <c r="A1081" s="131"/>
      <c r="B1081" s="72"/>
      <c r="D1081" s="72"/>
      <c r="G1081" s="72"/>
      <c r="J1081" s="72"/>
      <c r="M1081" s="72"/>
      <c r="P1081" s="72"/>
      <c r="S1081" s="72"/>
      <c r="V1081" s="72"/>
      <c r="Y1081" s="72"/>
      <c r="AB1081" s="72"/>
      <c r="AE1081" s="72"/>
      <c r="AH1081" s="72"/>
      <c r="AK1081" s="72"/>
      <c r="AN1081" s="72"/>
      <c r="AQ1081" s="72"/>
      <c r="AT1081" s="72"/>
      <c r="AW1081" s="72"/>
      <c r="AZ1081" s="72"/>
    </row>
    <row r="1082" spans="1:52">
      <c r="A1082" s="131"/>
      <c r="B1082" s="72"/>
      <c r="D1082" s="72"/>
      <c r="G1082" s="72"/>
      <c r="J1082" s="72"/>
      <c r="M1082" s="72"/>
      <c r="P1082" s="72"/>
      <c r="S1082" s="72"/>
      <c r="V1082" s="72"/>
      <c r="Y1082" s="72"/>
      <c r="AB1082" s="72"/>
      <c r="AE1082" s="72"/>
      <c r="AH1082" s="72"/>
      <c r="AK1082" s="72"/>
      <c r="AN1082" s="72"/>
      <c r="AQ1082" s="72"/>
      <c r="AT1082" s="72"/>
      <c r="AW1082" s="72"/>
      <c r="AZ1082" s="72"/>
    </row>
    <row r="1083" spans="1:52">
      <c r="A1083" s="131"/>
      <c r="B1083" s="72"/>
      <c r="D1083" s="72"/>
      <c r="G1083" s="72"/>
      <c r="J1083" s="72"/>
      <c r="M1083" s="72"/>
      <c r="P1083" s="72"/>
      <c r="S1083" s="72"/>
      <c r="V1083" s="72"/>
      <c r="Y1083" s="72"/>
      <c r="AB1083" s="72"/>
      <c r="AE1083" s="72"/>
      <c r="AH1083" s="72"/>
      <c r="AK1083" s="72"/>
      <c r="AN1083" s="72"/>
      <c r="AQ1083" s="72"/>
      <c r="AT1083" s="72"/>
      <c r="AW1083" s="72"/>
      <c r="AZ1083" s="72"/>
    </row>
    <row r="1084" spans="1:52">
      <c r="A1084" s="131"/>
      <c r="B1084" s="72"/>
      <c r="D1084" s="72"/>
      <c r="G1084" s="72"/>
      <c r="J1084" s="72"/>
      <c r="M1084" s="72"/>
      <c r="P1084" s="72"/>
      <c r="S1084" s="72"/>
      <c r="V1084" s="72"/>
      <c r="Y1084" s="72"/>
      <c r="AB1084" s="72"/>
      <c r="AE1084" s="72"/>
      <c r="AH1084" s="72"/>
      <c r="AK1084" s="72"/>
      <c r="AN1084" s="72"/>
      <c r="AQ1084" s="72"/>
      <c r="AT1084" s="72"/>
      <c r="AW1084" s="72"/>
      <c r="AZ1084" s="72"/>
    </row>
    <row r="1085" spans="1:52">
      <c r="A1085" s="131"/>
      <c r="B1085" s="72"/>
      <c r="D1085" s="72"/>
      <c r="G1085" s="72"/>
      <c r="J1085" s="72"/>
      <c r="M1085" s="72"/>
      <c r="P1085" s="72"/>
      <c r="S1085" s="72"/>
      <c r="V1085" s="72"/>
      <c r="Y1085" s="72"/>
      <c r="AB1085" s="72"/>
      <c r="AE1085" s="72"/>
      <c r="AH1085" s="72"/>
      <c r="AK1085" s="72"/>
      <c r="AN1085" s="72"/>
      <c r="AQ1085" s="72"/>
      <c r="AT1085" s="72"/>
      <c r="AW1085" s="72"/>
      <c r="AZ1085" s="72"/>
    </row>
    <row r="1086" spans="1:52">
      <c r="A1086" s="131"/>
      <c r="B1086" s="72"/>
      <c r="D1086" s="72"/>
      <c r="G1086" s="72"/>
      <c r="J1086" s="72"/>
      <c r="M1086" s="72"/>
      <c r="P1086" s="72"/>
      <c r="S1086" s="72"/>
      <c r="V1086" s="72"/>
      <c r="Y1086" s="72"/>
      <c r="AB1086" s="72"/>
      <c r="AE1086" s="72"/>
      <c r="AH1086" s="72"/>
      <c r="AK1086" s="72"/>
      <c r="AN1086" s="72"/>
      <c r="AQ1086" s="72"/>
      <c r="AT1086" s="72"/>
      <c r="AW1086" s="72"/>
      <c r="AZ1086" s="72"/>
    </row>
    <row r="1087" spans="1:52">
      <c r="A1087" s="131"/>
      <c r="B1087" s="72"/>
      <c r="D1087" s="72"/>
      <c r="G1087" s="72"/>
      <c r="J1087" s="72"/>
      <c r="M1087" s="72"/>
      <c r="P1087" s="72"/>
      <c r="S1087" s="72"/>
      <c r="V1087" s="72"/>
      <c r="Y1087" s="72"/>
      <c r="AB1087" s="72"/>
      <c r="AE1087" s="72"/>
      <c r="AH1087" s="72"/>
      <c r="AK1087" s="72"/>
      <c r="AN1087" s="72"/>
      <c r="AQ1087" s="72"/>
      <c r="AT1087" s="72"/>
      <c r="AW1087" s="72"/>
      <c r="AZ1087" s="72"/>
    </row>
    <row r="1088" spans="1:52">
      <c r="A1088" s="131"/>
      <c r="B1088" s="72"/>
      <c r="D1088" s="72"/>
      <c r="G1088" s="72"/>
      <c r="J1088" s="72"/>
      <c r="M1088" s="72"/>
      <c r="P1088" s="72"/>
      <c r="S1088" s="72"/>
      <c r="V1088" s="72"/>
      <c r="Y1088" s="72"/>
      <c r="AB1088" s="72"/>
      <c r="AE1088" s="72"/>
      <c r="AH1088" s="72"/>
      <c r="AK1088" s="72"/>
      <c r="AN1088" s="72"/>
      <c r="AQ1088" s="72"/>
      <c r="AT1088" s="72"/>
      <c r="AW1088" s="72"/>
      <c r="AZ1088" s="72"/>
    </row>
    <row r="1089" spans="1:52">
      <c r="A1089" s="131"/>
      <c r="B1089" s="72"/>
      <c r="D1089" s="72"/>
      <c r="G1089" s="72"/>
      <c r="J1089" s="72"/>
      <c r="M1089" s="72"/>
      <c r="P1089" s="72"/>
      <c r="S1089" s="72"/>
      <c r="V1089" s="72"/>
      <c r="Y1089" s="72"/>
      <c r="AB1089" s="72"/>
      <c r="AE1089" s="72"/>
      <c r="AH1089" s="72"/>
      <c r="AK1089" s="72"/>
      <c r="AN1089" s="72"/>
      <c r="AQ1089" s="72"/>
      <c r="AT1089" s="72"/>
      <c r="AW1089" s="72"/>
      <c r="AZ1089" s="72"/>
    </row>
    <row r="1090" spans="1:52">
      <c r="A1090" s="131"/>
      <c r="B1090" s="72"/>
      <c r="D1090" s="72"/>
      <c r="G1090" s="72"/>
      <c r="J1090" s="72"/>
      <c r="M1090" s="72"/>
      <c r="P1090" s="72"/>
      <c r="S1090" s="72"/>
      <c r="V1090" s="72"/>
      <c r="Y1090" s="72"/>
      <c r="AB1090" s="72"/>
      <c r="AE1090" s="72"/>
      <c r="AH1090" s="72"/>
      <c r="AK1090" s="72"/>
      <c r="AN1090" s="72"/>
      <c r="AQ1090" s="72"/>
      <c r="AT1090" s="72"/>
      <c r="AW1090" s="72"/>
      <c r="AZ1090" s="72"/>
    </row>
    <row r="1091" spans="1:52">
      <c r="A1091" s="131"/>
      <c r="B1091" s="72"/>
      <c r="D1091" s="72"/>
      <c r="G1091" s="72"/>
      <c r="J1091" s="72"/>
      <c r="M1091" s="72"/>
      <c r="P1091" s="72"/>
      <c r="S1091" s="72"/>
      <c r="V1091" s="72"/>
      <c r="Y1091" s="72"/>
      <c r="AB1091" s="72"/>
      <c r="AE1091" s="72"/>
      <c r="AH1091" s="72"/>
      <c r="AK1091" s="72"/>
      <c r="AN1091" s="72"/>
      <c r="AQ1091" s="72"/>
      <c r="AT1091" s="72"/>
      <c r="AW1091" s="72"/>
      <c r="AZ1091" s="72"/>
    </row>
    <row r="1092" spans="1:52">
      <c r="A1092" s="131"/>
      <c r="B1092" s="72"/>
      <c r="D1092" s="72"/>
      <c r="G1092" s="72"/>
      <c r="J1092" s="72"/>
      <c r="M1092" s="72"/>
      <c r="P1092" s="72"/>
      <c r="S1092" s="72"/>
      <c r="V1092" s="72"/>
      <c r="Y1092" s="72"/>
      <c r="AB1092" s="72"/>
      <c r="AE1092" s="72"/>
      <c r="AH1092" s="72"/>
      <c r="AK1092" s="72"/>
      <c r="AN1092" s="72"/>
      <c r="AQ1092" s="72"/>
      <c r="AT1092" s="72"/>
      <c r="AW1092" s="72"/>
      <c r="AZ1092" s="72"/>
    </row>
    <row r="1093" spans="1:52">
      <c r="A1093" s="131"/>
      <c r="B1093" s="72"/>
      <c r="D1093" s="72"/>
      <c r="G1093" s="72"/>
      <c r="J1093" s="72"/>
      <c r="M1093" s="72"/>
      <c r="P1093" s="72"/>
      <c r="S1093" s="72"/>
      <c r="V1093" s="72"/>
      <c r="Y1093" s="72"/>
      <c r="AB1093" s="72"/>
      <c r="AE1093" s="72"/>
      <c r="AH1093" s="72"/>
      <c r="AK1093" s="72"/>
      <c r="AN1093" s="72"/>
      <c r="AQ1093" s="72"/>
      <c r="AT1093" s="72"/>
      <c r="AW1093" s="72"/>
      <c r="AZ1093" s="72"/>
    </row>
    <row r="1094" spans="1:52">
      <c r="A1094" s="131"/>
      <c r="B1094" s="72"/>
      <c r="D1094" s="72"/>
      <c r="G1094" s="72"/>
      <c r="J1094" s="72"/>
      <c r="M1094" s="72"/>
      <c r="P1094" s="72"/>
      <c r="S1094" s="72"/>
      <c r="V1094" s="72"/>
      <c r="Y1094" s="72"/>
      <c r="AB1094" s="72"/>
      <c r="AE1094" s="72"/>
      <c r="AH1094" s="72"/>
      <c r="AK1094" s="72"/>
      <c r="AN1094" s="72"/>
      <c r="AQ1094" s="72"/>
      <c r="AT1094" s="72"/>
      <c r="AW1094" s="72"/>
      <c r="AZ1094" s="72"/>
    </row>
    <row r="1095" spans="1:52">
      <c r="A1095" s="131"/>
      <c r="B1095" s="72"/>
      <c r="D1095" s="72"/>
      <c r="G1095" s="72"/>
      <c r="J1095" s="72"/>
      <c r="M1095" s="72"/>
      <c r="P1095" s="72"/>
      <c r="S1095" s="72"/>
      <c r="V1095" s="72"/>
      <c r="Y1095" s="72"/>
      <c r="AB1095" s="72"/>
      <c r="AE1095" s="72"/>
      <c r="AH1095" s="72"/>
      <c r="AK1095" s="72"/>
      <c r="AN1095" s="72"/>
      <c r="AQ1095" s="72"/>
      <c r="AT1095" s="72"/>
      <c r="AW1095" s="72"/>
      <c r="AZ1095" s="72"/>
    </row>
    <row r="1096" spans="1:52">
      <c r="A1096" s="131"/>
      <c r="B1096" s="72"/>
      <c r="D1096" s="72"/>
      <c r="G1096" s="72"/>
      <c r="J1096" s="72"/>
      <c r="M1096" s="72"/>
      <c r="P1096" s="72"/>
      <c r="S1096" s="72"/>
      <c r="V1096" s="72"/>
      <c r="Y1096" s="72"/>
      <c r="AB1096" s="72"/>
      <c r="AE1096" s="72"/>
      <c r="AH1096" s="72"/>
      <c r="AK1096" s="72"/>
      <c r="AN1096" s="72"/>
      <c r="AQ1096" s="72"/>
      <c r="AT1096" s="72"/>
      <c r="AW1096" s="72"/>
      <c r="AZ1096" s="72"/>
    </row>
    <row r="1097" spans="1:52">
      <c r="A1097" s="131"/>
      <c r="B1097" s="72"/>
      <c r="D1097" s="72"/>
      <c r="G1097" s="72"/>
      <c r="J1097" s="72"/>
      <c r="M1097" s="72"/>
      <c r="P1097" s="72"/>
      <c r="S1097" s="72"/>
      <c r="V1097" s="72"/>
      <c r="Y1097" s="72"/>
      <c r="AB1097" s="72"/>
      <c r="AE1097" s="72"/>
      <c r="AH1097" s="72"/>
      <c r="AK1097" s="72"/>
      <c r="AN1097" s="72"/>
      <c r="AQ1097" s="72"/>
      <c r="AT1097" s="72"/>
      <c r="AW1097" s="72"/>
      <c r="AZ1097" s="72"/>
    </row>
    <row r="1098" spans="1:52">
      <c r="A1098" s="131"/>
      <c r="B1098" s="72"/>
      <c r="D1098" s="72"/>
      <c r="G1098" s="72"/>
      <c r="J1098" s="72"/>
      <c r="M1098" s="72"/>
      <c r="P1098" s="72"/>
      <c r="S1098" s="72"/>
      <c r="V1098" s="72"/>
      <c r="Y1098" s="72"/>
      <c r="AB1098" s="72"/>
      <c r="AE1098" s="72"/>
      <c r="AH1098" s="72"/>
      <c r="AK1098" s="72"/>
      <c r="AN1098" s="72"/>
      <c r="AQ1098" s="72"/>
      <c r="AT1098" s="72"/>
      <c r="AW1098" s="72"/>
      <c r="AZ1098" s="72"/>
    </row>
    <row r="1099" spans="1:52">
      <c r="A1099" s="131"/>
      <c r="B1099" s="72"/>
      <c r="D1099" s="72"/>
      <c r="G1099" s="72"/>
      <c r="J1099" s="72"/>
      <c r="M1099" s="72"/>
      <c r="P1099" s="72"/>
      <c r="S1099" s="72"/>
      <c r="V1099" s="72"/>
      <c r="Y1099" s="72"/>
      <c r="AB1099" s="72"/>
      <c r="AE1099" s="72"/>
      <c r="AH1099" s="72"/>
      <c r="AK1099" s="72"/>
      <c r="AN1099" s="72"/>
      <c r="AQ1099" s="72"/>
      <c r="AT1099" s="72"/>
      <c r="AW1099" s="72"/>
      <c r="AZ1099" s="72"/>
    </row>
    <row r="1100" spans="1:52">
      <c r="A1100" s="131"/>
      <c r="B1100" s="72"/>
      <c r="D1100" s="72"/>
      <c r="G1100" s="72"/>
      <c r="J1100" s="72"/>
      <c r="M1100" s="72"/>
      <c r="P1100" s="72"/>
      <c r="S1100" s="72"/>
      <c r="V1100" s="72"/>
      <c r="Y1100" s="72"/>
      <c r="AB1100" s="72"/>
      <c r="AE1100" s="72"/>
      <c r="AH1100" s="72"/>
      <c r="AK1100" s="72"/>
      <c r="AN1100" s="72"/>
      <c r="AQ1100" s="72"/>
      <c r="AT1100" s="72"/>
      <c r="AW1100" s="72"/>
      <c r="AZ1100" s="72"/>
    </row>
    <row r="1101" spans="1:52">
      <c r="A1101" s="131"/>
      <c r="B1101" s="72"/>
      <c r="D1101" s="72"/>
      <c r="G1101" s="72"/>
      <c r="J1101" s="72"/>
      <c r="M1101" s="72"/>
      <c r="P1101" s="72"/>
      <c r="S1101" s="72"/>
      <c r="V1101" s="72"/>
      <c r="Y1101" s="72"/>
      <c r="AB1101" s="72"/>
      <c r="AE1101" s="72"/>
      <c r="AH1101" s="72"/>
      <c r="AK1101" s="72"/>
      <c r="AN1101" s="72"/>
      <c r="AQ1101" s="72"/>
      <c r="AT1101" s="72"/>
      <c r="AW1101" s="72"/>
      <c r="AZ1101" s="72"/>
    </row>
    <row r="1102" spans="1:52">
      <c r="A1102" s="131"/>
      <c r="B1102" s="72"/>
      <c r="D1102" s="72"/>
      <c r="G1102" s="72"/>
      <c r="J1102" s="72"/>
      <c r="M1102" s="72"/>
      <c r="P1102" s="72"/>
      <c r="S1102" s="72"/>
      <c r="V1102" s="72"/>
      <c r="Y1102" s="72"/>
      <c r="AB1102" s="72"/>
      <c r="AE1102" s="72"/>
      <c r="AH1102" s="72"/>
      <c r="AK1102" s="72"/>
      <c r="AN1102" s="72"/>
      <c r="AQ1102" s="72"/>
      <c r="AT1102" s="72"/>
      <c r="AW1102" s="72"/>
      <c r="AZ1102" s="72"/>
    </row>
    <row r="1103" spans="1:52">
      <c r="A1103" s="131"/>
      <c r="B1103" s="72"/>
      <c r="D1103" s="72"/>
      <c r="G1103" s="72"/>
      <c r="J1103" s="72"/>
      <c r="M1103" s="72"/>
      <c r="P1103" s="72"/>
      <c r="S1103" s="72"/>
      <c r="V1103" s="72"/>
      <c r="Y1103" s="72"/>
      <c r="AB1103" s="72"/>
      <c r="AE1103" s="72"/>
      <c r="AH1103" s="72"/>
      <c r="AK1103" s="72"/>
      <c r="AN1103" s="72"/>
      <c r="AQ1103" s="72"/>
      <c r="AT1103" s="72"/>
      <c r="AW1103" s="72"/>
      <c r="AZ1103" s="72"/>
    </row>
    <row r="1104" spans="1:52">
      <c r="A1104" s="131"/>
      <c r="B1104" s="72"/>
      <c r="D1104" s="72"/>
      <c r="G1104" s="72"/>
      <c r="J1104" s="72"/>
      <c r="M1104" s="72"/>
      <c r="P1104" s="72"/>
      <c r="S1104" s="72"/>
      <c r="V1104" s="72"/>
      <c r="Y1104" s="72"/>
      <c r="AB1104" s="72"/>
      <c r="AE1104" s="72"/>
      <c r="AH1104" s="72"/>
      <c r="AK1104" s="72"/>
      <c r="AN1104" s="72"/>
      <c r="AQ1104" s="72"/>
      <c r="AT1104" s="72"/>
      <c r="AW1104" s="72"/>
      <c r="AZ1104" s="72"/>
    </row>
    <row r="1105" spans="1:52">
      <c r="A1105" s="131"/>
      <c r="B1105" s="72"/>
      <c r="D1105" s="72"/>
      <c r="G1105" s="72"/>
      <c r="J1105" s="72"/>
      <c r="M1105" s="72"/>
      <c r="P1105" s="72"/>
      <c r="S1105" s="72"/>
      <c r="V1105" s="72"/>
      <c r="Y1105" s="72"/>
      <c r="AB1105" s="72"/>
      <c r="AE1105" s="72"/>
      <c r="AH1105" s="72"/>
      <c r="AK1105" s="72"/>
      <c r="AN1105" s="72"/>
      <c r="AQ1105" s="72"/>
      <c r="AT1105" s="72"/>
      <c r="AW1105" s="72"/>
      <c r="AZ1105" s="72"/>
    </row>
    <row r="1106" spans="1:52">
      <c r="A1106" s="131"/>
      <c r="B1106" s="72"/>
      <c r="D1106" s="72"/>
      <c r="G1106" s="72"/>
      <c r="J1106" s="72"/>
      <c r="M1106" s="72"/>
      <c r="P1106" s="72"/>
      <c r="S1106" s="72"/>
      <c r="V1106" s="72"/>
      <c r="Y1106" s="72"/>
      <c r="AB1106" s="72"/>
      <c r="AE1106" s="72"/>
      <c r="AH1106" s="72"/>
      <c r="AK1106" s="72"/>
      <c r="AN1106" s="72"/>
      <c r="AQ1106" s="72"/>
      <c r="AT1106" s="72"/>
      <c r="AW1106" s="72"/>
      <c r="AZ1106" s="72"/>
    </row>
    <row r="1107" spans="1:52">
      <c r="A1107" s="131"/>
      <c r="B1107" s="72"/>
      <c r="D1107" s="72"/>
      <c r="G1107" s="72"/>
      <c r="J1107" s="72"/>
      <c r="M1107" s="72"/>
      <c r="P1107" s="72"/>
      <c r="S1107" s="72"/>
      <c r="V1107" s="72"/>
      <c r="Y1107" s="72"/>
      <c r="AB1107" s="72"/>
      <c r="AE1107" s="72"/>
      <c r="AH1107" s="72"/>
      <c r="AK1107" s="72"/>
      <c r="AN1107" s="72"/>
      <c r="AQ1107" s="72"/>
      <c r="AT1107" s="72"/>
      <c r="AW1107" s="72"/>
      <c r="AZ1107" s="72"/>
    </row>
    <row r="1108" spans="1:52">
      <c r="A1108" s="131"/>
      <c r="B1108" s="72"/>
      <c r="D1108" s="72"/>
      <c r="G1108" s="72"/>
      <c r="J1108" s="72"/>
      <c r="M1108" s="72"/>
      <c r="P1108" s="72"/>
      <c r="S1108" s="72"/>
      <c r="V1108" s="72"/>
      <c r="Y1108" s="72"/>
      <c r="AB1108" s="72"/>
      <c r="AE1108" s="72"/>
      <c r="AH1108" s="72"/>
      <c r="AK1108" s="72"/>
      <c r="AN1108" s="72"/>
      <c r="AQ1108" s="72"/>
      <c r="AT1108" s="72"/>
      <c r="AW1108" s="72"/>
      <c r="AZ1108" s="72"/>
    </row>
    <row r="1109" spans="1:52">
      <c r="A1109" s="131"/>
      <c r="B1109" s="72"/>
      <c r="D1109" s="72"/>
      <c r="G1109" s="72"/>
      <c r="J1109" s="72"/>
      <c r="M1109" s="72"/>
      <c r="P1109" s="72"/>
      <c r="S1109" s="72"/>
      <c r="V1109" s="72"/>
      <c r="Y1109" s="72"/>
      <c r="AB1109" s="72"/>
      <c r="AE1109" s="72"/>
      <c r="AH1109" s="72"/>
      <c r="AK1109" s="72"/>
      <c r="AN1109" s="72"/>
      <c r="AQ1109" s="72"/>
      <c r="AT1109" s="72"/>
      <c r="AW1109" s="72"/>
      <c r="AZ1109" s="72"/>
    </row>
    <row r="1110" spans="1:52">
      <c r="A1110" s="131"/>
      <c r="B1110" s="72"/>
      <c r="D1110" s="72"/>
      <c r="G1110" s="72"/>
      <c r="J1110" s="72"/>
      <c r="M1110" s="72"/>
      <c r="P1110" s="72"/>
      <c r="S1110" s="72"/>
      <c r="V1110" s="72"/>
      <c r="Y1110" s="72"/>
      <c r="AB1110" s="72"/>
      <c r="AE1110" s="72"/>
      <c r="AH1110" s="72"/>
      <c r="AK1110" s="72"/>
      <c r="AN1110" s="72"/>
      <c r="AQ1110" s="72"/>
      <c r="AT1110" s="72"/>
      <c r="AW1110" s="72"/>
      <c r="AZ1110" s="72"/>
    </row>
    <row r="1111" spans="1:52">
      <c r="A1111" s="131"/>
      <c r="B1111" s="72"/>
      <c r="D1111" s="72"/>
      <c r="G1111" s="72"/>
      <c r="J1111" s="72"/>
      <c r="M1111" s="72"/>
      <c r="P1111" s="72"/>
      <c r="S1111" s="72"/>
      <c r="V1111" s="72"/>
      <c r="Y1111" s="72"/>
      <c r="AB1111" s="72"/>
      <c r="AE1111" s="72"/>
      <c r="AH1111" s="72"/>
      <c r="AK1111" s="72"/>
      <c r="AN1111" s="72"/>
      <c r="AQ1111" s="72"/>
      <c r="AT1111" s="72"/>
      <c r="AW1111" s="72"/>
      <c r="AZ1111" s="72"/>
    </row>
    <row r="1112" spans="1:52">
      <c r="A1112" s="131"/>
      <c r="B1112" s="72"/>
      <c r="D1112" s="72"/>
      <c r="G1112" s="72"/>
      <c r="J1112" s="72"/>
      <c r="M1112" s="72"/>
      <c r="P1112" s="72"/>
      <c r="S1112" s="72"/>
      <c r="V1112" s="72"/>
      <c r="Y1112" s="72"/>
      <c r="AB1112" s="72"/>
      <c r="AE1112" s="72"/>
      <c r="AH1112" s="72"/>
      <c r="AK1112" s="72"/>
      <c r="AN1112" s="72"/>
      <c r="AQ1112" s="72"/>
      <c r="AT1112" s="72"/>
      <c r="AW1112" s="72"/>
      <c r="AZ1112" s="72"/>
    </row>
    <row r="1113" spans="1:52">
      <c r="A1113" s="131"/>
      <c r="B1113" s="72"/>
      <c r="D1113" s="72"/>
      <c r="G1113" s="72"/>
      <c r="J1113" s="72"/>
      <c r="M1113" s="72"/>
      <c r="P1113" s="72"/>
      <c r="S1113" s="72"/>
      <c r="V1113" s="72"/>
      <c r="Y1113" s="72"/>
      <c r="AB1113" s="72"/>
      <c r="AE1113" s="72"/>
      <c r="AH1113" s="72"/>
      <c r="AK1113" s="72"/>
      <c r="AN1113" s="72"/>
      <c r="AQ1113" s="72"/>
      <c r="AT1113" s="72"/>
      <c r="AW1113" s="72"/>
      <c r="AZ1113" s="72"/>
    </row>
    <row r="1114" spans="1:52">
      <c r="A1114" s="131"/>
      <c r="B1114" s="72"/>
      <c r="D1114" s="72"/>
      <c r="G1114" s="72"/>
      <c r="J1114" s="72"/>
      <c r="M1114" s="72"/>
      <c r="P1114" s="72"/>
      <c r="S1114" s="72"/>
      <c r="V1114" s="72"/>
      <c r="Y1114" s="72"/>
      <c r="AB1114" s="72"/>
      <c r="AE1114" s="72"/>
      <c r="AH1114" s="72"/>
      <c r="AK1114" s="72"/>
      <c r="AN1114" s="72"/>
      <c r="AQ1114" s="72"/>
      <c r="AT1114" s="72"/>
      <c r="AW1114" s="72"/>
      <c r="AZ1114" s="72"/>
    </row>
    <row r="1115" spans="1:52">
      <c r="A1115" s="131"/>
      <c r="B1115" s="72"/>
      <c r="D1115" s="72"/>
      <c r="G1115" s="72"/>
      <c r="J1115" s="72"/>
      <c r="M1115" s="72"/>
      <c r="P1115" s="72"/>
      <c r="S1115" s="72"/>
      <c r="V1115" s="72"/>
      <c r="Y1115" s="72"/>
      <c r="AB1115" s="72"/>
      <c r="AE1115" s="72"/>
      <c r="AH1115" s="72"/>
      <c r="AK1115" s="72"/>
      <c r="AN1115" s="72"/>
      <c r="AQ1115" s="72"/>
      <c r="AT1115" s="72"/>
      <c r="AW1115" s="72"/>
      <c r="AZ1115" s="72"/>
    </row>
    <row r="1116" spans="1:52">
      <c r="A1116" s="131"/>
      <c r="B1116" s="72"/>
      <c r="D1116" s="72"/>
      <c r="G1116" s="72"/>
      <c r="J1116" s="72"/>
      <c r="M1116" s="72"/>
      <c r="P1116" s="72"/>
      <c r="S1116" s="72"/>
      <c r="V1116" s="72"/>
      <c r="Y1116" s="72"/>
      <c r="AB1116" s="72"/>
      <c r="AE1116" s="72"/>
      <c r="AH1116" s="72"/>
      <c r="AK1116" s="72"/>
      <c r="AN1116" s="72"/>
      <c r="AQ1116" s="72"/>
      <c r="AT1116" s="72"/>
      <c r="AW1116" s="72"/>
      <c r="AZ1116" s="72"/>
    </row>
    <row r="1117" spans="1:52">
      <c r="A1117" s="131"/>
      <c r="B1117" s="72"/>
      <c r="D1117" s="72"/>
      <c r="G1117" s="72"/>
      <c r="J1117" s="72"/>
      <c r="M1117" s="72"/>
      <c r="P1117" s="72"/>
      <c r="S1117" s="72"/>
      <c r="V1117" s="72"/>
      <c r="Y1117" s="72"/>
      <c r="AB1117" s="72"/>
      <c r="AE1117" s="72"/>
      <c r="AH1117" s="72"/>
      <c r="AK1117" s="72"/>
      <c r="AN1117" s="72"/>
      <c r="AQ1117" s="72"/>
      <c r="AT1117" s="72"/>
      <c r="AW1117" s="72"/>
      <c r="AZ1117" s="72"/>
    </row>
    <row r="1118" spans="1:52">
      <c r="A1118" s="131"/>
      <c r="B1118" s="72"/>
      <c r="D1118" s="72"/>
      <c r="G1118" s="72"/>
      <c r="J1118" s="72"/>
      <c r="M1118" s="72"/>
      <c r="P1118" s="72"/>
      <c r="S1118" s="72"/>
      <c r="V1118" s="72"/>
      <c r="Y1118" s="72"/>
      <c r="AB1118" s="72"/>
      <c r="AE1118" s="72"/>
      <c r="AH1118" s="72"/>
      <c r="AK1118" s="72"/>
      <c r="AN1118" s="72"/>
      <c r="AQ1118" s="72"/>
      <c r="AT1118" s="72"/>
      <c r="AW1118" s="72"/>
      <c r="AZ1118" s="72"/>
    </row>
    <row r="1119" spans="1:52">
      <c r="A1119" s="131"/>
      <c r="B1119" s="72"/>
      <c r="D1119" s="72"/>
      <c r="G1119" s="72"/>
      <c r="J1119" s="72"/>
      <c r="M1119" s="72"/>
      <c r="P1119" s="72"/>
      <c r="S1119" s="72"/>
      <c r="V1119" s="72"/>
      <c r="Y1119" s="72"/>
      <c r="AB1119" s="72"/>
      <c r="AE1119" s="72"/>
      <c r="AH1119" s="72"/>
      <c r="AK1119" s="72"/>
      <c r="AN1119" s="72"/>
      <c r="AQ1119" s="72"/>
      <c r="AT1119" s="72"/>
      <c r="AW1119" s="72"/>
      <c r="AZ1119" s="72"/>
    </row>
    <row r="1120" spans="1:52">
      <c r="A1120" s="131"/>
      <c r="B1120" s="72"/>
      <c r="D1120" s="72"/>
      <c r="G1120" s="72"/>
      <c r="J1120" s="72"/>
      <c r="M1120" s="72"/>
      <c r="P1120" s="72"/>
      <c r="S1120" s="72"/>
      <c r="V1120" s="72"/>
      <c r="Y1120" s="72"/>
      <c r="AB1120" s="72"/>
      <c r="AE1120" s="72"/>
      <c r="AH1120" s="72"/>
      <c r="AK1120" s="72"/>
      <c r="AN1120" s="72"/>
      <c r="AQ1120" s="72"/>
      <c r="AT1120" s="72"/>
      <c r="AW1120" s="72"/>
      <c r="AZ1120" s="72"/>
    </row>
    <row r="1121" spans="1:52">
      <c r="A1121" s="131"/>
      <c r="B1121" s="72"/>
      <c r="D1121" s="72"/>
      <c r="G1121" s="72"/>
      <c r="J1121" s="72"/>
      <c r="M1121" s="72"/>
      <c r="P1121" s="72"/>
      <c r="S1121" s="72"/>
      <c r="V1121" s="72"/>
      <c r="Y1121" s="72"/>
      <c r="AB1121" s="72"/>
      <c r="AE1121" s="72"/>
      <c r="AH1121" s="72"/>
      <c r="AK1121" s="72"/>
      <c r="AN1121" s="72"/>
      <c r="AQ1121" s="72"/>
      <c r="AT1121" s="72"/>
      <c r="AW1121" s="72"/>
      <c r="AZ1121" s="72"/>
    </row>
    <row r="1122" spans="1:52">
      <c r="A1122" s="131"/>
      <c r="B1122" s="72"/>
      <c r="D1122" s="72"/>
      <c r="G1122" s="72"/>
      <c r="J1122" s="72"/>
      <c r="M1122" s="72"/>
      <c r="P1122" s="72"/>
      <c r="S1122" s="72"/>
      <c r="V1122" s="72"/>
      <c r="Y1122" s="72"/>
      <c r="AB1122" s="72"/>
      <c r="AE1122" s="72"/>
      <c r="AH1122" s="72"/>
      <c r="AK1122" s="72"/>
      <c r="AN1122" s="72"/>
      <c r="AQ1122" s="72"/>
      <c r="AT1122" s="72"/>
      <c r="AW1122" s="72"/>
      <c r="AZ1122" s="72"/>
    </row>
    <row r="1123" spans="1:52">
      <c r="A1123" s="131"/>
      <c r="B1123" s="72"/>
      <c r="D1123" s="72"/>
      <c r="G1123" s="72"/>
      <c r="J1123" s="72"/>
      <c r="M1123" s="72"/>
      <c r="P1123" s="72"/>
      <c r="S1123" s="72"/>
      <c r="V1123" s="72"/>
      <c r="Y1123" s="72"/>
      <c r="AB1123" s="72"/>
      <c r="AE1123" s="72"/>
      <c r="AH1123" s="72"/>
      <c r="AK1123" s="72"/>
      <c r="AN1123" s="72"/>
      <c r="AQ1123" s="72"/>
      <c r="AT1123" s="72"/>
      <c r="AW1123" s="72"/>
      <c r="AZ1123" s="72"/>
    </row>
    <row r="1124" spans="1:52">
      <c r="A1124" s="131"/>
      <c r="B1124" s="72"/>
      <c r="D1124" s="72"/>
      <c r="G1124" s="72"/>
      <c r="J1124" s="72"/>
      <c r="M1124" s="72"/>
      <c r="P1124" s="72"/>
      <c r="S1124" s="72"/>
      <c r="V1124" s="72"/>
      <c r="Y1124" s="72"/>
      <c r="AB1124" s="72"/>
      <c r="AE1124" s="72"/>
      <c r="AH1124" s="72"/>
      <c r="AK1124" s="72"/>
      <c r="AN1124" s="72"/>
      <c r="AQ1124" s="72"/>
      <c r="AT1124" s="72"/>
      <c r="AW1124" s="72"/>
      <c r="AZ1124" s="72"/>
    </row>
    <row r="1125" spans="1:52">
      <c r="A1125" s="131"/>
      <c r="B1125" s="72"/>
      <c r="D1125" s="72"/>
      <c r="G1125" s="72"/>
      <c r="J1125" s="72"/>
      <c r="M1125" s="72"/>
      <c r="P1125" s="72"/>
      <c r="S1125" s="72"/>
      <c r="V1125" s="72"/>
      <c r="Y1125" s="72"/>
      <c r="AB1125" s="72"/>
      <c r="AE1125" s="72"/>
      <c r="AH1125" s="72"/>
      <c r="AK1125" s="72"/>
      <c r="AN1125" s="72"/>
      <c r="AQ1125" s="72"/>
      <c r="AT1125" s="72"/>
      <c r="AW1125" s="72"/>
      <c r="AZ1125" s="72"/>
    </row>
    <row r="1126" spans="1:52">
      <c r="A1126" s="131"/>
      <c r="B1126" s="72"/>
      <c r="D1126" s="72"/>
      <c r="G1126" s="72"/>
      <c r="J1126" s="72"/>
      <c r="M1126" s="72"/>
      <c r="P1126" s="72"/>
      <c r="S1126" s="72"/>
      <c r="V1126" s="72"/>
      <c r="Y1126" s="72"/>
      <c r="AB1126" s="72"/>
      <c r="AE1126" s="72"/>
      <c r="AH1126" s="72"/>
      <c r="AK1126" s="72"/>
      <c r="AN1126" s="72"/>
      <c r="AQ1126" s="72"/>
      <c r="AT1126" s="72"/>
      <c r="AW1126" s="72"/>
      <c r="AZ1126" s="72"/>
    </row>
    <row r="1127" spans="1:52">
      <c r="A1127" s="131"/>
      <c r="B1127" s="72"/>
      <c r="D1127" s="72"/>
      <c r="G1127" s="72"/>
      <c r="J1127" s="72"/>
      <c r="M1127" s="72"/>
      <c r="P1127" s="72"/>
      <c r="S1127" s="72"/>
      <c r="V1127" s="72"/>
      <c r="Y1127" s="72"/>
      <c r="AB1127" s="72"/>
      <c r="AE1127" s="72"/>
      <c r="AH1127" s="72"/>
      <c r="AK1127" s="72"/>
      <c r="AN1127" s="72"/>
      <c r="AQ1127" s="72"/>
      <c r="AT1127" s="72"/>
      <c r="AW1127" s="72"/>
      <c r="AZ1127" s="72"/>
    </row>
    <row r="1128" spans="1:52">
      <c r="A1128" s="131"/>
      <c r="B1128" s="72"/>
      <c r="D1128" s="72"/>
      <c r="G1128" s="72"/>
      <c r="J1128" s="72"/>
      <c r="M1128" s="72"/>
      <c r="P1128" s="72"/>
      <c r="S1128" s="72"/>
      <c r="V1128" s="72"/>
      <c r="Y1128" s="72"/>
      <c r="AB1128" s="72"/>
      <c r="AE1128" s="72"/>
      <c r="AH1128" s="72"/>
      <c r="AK1128" s="72"/>
      <c r="AN1128" s="72"/>
      <c r="AQ1128" s="72"/>
      <c r="AT1128" s="72"/>
      <c r="AW1128" s="72"/>
      <c r="AZ1128" s="72"/>
    </row>
    <row r="1129" spans="1:52">
      <c r="A1129" s="131"/>
      <c r="B1129" s="72"/>
      <c r="D1129" s="72"/>
      <c r="G1129" s="72"/>
      <c r="J1129" s="72"/>
      <c r="M1129" s="72"/>
      <c r="P1129" s="72"/>
      <c r="S1129" s="72"/>
      <c r="V1129" s="72"/>
      <c r="Y1129" s="72"/>
      <c r="AB1129" s="72"/>
      <c r="AE1129" s="72"/>
      <c r="AH1129" s="72"/>
      <c r="AK1129" s="72"/>
      <c r="AN1129" s="72"/>
      <c r="AQ1129" s="72"/>
      <c r="AT1129" s="72"/>
      <c r="AW1129" s="72"/>
      <c r="AZ1129" s="72"/>
    </row>
    <row r="1130" spans="1:52">
      <c r="A1130" s="131"/>
      <c r="B1130" s="72"/>
      <c r="D1130" s="72"/>
      <c r="G1130" s="72"/>
      <c r="J1130" s="72"/>
      <c r="M1130" s="72"/>
      <c r="P1130" s="72"/>
      <c r="S1130" s="72"/>
      <c r="V1130" s="72"/>
      <c r="Y1130" s="72"/>
      <c r="AB1130" s="72"/>
      <c r="AE1130" s="72"/>
      <c r="AH1130" s="72"/>
      <c r="AK1130" s="72"/>
      <c r="AN1130" s="72"/>
      <c r="AQ1130" s="72"/>
      <c r="AT1130" s="72"/>
      <c r="AW1130" s="72"/>
      <c r="AZ1130" s="72"/>
    </row>
    <row r="1131" spans="1:52">
      <c r="A1131" s="131"/>
      <c r="B1131" s="72"/>
      <c r="D1131" s="72"/>
      <c r="G1131" s="72"/>
      <c r="J1131" s="72"/>
      <c r="M1131" s="72"/>
      <c r="P1131" s="72"/>
      <c r="S1131" s="72"/>
      <c r="V1131" s="72"/>
      <c r="Y1131" s="72"/>
      <c r="AB1131" s="72"/>
      <c r="AE1131" s="72"/>
      <c r="AH1131" s="72"/>
      <c r="AK1131" s="72"/>
      <c r="AN1131" s="72"/>
      <c r="AQ1131" s="72"/>
      <c r="AT1131" s="72"/>
      <c r="AW1131" s="72"/>
      <c r="AZ1131" s="72"/>
    </row>
    <row r="1132" spans="1:52">
      <c r="A1132" s="131"/>
      <c r="B1132" s="72"/>
      <c r="D1132" s="72"/>
      <c r="G1132" s="72"/>
      <c r="J1132" s="72"/>
      <c r="M1132" s="72"/>
      <c r="P1132" s="72"/>
      <c r="S1132" s="72"/>
      <c r="V1132" s="72"/>
      <c r="Y1132" s="72"/>
      <c r="AB1132" s="72"/>
      <c r="AE1132" s="72"/>
      <c r="AH1132" s="72"/>
      <c r="AK1132" s="72"/>
      <c r="AN1132" s="72"/>
      <c r="AQ1132" s="72"/>
      <c r="AT1132" s="72"/>
      <c r="AW1132" s="72"/>
      <c r="AZ1132" s="72"/>
    </row>
    <row r="1133" spans="1:52">
      <c r="A1133" s="131"/>
      <c r="B1133" s="72"/>
      <c r="D1133" s="72"/>
      <c r="G1133" s="72"/>
      <c r="J1133" s="72"/>
      <c r="M1133" s="72"/>
      <c r="P1133" s="72"/>
      <c r="S1133" s="72"/>
      <c r="V1133" s="72"/>
      <c r="Y1133" s="72"/>
      <c r="AB1133" s="72"/>
      <c r="AE1133" s="72"/>
      <c r="AH1133" s="72"/>
      <c r="AK1133" s="72"/>
      <c r="AN1133" s="72"/>
      <c r="AQ1133" s="72"/>
      <c r="AT1133" s="72"/>
      <c r="AW1133" s="72"/>
      <c r="AZ1133" s="72"/>
    </row>
    <row r="1134" spans="1:52">
      <c r="A1134" s="131"/>
      <c r="B1134" s="72"/>
      <c r="D1134" s="72"/>
      <c r="G1134" s="72"/>
      <c r="J1134" s="72"/>
      <c r="M1134" s="72"/>
      <c r="P1134" s="72"/>
      <c r="S1134" s="72"/>
      <c r="V1134" s="72"/>
      <c r="Y1134" s="72"/>
      <c r="AB1134" s="72"/>
      <c r="AE1134" s="72"/>
      <c r="AH1134" s="72"/>
      <c r="AK1134" s="72"/>
      <c r="AN1134" s="72"/>
      <c r="AQ1134" s="72"/>
      <c r="AT1134" s="72"/>
      <c r="AW1134" s="72"/>
      <c r="AZ1134" s="72"/>
    </row>
    <row r="1135" spans="1:52">
      <c r="A1135" s="131"/>
      <c r="B1135" s="72"/>
      <c r="D1135" s="72"/>
      <c r="G1135" s="72"/>
      <c r="J1135" s="72"/>
      <c r="M1135" s="72"/>
      <c r="P1135" s="72"/>
      <c r="S1135" s="72"/>
      <c r="V1135" s="72"/>
      <c r="Y1135" s="72"/>
      <c r="AB1135" s="72"/>
      <c r="AE1135" s="72"/>
      <c r="AH1135" s="72"/>
      <c r="AK1135" s="72"/>
      <c r="AN1135" s="72"/>
      <c r="AQ1135" s="72"/>
      <c r="AT1135" s="72"/>
      <c r="AW1135" s="72"/>
      <c r="AZ1135" s="72"/>
    </row>
    <row r="1136" spans="1:52">
      <c r="A1136" s="131"/>
      <c r="B1136" s="72"/>
      <c r="D1136" s="72"/>
      <c r="G1136" s="72"/>
      <c r="J1136" s="72"/>
      <c r="M1136" s="72"/>
      <c r="P1136" s="72"/>
      <c r="S1136" s="72"/>
      <c r="V1136" s="72"/>
      <c r="Y1136" s="72"/>
      <c r="AB1136" s="72"/>
      <c r="AE1136" s="72"/>
      <c r="AH1136" s="72"/>
      <c r="AK1136" s="72"/>
      <c r="AN1136" s="72"/>
      <c r="AQ1136" s="72"/>
      <c r="AT1136" s="72"/>
      <c r="AW1136" s="72"/>
      <c r="AZ1136" s="72"/>
    </row>
    <row r="1137" spans="1:52">
      <c r="A1137" s="131"/>
      <c r="B1137" s="72"/>
      <c r="D1137" s="72"/>
      <c r="G1137" s="72"/>
      <c r="J1137" s="72"/>
      <c r="M1137" s="72"/>
      <c r="P1137" s="72"/>
      <c r="S1137" s="72"/>
      <c r="V1137" s="72"/>
      <c r="Y1137" s="72"/>
      <c r="AB1137" s="72"/>
      <c r="AE1137" s="72"/>
      <c r="AH1137" s="72"/>
      <c r="AK1137" s="72"/>
      <c r="AN1137" s="72"/>
      <c r="AQ1137" s="72"/>
      <c r="AT1137" s="72"/>
      <c r="AW1137" s="72"/>
      <c r="AZ1137" s="72"/>
    </row>
    <row r="1138" spans="1:52">
      <c r="A1138" s="131"/>
      <c r="B1138" s="72"/>
      <c r="D1138" s="72"/>
      <c r="G1138" s="72"/>
      <c r="J1138" s="72"/>
      <c r="M1138" s="72"/>
      <c r="P1138" s="72"/>
      <c r="S1138" s="72"/>
      <c r="V1138" s="72"/>
      <c r="Y1138" s="72"/>
      <c r="AB1138" s="72"/>
      <c r="AE1138" s="72"/>
      <c r="AH1138" s="72"/>
      <c r="AK1138" s="72"/>
      <c r="AN1138" s="72"/>
      <c r="AQ1138" s="72"/>
      <c r="AT1138" s="72"/>
      <c r="AW1138" s="72"/>
      <c r="AZ1138" s="72"/>
    </row>
    <row r="1139" spans="1:52">
      <c r="A1139" s="131"/>
      <c r="B1139" s="72"/>
      <c r="D1139" s="72"/>
      <c r="G1139" s="72"/>
      <c r="J1139" s="72"/>
      <c r="M1139" s="72"/>
      <c r="P1139" s="72"/>
      <c r="S1139" s="72"/>
      <c r="V1139" s="72"/>
      <c r="Y1139" s="72"/>
      <c r="AB1139" s="72"/>
      <c r="AE1139" s="72"/>
      <c r="AH1139" s="72"/>
      <c r="AK1139" s="72"/>
      <c r="AN1139" s="72"/>
      <c r="AQ1139" s="72"/>
      <c r="AT1139" s="72"/>
      <c r="AW1139" s="72"/>
      <c r="AZ1139" s="72"/>
    </row>
    <row r="1140" spans="1:52">
      <c r="A1140" s="131"/>
      <c r="B1140" s="72"/>
      <c r="D1140" s="72"/>
      <c r="G1140" s="72"/>
      <c r="J1140" s="72"/>
      <c r="M1140" s="72"/>
      <c r="P1140" s="72"/>
      <c r="S1140" s="72"/>
      <c r="V1140" s="72"/>
      <c r="Y1140" s="72"/>
      <c r="AB1140" s="72"/>
      <c r="AE1140" s="72"/>
      <c r="AH1140" s="72"/>
      <c r="AK1140" s="72"/>
      <c r="AN1140" s="72"/>
      <c r="AQ1140" s="72"/>
      <c r="AT1140" s="72"/>
      <c r="AW1140" s="72"/>
      <c r="AZ1140" s="72"/>
    </row>
    <row r="1141" spans="1:52">
      <c r="A1141" s="131"/>
      <c r="B1141" s="72"/>
      <c r="D1141" s="72"/>
      <c r="G1141" s="72"/>
      <c r="J1141" s="72"/>
      <c r="M1141" s="72"/>
      <c r="P1141" s="72"/>
      <c r="S1141" s="72"/>
      <c r="V1141" s="72"/>
      <c r="Y1141" s="72"/>
      <c r="AB1141" s="72"/>
      <c r="AE1141" s="72"/>
      <c r="AH1141" s="72"/>
      <c r="AK1141" s="72"/>
      <c r="AN1141" s="72"/>
      <c r="AQ1141" s="72"/>
      <c r="AT1141" s="72"/>
      <c r="AW1141" s="72"/>
      <c r="AZ1141" s="72"/>
    </row>
    <row r="1142" spans="1:52">
      <c r="A1142" s="131"/>
      <c r="B1142" s="72"/>
      <c r="D1142" s="72"/>
      <c r="G1142" s="72"/>
      <c r="J1142" s="72"/>
      <c r="M1142" s="72"/>
      <c r="P1142" s="72"/>
      <c r="S1142" s="72"/>
      <c r="V1142" s="72"/>
      <c r="Y1142" s="72"/>
      <c r="AB1142" s="72"/>
      <c r="AE1142" s="72"/>
      <c r="AH1142" s="72"/>
      <c r="AK1142" s="72"/>
      <c r="AN1142" s="72"/>
      <c r="AQ1142" s="72"/>
      <c r="AT1142" s="72"/>
      <c r="AW1142" s="72"/>
      <c r="AZ1142" s="72"/>
    </row>
    <row r="1143" spans="1:52">
      <c r="A1143" s="131"/>
      <c r="B1143" s="72"/>
      <c r="D1143" s="72"/>
      <c r="G1143" s="72"/>
      <c r="J1143" s="72"/>
      <c r="M1143" s="72"/>
      <c r="P1143" s="72"/>
      <c r="S1143" s="72"/>
      <c r="V1143" s="72"/>
      <c r="Y1143" s="72"/>
      <c r="AB1143" s="72"/>
      <c r="AE1143" s="72"/>
      <c r="AH1143" s="72"/>
      <c r="AK1143" s="72"/>
      <c r="AN1143" s="72"/>
      <c r="AQ1143" s="72"/>
      <c r="AT1143" s="72"/>
      <c r="AW1143" s="72"/>
      <c r="AZ1143" s="72"/>
    </row>
    <row r="1144" spans="1:52">
      <c r="A1144" s="131"/>
      <c r="B1144" s="72"/>
      <c r="D1144" s="72"/>
      <c r="G1144" s="72"/>
      <c r="J1144" s="72"/>
      <c r="M1144" s="72"/>
      <c r="P1144" s="72"/>
      <c r="S1144" s="72"/>
      <c r="V1144" s="72"/>
      <c r="Y1144" s="72"/>
      <c r="AB1144" s="72"/>
      <c r="AE1144" s="72"/>
      <c r="AH1144" s="72"/>
      <c r="AK1144" s="72"/>
      <c r="AN1144" s="72"/>
      <c r="AQ1144" s="72"/>
      <c r="AT1144" s="72"/>
      <c r="AW1144" s="72"/>
      <c r="AZ1144" s="72"/>
    </row>
    <row r="1145" spans="1:52">
      <c r="A1145" s="131"/>
      <c r="B1145" s="72"/>
      <c r="D1145" s="72"/>
      <c r="G1145" s="72"/>
      <c r="J1145" s="72"/>
      <c r="M1145" s="72"/>
      <c r="P1145" s="72"/>
      <c r="S1145" s="72"/>
      <c r="V1145" s="72"/>
      <c r="Y1145" s="72"/>
      <c r="AB1145" s="72"/>
      <c r="AE1145" s="72"/>
      <c r="AH1145" s="72"/>
      <c r="AK1145" s="72"/>
      <c r="AN1145" s="72"/>
      <c r="AQ1145" s="72"/>
      <c r="AT1145" s="72"/>
      <c r="AW1145" s="72"/>
      <c r="AZ1145" s="72"/>
    </row>
    <row r="1146" spans="1:52">
      <c r="A1146" s="131"/>
      <c r="B1146" s="72"/>
      <c r="D1146" s="72"/>
      <c r="G1146" s="72"/>
      <c r="J1146" s="72"/>
      <c r="M1146" s="72"/>
      <c r="P1146" s="72"/>
      <c r="S1146" s="72"/>
      <c r="V1146" s="72"/>
      <c r="Y1146" s="72"/>
      <c r="AB1146" s="72"/>
      <c r="AE1146" s="72"/>
      <c r="AH1146" s="72"/>
      <c r="AK1146" s="72"/>
      <c r="AN1146" s="72"/>
      <c r="AQ1146" s="72"/>
      <c r="AT1146" s="72"/>
      <c r="AW1146" s="72"/>
      <c r="AZ1146" s="72"/>
    </row>
    <row r="1147" spans="1:52">
      <c r="A1147" s="131"/>
      <c r="B1147" s="72"/>
      <c r="D1147" s="72"/>
      <c r="G1147" s="72"/>
      <c r="J1147" s="72"/>
      <c r="M1147" s="72"/>
      <c r="P1147" s="72"/>
      <c r="S1147" s="72"/>
      <c r="V1147" s="72"/>
      <c r="Y1147" s="72"/>
      <c r="AB1147" s="72"/>
      <c r="AE1147" s="72"/>
      <c r="AH1147" s="72"/>
      <c r="AK1147" s="72"/>
      <c r="AN1147" s="72"/>
      <c r="AQ1147" s="72"/>
      <c r="AT1147" s="72"/>
      <c r="AW1147" s="72"/>
      <c r="AZ1147" s="72"/>
    </row>
    <row r="1148" spans="1:52">
      <c r="A1148" s="131"/>
      <c r="B1148" s="72"/>
      <c r="D1148" s="72"/>
      <c r="G1148" s="72"/>
      <c r="J1148" s="72"/>
      <c r="M1148" s="72"/>
      <c r="P1148" s="72"/>
      <c r="S1148" s="72"/>
      <c r="V1148" s="72"/>
      <c r="Y1148" s="72"/>
      <c r="AB1148" s="72"/>
      <c r="AE1148" s="72"/>
      <c r="AH1148" s="72"/>
      <c r="AK1148" s="72"/>
      <c r="AN1148" s="72"/>
      <c r="AQ1148" s="72"/>
      <c r="AT1148" s="72"/>
      <c r="AW1148" s="72"/>
      <c r="AZ1148" s="72"/>
    </row>
    <row r="1149" spans="1:52">
      <c r="A1149" s="131"/>
      <c r="B1149" s="72"/>
      <c r="D1149" s="72"/>
      <c r="G1149" s="72"/>
      <c r="J1149" s="72"/>
      <c r="M1149" s="72"/>
      <c r="P1149" s="72"/>
      <c r="S1149" s="72"/>
      <c r="V1149" s="72"/>
      <c r="Y1149" s="72"/>
      <c r="AB1149" s="72"/>
      <c r="AE1149" s="72"/>
      <c r="AH1149" s="72"/>
      <c r="AK1149" s="72"/>
      <c r="AN1149" s="72"/>
      <c r="AQ1149" s="72"/>
      <c r="AT1149" s="72"/>
      <c r="AW1149" s="72"/>
      <c r="AZ1149" s="72"/>
    </row>
    <row r="1150" spans="1:52">
      <c r="A1150" s="131"/>
      <c r="B1150" s="72"/>
      <c r="D1150" s="72"/>
      <c r="G1150" s="72"/>
      <c r="J1150" s="72"/>
      <c r="M1150" s="72"/>
      <c r="P1150" s="72"/>
      <c r="S1150" s="72"/>
      <c r="V1150" s="72"/>
      <c r="Y1150" s="72"/>
      <c r="AB1150" s="72"/>
      <c r="AE1150" s="72"/>
      <c r="AH1150" s="72"/>
      <c r="AK1150" s="72"/>
      <c r="AN1150" s="72"/>
      <c r="AQ1150" s="72"/>
      <c r="AT1150" s="72"/>
      <c r="AW1150" s="72"/>
      <c r="AZ1150" s="72"/>
    </row>
    <row r="1151" spans="1:52">
      <c r="A1151" s="131"/>
      <c r="B1151" s="72"/>
      <c r="D1151" s="72"/>
      <c r="G1151" s="72"/>
      <c r="J1151" s="72"/>
      <c r="M1151" s="72"/>
      <c r="P1151" s="72"/>
      <c r="S1151" s="72"/>
      <c r="V1151" s="72"/>
      <c r="Y1151" s="72"/>
      <c r="AB1151" s="72"/>
      <c r="AE1151" s="72"/>
      <c r="AH1151" s="72"/>
      <c r="AK1151" s="72"/>
      <c r="AN1151" s="72"/>
      <c r="AQ1151" s="72"/>
      <c r="AT1151" s="72"/>
      <c r="AW1151" s="72"/>
      <c r="AZ1151" s="72"/>
    </row>
    <row r="1152" spans="1:52">
      <c r="A1152" s="131"/>
      <c r="B1152" s="72"/>
      <c r="D1152" s="72"/>
      <c r="G1152" s="72"/>
      <c r="J1152" s="72"/>
      <c r="M1152" s="72"/>
      <c r="P1152" s="72"/>
      <c r="S1152" s="72"/>
      <c r="V1152" s="72"/>
      <c r="Y1152" s="72"/>
      <c r="AB1152" s="72"/>
      <c r="AE1152" s="72"/>
      <c r="AH1152" s="72"/>
      <c r="AK1152" s="72"/>
      <c r="AN1152" s="72"/>
      <c r="AQ1152" s="72"/>
      <c r="AT1152" s="72"/>
      <c r="AW1152" s="72"/>
      <c r="AZ1152" s="72"/>
    </row>
    <row r="1153" spans="1:52">
      <c r="A1153" s="131"/>
      <c r="B1153" s="72"/>
      <c r="D1153" s="72"/>
      <c r="G1153" s="72"/>
      <c r="J1153" s="72"/>
      <c r="M1153" s="72"/>
      <c r="P1153" s="72"/>
      <c r="S1153" s="72"/>
      <c r="V1153" s="72"/>
      <c r="Y1153" s="72"/>
      <c r="AB1153" s="72"/>
      <c r="AE1153" s="72"/>
      <c r="AH1153" s="72"/>
      <c r="AK1153" s="72"/>
      <c r="AN1153" s="72"/>
      <c r="AQ1153" s="72"/>
      <c r="AT1153" s="72"/>
      <c r="AW1153" s="72"/>
      <c r="AZ1153" s="72"/>
    </row>
    <row r="1154" spans="1:52">
      <c r="A1154" s="131"/>
      <c r="B1154" s="72"/>
      <c r="D1154" s="72"/>
      <c r="G1154" s="72"/>
      <c r="J1154" s="72"/>
      <c r="M1154" s="72"/>
      <c r="P1154" s="72"/>
      <c r="S1154" s="72"/>
      <c r="V1154" s="72"/>
      <c r="Y1154" s="72"/>
      <c r="AB1154" s="72"/>
      <c r="AE1154" s="72"/>
      <c r="AH1154" s="72"/>
      <c r="AK1154" s="72"/>
      <c r="AN1154" s="72"/>
      <c r="AQ1154" s="72"/>
      <c r="AT1154" s="72"/>
      <c r="AW1154" s="72"/>
      <c r="AZ1154" s="72"/>
    </row>
    <row r="1155" spans="1:52">
      <c r="A1155" s="131"/>
      <c r="B1155" s="72"/>
      <c r="D1155" s="72"/>
      <c r="G1155" s="72"/>
      <c r="J1155" s="72"/>
      <c r="M1155" s="72"/>
      <c r="P1155" s="72"/>
      <c r="S1155" s="72"/>
      <c r="V1155" s="72"/>
      <c r="Y1155" s="72"/>
      <c r="AB1155" s="72"/>
      <c r="AE1155" s="72"/>
      <c r="AH1155" s="72"/>
      <c r="AK1155" s="72"/>
      <c r="AN1155" s="72"/>
      <c r="AQ1155" s="72"/>
      <c r="AT1155" s="72"/>
      <c r="AW1155" s="72"/>
      <c r="AZ1155" s="72"/>
    </row>
    <row r="1156" spans="1:52">
      <c r="A1156" s="131"/>
      <c r="B1156" s="72"/>
      <c r="D1156" s="72"/>
      <c r="G1156" s="72"/>
      <c r="J1156" s="72"/>
      <c r="M1156" s="72"/>
      <c r="P1156" s="72"/>
      <c r="S1156" s="72"/>
      <c r="V1156" s="72"/>
      <c r="Y1156" s="72"/>
      <c r="AB1156" s="72"/>
      <c r="AE1156" s="72"/>
      <c r="AH1156" s="72"/>
      <c r="AK1156" s="72"/>
      <c r="AN1156" s="72"/>
      <c r="AQ1156" s="72"/>
      <c r="AT1156" s="72"/>
      <c r="AW1156" s="72"/>
      <c r="AZ1156" s="72"/>
    </row>
    <row r="1157" spans="1:52">
      <c r="A1157" s="131"/>
      <c r="B1157" s="72"/>
      <c r="D1157" s="72"/>
      <c r="G1157" s="72"/>
      <c r="J1157" s="72"/>
      <c r="M1157" s="72"/>
      <c r="P1157" s="72"/>
      <c r="S1157" s="72"/>
      <c r="V1157" s="72"/>
      <c r="Y1157" s="72"/>
      <c r="AB1157" s="72"/>
      <c r="AE1157" s="72"/>
      <c r="AH1157" s="72"/>
      <c r="AK1157" s="72"/>
      <c r="AN1157" s="72"/>
      <c r="AQ1157" s="72"/>
      <c r="AT1157" s="72"/>
      <c r="AW1157" s="72"/>
      <c r="AZ1157" s="72"/>
    </row>
    <row r="1158" spans="1:52">
      <c r="A1158" s="131"/>
      <c r="B1158" s="72"/>
      <c r="D1158" s="72"/>
      <c r="G1158" s="72"/>
      <c r="J1158" s="72"/>
      <c r="M1158" s="72"/>
      <c r="P1158" s="72"/>
      <c r="S1158" s="72"/>
      <c r="V1158" s="72"/>
      <c r="Y1158" s="72"/>
      <c r="AB1158" s="72"/>
      <c r="AE1158" s="72"/>
      <c r="AH1158" s="72"/>
      <c r="AK1158" s="72"/>
      <c r="AN1158" s="72"/>
      <c r="AQ1158" s="72"/>
      <c r="AT1158" s="72"/>
      <c r="AW1158" s="72"/>
      <c r="AZ1158" s="72"/>
    </row>
    <row r="1159" spans="1:52">
      <c r="A1159" s="131"/>
      <c r="B1159" s="72"/>
      <c r="D1159" s="72"/>
      <c r="G1159" s="72"/>
      <c r="J1159" s="72"/>
      <c r="M1159" s="72"/>
      <c r="P1159" s="72"/>
      <c r="S1159" s="72"/>
      <c r="V1159" s="72"/>
      <c r="Y1159" s="72"/>
      <c r="AB1159" s="72"/>
      <c r="AE1159" s="72"/>
      <c r="AH1159" s="72"/>
      <c r="AK1159" s="72"/>
      <c r="AN1159" s="72"/>
      <c r="AQ1159" s="72"/>
      <c r="AT1159" s="72"/>
      <c r="AW1159" s="72"/>
      <c r="AZ1159" s="72"/>
    </row>
    <row r="1160" spans="1:52">
      <c r="A1160" s="131"/>
      <c r="B1160" s="72"/>
      <c r="D1160" s="72"/>
      <c r="G1160" s="72"/>
      <c r="J1160" s="72"/>
      <c r="M1160" s="72"/>
      <c r="P1160" s="72"/>
      <c r="S1160" s="72"/>
      <c r="V1160" s="72"/>
      <c r="Y1160" s="72"/>
      <c r="AB1160" s="72"/>
      <c r="AE1160" s="72"/>
      <c r="AH1160" s="72"/>
      <c r="AK1160" s="72"/>
      <c r="AN1160" s="72"/>
      <c r="AQ1160" s="72"/>
      <c r="AT1160" s="72"/>
      <c r="AW1160" s="72"/>
      <c r="AZ1160" s="72"/>
    </row>
    <row r="1161" spans="1:52">
      <c r="A1161" s="131"/>
      <c r="B1161" s="72"/>
      <c r="D1161" s="72"/>
      <c r="G1161" s="72"/>
      <c r="J1161" s="72"/>
      <c r="M1161" s="72"/>
      <c r="P1161" s="72"/>
      <c r="S1161" s="72"/>
      <c r="V1161" s="72"/>
      <c r="Y1161" s="72"/>
      <c r="AB1161" s="72"/>
      <c r="AE1161" s="72"/>
      <c r="AH1161" s="72"/>
      <c r="AK1161" s="72"/>
      <c r="AN1161" s="72"/>
      <c r="AQ1161" s="72"/>
      <c r="AT1161" s="72"/>
      <c r="AW1161" s="72"/>
      <c r="AZ1161" s="72"/>
    </row>
    <row r="1162" spans="1:52">
      <c r="A1162" s="131"/>
      <c r="B1162" s="72"/>
      <c r="D1162" s="72"/>
      <c r="G1162" s="72"/>
      <c r="J1162" s="72"/>
      <c r="M1162" s="72"/>
      <c r="P1162" s="72"/>
      <c r="S1162" s="72"/>
      <c r="V1162" s="72"/>
      <c r="Y1162" s="72"/>
      <c r="AB1162" s="72"/>
      <c r="AE1162" s="72"/>
      <c r="AH1162" s="72"/>
      <c r="AK1162" s="72"/>
      <c r="AN1162" s="72"/>
      <c r="AQ1162" s="72"/>
      <c r="AT1162" s="72"/>
      <c r="AW1162" s="72"/>
      <c r="AZ1162" s="72"/>
    </row>
    <row r="1163" spans="1:52">
      <c r="A1163" s="131"/>
      <c r="B1163" s="72"/>
      <c r="D1163" s="72"/>
      <c r="G1163" s="72"/>
      <c r="J1163" s="72"/>
      <c r="M1163" s="72"/>
      <c r="P1163" s="72"/>
      <c r="S1163" s="72"/>
      <c r="V1163" s="72"/>
      <c r="Y1163" s="72"/>
      <c r="AB1163" s="72"/>
      <c r="AE1163" s="72"/>
      <c r="AH1163" s="72"/>
      <c r="AK1163" s="72"/>
      <c r="AN1163" s="72"/>
      <c r="AQ1163" s="72"/>
      <c r="AT1163" s="72"/>
      <c r="AW1163" s="72"/>
      <c r="AZ1163" s="72"/>
    </row>
    <row r="1164" spans="1:52">
      <c r="A1164" s="131"/>
      <c r="B1164" s="72"/>
      <c r="D1164" s="72"/>
      <c r="G1164" s="72"/>
      <c r="J1164" s="72"/>
      <c r="M1164" s="72"/>
      <c r="P1164" s="72"/>
      <c r="S1164" s="72"/>
      <c r="V1164" s="72"/>
      <c r="Y1164" s="72"/>
      <c r="AB1164" s="72"/>
      <c r="AE1164" s="72"/>
      <c r="AH1164" s="72"/>
      <c r="AK1164" s="72"/>
      <c r="AN1164" s="72"/>
      <c r="AQ1164" s="72"/>
      <c r="AT1164" s="72"/>
      <c r="AW1164" s="72"/>
      <c r="AZ1164" s="72"/>
    </row>
    <row r="1165" spans="1:52">
      <c r="A1165" s="131"/>
      <c r="B1165" s="72"/>
      <c r="D1165" s="72"/>
      <c r="G1165" s="72"/>
      <c r="J1165" s="72"/>
      <c r="M1165" s="72"/>
      <c r="P1165" s="72"/>
      <c r="S1165" s="72"/>
      <c r="V1165" s="72"/>
      <c r="Y1165" s="72"/>
      <c r="AB1165" s="72"/>
      <c r="AE1165" s="72"/>
      <c r="AH1165" s="72"/>
      <c r="AK1165" s="72"/>
      <c r="AN1165" s="72"/>
      <c r="AQ1165" s="72"/>
      <c r="AT1165" s="72"/>
      <c r="AW1165" s="72"/>
      <c r="AZ1165" s="72"/>
    </row>
    <row r="1166" spans="1:52">
      <c r="A1166" s="131"/>
      <c r="B1166" s="72"/>
      <c r="D1166" s="72"/>
      <c r="G1166" s="72"/>
      <c r="J1166" s="72"/>
      <c r="M1166" s="72"/>
      <c r="P1166" s="72"/>
      <c r="S1166" s="72"/>
      <c r="V1166" s="72"/>
      <c r="Y1166" s="72"/>
      <c r="AB1166" s="72"/>
      <c r="AE1166" s="72"/>
      <c r="AH1166" s="72"/>
      <c r="AK1166" s="72"/>
      <c r="AN1166" s="72"/>
      <c r="AQ1166" s="72"/>
      <c r="AT1166" s="72"/>
      <c r="AW1166" s="72"/>
      <c r="AZ1166" s="72"/>
    </row>
    <row r="1167" spans="1:52">
      <c r="A1167" s="131"/>
      <c r="B1167" s="72"/>
      <c r="D1167" s="72"/>
      <c r="G1167" s="72"/>
      <c r="J1167" s="72"/>
      <c r="M1167" s="72"/>
      <c r="P1167" s="72"/>
      <c r="S1167" s="72"/>
      <c r="V1167" s="72"/>
      <c r="Y1167" s="72"/>
      <c r="AB1167" s="72"/>
      <c r="AE1167" s="72"/>
      <c r="AH1167" s="72"/>
      <c r="AK1167" s="72"/>
      <c r="AN1167" s="72"/>
      <c r="AQ1167" s="72"/>
      <c r="AT1167" s="72"/>
      <c r="AW1167" s="72"/>
      <c r="AZ1167" s="72"/>
    </row>
    <row r="1168" spans="1:52">
      <c r="A1168" s="131"/>
      <c r="B1168" s="72"/>
      <c r="D1168" s="72"/>
      <c r="G1168" s="72"/>
      <c r="J1168" s="72"/>
      <c r="M1168" s="72"/>
      <c r="P1168" s="72"/>
      <c r="S1168" s="72"/>
      <c r="V1168" s="72"/>
      <c r="Y1168" s="72"/>
      <c r="AB1168" s="72"/>
      <c r="AE1168" s="72"/>
      <c r="AH1168" s="72"/>
      <c r="AK1168" s="72"/>
      <c r="AN1168" s="72"/>
      <c r="AQ1168" s="72"/>
      <c r="AT1168" s="72"/>
      <c r="AW1168" s="72"/>
      <c r="AZ1168" s="72"/>
    </row>
    <row r="1169" spans="1:52">
      <c r="A1169" s="131"/>
      <c r="B1169" s="72"/>
      <c r="D1169" s="72"/>
      <c r="G1169" s="72"/>
      <c r="J1169" s="72"/>
      <c r="M1169" s="72"/>
      <c r="P1169" s="72"/>
      <c r="S1169" s="72"/>
      <c r="V1169" s="72"/>
      <c r="Y1169" s="72"/>
      <c r="AB1169" s="72"/>
      <c r="AE1169" s="72"/>
      <c r="AH1169" s="72"/>
      <c r="AK1169" s="72"/>
      <c r="AN1169" s="72"/>
      <c r="AQ1169" s="72"/>
      <c r="AT1169" s="72"/>
      <c r="AW1169" s="72"/>
      <c r="AZ1169" s="72"/>
    </row>
    <row r="1170" spans="1:52">
      <c r="A1170" s="131"/>
      <c r="B1170" s="72"/>
      <c r="D1170" s="72"/>
      <c r="G1170" s="72"/>
      <c r="J1170" s="72"/>
      <c r="M1170" s="72"/>
      <c r="P1170" s="72"/>
      <c r="S1170" s="72"/>
      <c r="V1170" s="72"/>
      <c r="Y1170" s="72"/>
      <c r="AB1170" s="72"/>
      <c r="AE1170" s="72"/>
      <c r="AH1170" s="72"/>
      <c r="AK1170" s="72"/>
      <c r="AN1170" s="72"/>
      <c r="AQ1170" s="72"/>
      <c r="AT1170" s="72"/>
      <c r="AW1170" s="72"/>
      <c r="AZ1170" s="72"/>
    </row>
    <row r="1171" spans="1:52">
      <c r="A1171" s="131"/>
      <c r="B1171" s="72"/>
      <c r="D1171" s="72"/>
      <c r="G1171" s="72"/>
      <c r="J1171" s="72"/>
      <c r="M1171" s="72"/>
      <c r="P1171" s="72"/>
      <c r="S1171" s="72"/>
      <c r="V1171" s="72"/>
      <c r="Y1171" s="72"/>
      <c r="AB1171" s="72"/>
      <c r="AE1171" s="72"/>
      <c r="AH1171" s="72"/>
      <c r="AK1171" s="72"/>
      <c r="AN1171" s="72"/>
      <c r="AQ1171" s="72"/>
      <c r="AT1171" s="72"/>
      <c r="AW1171" s="72"/>
      <c r="AZ1171" s="72"/>
    </row>
    <row r="1172" spans="1:52">
      <c r="A1172" s="131"/>
      <c r="B1172" s="72"/>
      <c r="D1172" s="72"/>
      <c r="G1172" s="72"/>
      <c r="J1172" s="72"/>
      <c r="M1172" s="72"/>
      <c r="P1172" s="72"/>
      <c r="S1172" s="72"/>
      <c r="V1172" s="72"/>
      <c r="Y1172" s="72"/>
      <c r="AB1172" s="72"/>
      <c r="AE1172" s="72"/>
      <c r="AH1172" s="72"/>
      <c r="AK1172" s="72"/>
      <c r="AN1172" s="72"/>
      <c r="AQ1172" s="72"/>
      <c r="AT1172" s="72"/>
      <c r="AW1172" s="72"/>
      <c r="AZ1172" s="72"/>
    </row>
    <row r="1173" spans="1:52">
      <c r="A1173" s="131"/>
      <c r="B1173" s="72"/>
      <c r="D1173" s="72"/>
      <c r="G1173" s="72"/>
      <c r="J1173" s="72"/>
      <c r="M1173" s="72"/>
      <c r="P1173" s="72"/>
      <c r="S1173" s="72"/>
      <c r="V1173" s="72"/>
      <c r="Y1173" s="72"/>
      <c r="AB1173" s="72"/>
      <c r="AE1173" s="72"/>
      <c r="AH1173" s="72"/>
      <c r="AK1173" s="72"/>
      <c r="AN1173" s="72"/>
      <c r="AQ1173" s="72"/>
      <c r="AT1173" s="72"/>
      <c r="AW1173" s="72"/>
      <c r="AZ1173" s="72"/>
    </row>
    <row r="1174" spans="1:52">
      <c r="A1174" s="131"/>
      <c r="B1174" s="72"/>
      <c r="D1174" s="72"/>
      <c r="G1174" s="72"/>
      <c r="J1174" s="72"/>
      <c r="M1174" s="72"/>
      <c r="P1174" s="72"/>
      <c r="S1174" s="72"/>
      <c r="V1174" s="72"/>
      <c r="Y1174" s="72"/>
      <c r="AB1174" s="72"/>
      <c r="AE1174" s="72"/>
      <c r="AH1174" s="72"/>
      <c r="AK1174" s="72"/>
      <c r="AN1174" s="72"/>
      <c r="AQ1174" s="72"/>
      <c r="AT1174" s="72"/>
      <c r="AW1174" s="72"/>
      <c r="AZ1174" s="72"/>
    </row>
    <row r="1175" spans="1:52">
      <c r="A1175" s="131"/>
      <c r="B1175" s="72"/>
      <c r="D1175" s="72"/>
      <c r="G1175" s="72"/>
      <c r="J1175" s="72"/>
      <c r="M1175" s="72"/>
      <c r="P1175" s="72"/>
      <c r="S1175" s="72"/>
      <c r="V1175" s="72"/>
      <c r="Y1175" s="72"/>
      <c r="AB1175" s="72"/>
      <c r="AE1175" s="72"/>
      <c r="AH1175" s="72"/>
      <c r="AK1175" s="72"/>
      <c r="AN1175" s="72"/>
      <c r="AQ1175" s="72"/>
      <c r="AT1175" s="72"/>
      <c r="AW1175" s="72"/>
      <c r="AZ1175" s="72"/>
    </row>
    <row r="1176" spans="1:52">
      <c r="A1176" s="131"/>
      <c r="B1176" s="72"/>
      <c r="D1176" s="72"/>
      <c r="G1176" s="72"/>
      <c r="J1176" s="72"/>
      <c r="M1176" s="72"/>
      <c r="P1176" s="72"/>
      <c r="S1176" s="72"/>
      <c r="V1176" s="72"/>
      <c r="Y1176" s="72"/>
      <c r="AB1176" s="72"/>
      <c r="AE1176" s="72"/>
      <c r="AH1176" s="72"/>
      <c r="AK1176" s="72"/>
      <c r="AN1176" s="72"/>
      <c r="AQ1176" s="72"/>
      <c r="AT1176" s="72"/>
      <c r="AW1176" s="72"/>
      <c r="AZ1176" s="72"/>
    </row>
    <row r="1177" spans="1:52">
      <c r="A1177" s="131"/>
      <c r="B1177" s="72"/>
      <c r="D1177" s="72"/>
      <c r="G1177" s="72"/>
      <c r="J1177" s="72"/>
      <c r="M1177" s="72"/>
      <c r="P1177" s="72"/>
      <c r="S1177" s="72"/>
      <c r="V1177" s="72"/>
      <c r="Y1177" s="72"/>
      <c r="AB1177" s="72"/>
      <c r="AE1177" s="72"/>
      <c r="AH1177" s="72"/>
      <c r="AK1177" s="72"/>
      <c r="AN1177" s="72"/>
      <c r="AQ1177" s="72"/>
      <c r="AT1177" s="72"/>
      <c r="AW1177" s="72"/>
      <c r="AZ1177" s="72"/>
    </row>
    <row r="1178" spans="1:52">
      <c r="A1178" s="131"/>
      <c r="B1178" s="72"/>
      <c r="D1178" s="72"/>
      <c r="G1178" s="72"/>
      <c r="J1178" s="72"/>
      <c r="M1178" s="72"/>
      <c r="P1178" s="72"/>
      <c r="S1178" s="72"/>
      <c r="V1178" s="72"/>
      <c r="Y1178" s="72"/>
      <c r="AB1178" s="72"/>
      <c r="AE1178" s="72"/>
      <c r="AH1178" s="72"/>
      <c r="AK1178" s="72"/>
      <c r="AN1178" s="72"/>
      <c r="AQ1178" s="72"/>
      <c r="AT1178" s="72"/>
      <c r="AW1178" s="72"/>
      <c r="AZ1178" s="72"/>
    </row>
    <row r="1179" spans="1:52">
      <c r="A1179" s="131"/>
      <c r="B1179" s="72"/>
      <c r="D1179" s="72"/>
      <c r="G1179" s="72"/>
      <c r="J1179" s="72"/>
      <c r="M1179" s="72"/>
      <c r="P1179" s="72"/>
      <c r="S1179" s="72"/>
      <c r="V1179" s="72"/>
      <c r="Y1179" s="72"/>
      <c r="AB1179" s="72"/>
      <c r="AE1179" s="72"/>
      <c r="AH1179" s="72"/>
      <c r="AK1179" s="72"/>
      <c r="AN1179" s="72"/>
      <c r="AQ1179" s="72"/>
      <c r="AT1179" s="72"/>
      <c r="AW1179" s="72"/>
      <c r="AZ1179" s="72"/>
    </row>
    <row r="1180" spans="1:52">
      <c r="A1180" s="131"/>
      <c r="B1180" s="72"/>
      <c r="D1180" s="72"/>
      <c r="G1180" s="72"/>
      <c r="J1180" s="72"/>
      <c r="M1180" s="72"/>
      <c r="P1180" s="72"/>
      <c r="S1180" s="72"/>
      <c r="V1180" s="72"/>
      <c r="Y1180" s="72"/>
      <c r="AB1180" s="72"/>
      <c r="AE1180" s="72"/>
      <c r="AH1180" s="72"/>
      <c r="AK1180" s="72"/>
      <c r="AN1180" s="72"/>
      <c r="AQ1180" s="72"/>
      <c r="AT1180" s="72"/>
      <c r="AW1180" s="72"/>
      <c r="AZ1180" s="72"/>
    </row>
    <row r="1181" spans="1:52">
      <c r="A1181" s="131"/>
      <c r="B1181" s="72"/>
      <c r="D1181" s="72"/>
      <c r="G1181" s="72"/>
      <c r="J1181" s="72"/>
      <c r="M1181" s="72"/>
      <c r="P1181" s="72"/>
      <c r="S1181" s="72"/>
      <c r="V1181" s="72"/>
      <c r="Y1181" s="72"/>
      <c r="AB1181" s="72"/>
      <c r="AE1181" s="72"/>
      <c r="AH1181" s="72"/>
      <c r="AK1181" s="72"/>
      <c r="AN1181" s="72"/>
      <c r="AQ1181" s="72"/>
      <c r="AT1181" s="72"/>
      <c r="AW1181" s="72"/>
      <c r="AZ1181" s="72"/>
    </row>
    <row r="1182" spans="1:52">
      <c r="A1182" s="131"/>
      <c r="B1182" s="72"/>
      <c r="D1182" s="72"/>
      <c r="G1182" s="72"/>
      <c r="J1182" s="72"/>
      <c r="M1182" s="72"/>
      <c r="P1182" s="72"/>
      <c r="S1182" s="72"/>
      <c r="V1182" s="72"/>
      <c r="Y1182" s="72"/>
      <c r="AB1182" s="72"/>
      <c r="AE1182" s="72"/>
      <c r="AH1182" s="72"/>
      <c r="AK1182" s="72"/>
      <c r="AN1182" s="72"/>
      <c r="AQ1182" s="72"/>
      <c r="AT1182" s="72"/>
      <c r="AW1182" s="72"/>
      <c r="AZ1182" s="72"/>
    </row>
    <row r="1183" spans="1:52">
      <c r="A1183" s="131"/>
      <c r="B1183" s="72"/>
      <c r="D1183" s="72"/>
      <c r="G1183" s="72"/>
      <c r="J1183" s="72"/>
      <c r="M1183" s="72"/>
      <c r="P1183" s="72"/>
      <c r="S1183" s="72"/>
      <c r="V1183" s="72"/>
      <c r="Y1183" s="72"/>
      <c r="AB1183" s="72"/>
      <c r="AE1183" s="72"/>
      <c r="AH1183" s="72"/>
      <c r="AK1183" s="72"/>
      <c r="AN1183" s="72"/>
      <c r="AQ1183" s="72"/>
      <c r="AT1183" s="72"/>
      <c r="AW1183" s="72"/>
      <c r="AZ1183" s="72"/>
    </row>
    <row r="1184" spans="1:52">
      <c r="A1184" s="131"/>
      <c r="B1184" s="72"/>
      <c r="D1184" s="72"/>
      <c r="G1184" s="72"/>
      <c r="J1184" s="72"/>
      <c r="M1184" s="72"/>
      <c r="P1184" s="72"/>
      <c r="S1184" s="72"/>
      <c r="V1184" s="72"/>
      <c r="Y1184" s="72"/>
      <c r="AB1184" s="72"/>
      <c r="AE1184" s="72"/>
      <c r="AH1184" s="72"/>
      <c r="AK1184" s="72"/>
      <c r="AN1184" s="72"/>
      <c r="AQ1184" s="72"/>
      <c r="AT1184" s="72"/>
      <c r="AW1184" s="72"/>
      <c r="AZ1184" s="72"/>
    </row>
    <row r="1185" spans="1:52">
      <c r="A1185" s="131"/>
      <c r="B1185" s="72"/>
      <c r="D1185" s="72"/>
      <c r="G1185" s="72"/>
      <c r="J1185" s="72"/>
      <c r="M1185" s="72"/>
      <c r="P1185" s="72"/>
      <c r="S1185" s="72"/>
      <c r="V1185" s="72"/>
      <c r="Y1185" s="72"/>
      <c r="AB1185" s="72"/>
      <c r="AE1185" s="72"/>
      <c r="AH1185" s="72"/>
      <c r="AK1185" s="72"/>
      <c r="AN1185" s="72"/>
      <c r="AQ1185" s="72"/>
      <c r="AT1185" s="72"/>
      <c r="AW1185" s="72"/>
      <c r="AZ1185" s="72"/>
    </row>
    <row r="1186" spans="1:52">
      <c r="A1186" s="131"/>
      <c r="B1186" s="72"/>
      <c r="D1186" s="72"/>
      <c r="G1186" s="72"/>
      <c r="J1186" s="72"/>
      <c r="M1186" s="72"/>
      <c r="P1186" s="72"/>
      <c r="S1186" s="72"/>
      <c r="V1186" s="72"/>
      <c r="Y1186" s="72"/>
      <c r="AB1186" s="72"/>
      <c r="AE1186" s="72"/>
      <c r="AH1186" s="72"/>
      <c r="AK1186" s="72"/>
      <c r="AN1186" s="72"/>
      <c r="AQ1186" s="72"/>
      <c r="AT1186" s="72"/>
      <c r="AW1186" s="72"/>
      <c r="AZ1186" s="72"/>
    </row>
    <row r="1187" spans="1:52">
      <c r="A1187" s="131"/>
      <c r="B1187" s="72"/>
      <c r="D1187" s="72"/>
      <c r="G1187" s="72"/>
      <c r="J1187" s="72"/>
      <c r="M1187" s="72"/>
      <c r="P1187" s="72"/>
      <c r="S1187" s="72"/>
      <c r="V1187" s="72"/>
      <c r="Y1187" s="72"/>
      <c r="AB1187" s="72"/>
      <c r="AE1187" s="72"/>
      <c r="AH1187" s="72"/>
      <c r="AK1187" s="72"/>
      <c r="AN1187" s="72"/>
      <c r="AQ1187" s="72"/>
      <c r="AT1187" s="72"/>
      <c r="AW1187" s="72"/>
      <c r="AZ1187" s="72"/>
    </row>
    <row r="1188" spans="1:52">
      <c r="A1188" s="131"/>
      <c r="B1188" s="72"/>
      <c r="D1188" s="72"/>
      <c r="G1188" s="72"/>
      <c r="J1188" s="72"/>
      <c r="M1188" s="72"/>
      <c r="P1188" s="72"/>
      <c r="S1188" s="72"/>
      <c r="V1188" s="72"/>
      <c r="Y1188" s="72"/>
      <c r="AB1188" s="72"/>
      <c r="AE1188" s="72"/>
      <c r="AH1188" s="72"/>
      <c r="AK1188" s="72"/>
      <c r="AN1188" s="72"/>
      <c r="AQ1188" s="72"/>
      <c r="AT1188" s="72"/>
      <c r="AW1188" s="72"/>
      <c r="AZ1188" s="72"/>
    </row>
    <row r="1189" spans="1:52">
      <c r="A1189" s="131"/>
      <c r="B1189" s="72"/>
      <c r="D1189" s="72"/>
      <c r="G1189" s="72"/>
      <c r="J1189" s="72"/>
      <c r="M1189" s="72"/>
      <c r="P1189" s="72"/>
      <c r="S1189" s="72"/>
      <c r="V1189" s="72"/>
      <c r="Y1189" s="72"/>
      <c r="AB1189" s="72"/>
      <c r="AE1189" s="72"/>
      <c r="AH1189" s="72"/>
      <c r="AK1189" s="72"/>
      <c r="AN1189" s="72"/>
      <c r="AQ1189" s="72"/>
      <c r="AT1189" s="72"/>
      <c r="AW1189" s="72"/>
      <c r="AZ1189" s="72"/>
    </row>
    <row r="1190" spans="1:52">
      <c r="A1190" s="131"/>
      <c r="B1190" s="72"/>
      <c r="D1190" s="72"/>
      <c r="G1190" s="72"/>
      <c r="J1190" s="72"/>
      <c r="M1190" s="72"/>
      <c r="P1190" s="72"/>
      <c r="S1190" s="72"/>
      <c r="V1190" s="72"/>
      <c r="Y1190" s="72"/>
      <c r="AB1190" s="72"/>
      <c r="AE1190" s="72"/>
      <c r="AH1190" s="72"/>
      <c r="AK1190" s="72"/>
      <c r="AN1190" s="72"/>
      <c r="AQ1190" s="72"/>
      <c r="AT1190" s="72"/>
      <c r="AW1190" s="72"/>
      <c r="AZ1190" s="72"/>
    </row>
    <row r="1191" spans="1:52">
      <c r="A1191" s="131"/>
      <c r="B1191" s="72"/>
      <c r="D1191" s="72"/>
      <c r="G1191" s="72"/>
      <c r="J1191" s="72"/>
      <c r="M1191" s="72"/>
      <c r="P1191" s="72"/>
      <c r="S1191" s="72"/>
      <c r="V1191" s="72"/>
      <c r="Y1191" s="72"/>
      <c r="AB1191" s="72"/>
      <c r="AE1191" s="72"/>
      <c r="AH1191" s="72"/>
      <c r="AK1191" s="72"/>
      <c r="AN1191" s="72"/>
      <c r="AQ1191" s="72"/>
      <c r="AT1191" s="72"/>
      <c r="AW1191" s="72"/>
      <c r="AZ1191" s="72"/>
    </row>
    <row r="1192" spans="1:52">
      <c r="A1192" s="131"/>
      <c r="B1192" s="72"/>
      <c r="D1192" s="72"/>
      <c r="G1192" s="72"/>
      <c r="J1192" s="72"/>
      <c r="M1192" s="72"/>
      <c r="P1192" s="72"/>
      <c r="S1192" s="72"/>
      <c r="V1192" s="72"/>
      <c r="Y1192" s="72"/>
      <c r="AB1192" s="72"/>
      <c r="AE1192" s="72"/>
      <c r="AH1192" s="72"/>
      <c r="AK1192" s="72"/>
      <c r="AN1192" s="72"/>
      <c r="AQ1192" s="72"/>
      <c r="AT1192" s="72"/>
      <c r="AW1192" s="72"/>
      <c r="AZ1192" s="72"/>
    </row>
    <row r="1193" spans="1:52">
      <c r="A1193" s="131"/>
      <c r="B1193" s="72"/>
      <c r="D1193" s="72"/>
      <c r="G1193" s="72"/>
      <c r="J1193" s="72"/>
      <c r="M1193" s="72"/>
      <c r="P1193" s="72"/>
      <c r="S1193" s="72"/>
      <c r="V1193" s="72"/>
      <c r="Y1193" s="72"/>
      <c r="AB1193" s="72"/>
      <c r="AE1193" s="72"/>
      <c r="AH1193" s="72"/>
      <c r="AK1193" s="72"/>
      <c r="AN1193" s="72"/>
      <c r="AQ1193" s="72"/>
      <c r="AT1193" s="72"/>
      <c r="AW1193" s="72"/>
      <c r="AZ1193" s="72"/>
    </row>
    <row r="1194" spans="1:52">
      <c r="A1194" s="131"/>
      <c r="B1194" s="72"/>
      <c r="D1194" s="72"/>
      <c r="G1194" s="72"/>
      <c r="J1194" s="72"/>
      <c r="M1194" s="72"/>
      <c r="P1194" s="72"/>
      <c r="S1194" s="72"/>
      <c r="V1194" s="72"/>
      <c r="Y1194" s="72"/>
      <c r="AB1194" s="72"/>
      <c r="AE1194" s="72"/>
      <c r="AH1194" s="72"/>
      <c r="AK1194" s="72"/>
      <c r="AN1194" s="72"/>
      <c r="AQ1194" s="72"/>
      <c r="AT1194" s="72"/>
      <c r="AW1194" s="72"/>
      <c r="AZ1194" s="72"/>
    </row>
    <row r="1195" spans="1:52">
      <c r="A1195" s="131"/>
      <c r="B1195" s="72"/>
      <c r="D1195" s="72"/>
      <c r="G1195" s="72"/>
      <c r="J1195" s="72"/>
      <c r="M1195" s="72"/>
      <c r="P1195" s="72"/>
      <c r="S1195" s="72"/>
      <c r="V1195" s="72"/>
      <c r="Y1195" s="72"/>
      <c r="AB1195" s="72"/>
      <c r="AE1195" s="72"/>
      <c r="AH1195" s="72"/>
      <c r="AK1195" s="72"/>
      <c r="AN1195" s="72"/>
      <c r="AQ1195" s="72"/>
      <c r="AT1195" s="72"/>
      <c r="AW1195" s="72"/>
      <c r="AZ1195" s="72"/>
    </row>
    <row r="1196" spans="1:52">
      <c r="A1196" s="131"/>
      <c r="B1196" s="72"/>
      <c r="D1196" s="72"/>
      <c r="G1196" s="72"/>
      <c r="J1196" s="72"/>
      <c r="M1196" s="72"/>
      <c r="P1196" s="72"/>
      <c r="S1196" s="72"/>
      <c r="V1196" s="72"/>
      <c r="Y1196" s="72"/>
      <c r="AB1196" s="72"/>
      <c r="AE1196" s="72"/>
      <c r="AH1196" s="72"/>
      <c r="AK1196" s="72"/>
      <c r="AN1196" s="72"/>
      <c r="AQ1196" s="72"/>
      <c r="AT1196" s="72"/>
      <c r="AW1196" s="72"/>
      <c r="AZ1196" s="72"/>
    </row>
    <row r="1197" spans="1:52">
      <c r="A1197" s="131"/>
      <c r="B1197" s="72"/>
      <c r="D1197" s="72"/>
      <c r="G1197" s="72"/>
      <c r="J1197" s="72"/>
      <c r="M1197" s="72"/>
      <c r="P1197" s="72"/>
      <c r="S1197" s="72"/>
      <c r="V1197" s="72"/>
      <c r="Y1197" s="72"/>
      <c r="AB1197" s="72"/>
      <c r="AE1197" s="72"/>
      <c r="AH1197" s="72"/>
      <c r="AK1197" s="72"/>
      <c r="AN1197" s="72"/>
      <c r="AQ1197" s="72"/>
      <c r="AT1197" s="72"/>
      <c r="AW1197" s="72"/>
      <c r="AZ1197" s="72"/>
    </row>
    <row r="1198" spans="1:52">
      <c r="A1198" s="131"/>
      <c r="B1198" s="72"/>
      <c r="D1198" s="72"/>
      <c r="G1198" s="72"/>
      <c r="J1198" s="72"/>
      <c r="M1198" s="72"/>
      <c r="P1198" s="72"/>
      <c r="S1198" s="72"/>
      <c r="V1198" s="72"/>
      <c r="Y1198" s="72"/>
      <c r="AB1198" s="72"/>
      <c r="AE1198" s="72"/>
      <c r="AH1198" s="72"/>
      <c r="AK1198" s="72"/>
      <c r="AN1198" s="72"/>
      <c r="AQ1198" s="72"/>
      <c r="AT1198" s="72"/>
      <c r="AW1198" s="72"/>
      <c r="AZ1198" s="72"/>
    </row>
    <row r="1199" spans="1:52">
      <c r="A1199" s="131"/>
      <c r="B1199" s="72"/>
      <c r="D1199" s="72"/>
      <c r="G1199" s="72"/>
      <c r="J1199" s="72"/>
      <c r="M1199" s="72"/>
      <c r="P1199" s="72"/>
      <c r="S1199" s="72"/>
      <c r="V1199" s="72"/>
      <c r="Y1199" s="72"/>
      <c r="AB1199" s="72"/>
      <c r="AE1199" s="72"/>
      <c r="AH1199" s="72"/>
      <c r="AK1199" s="72"/>
      <c r="AN1199" s="72"/>
      <c r="AQ1199" s="72"/>
      <c r="AT1199" s="72"/>
      <c r="AW1199" s="72"/>
      <c r="AZ1199" s="72"/>
    </row>
    <row r="1200" spans="1:52">
      <c r="A1200" s="131"/>
      <c r="B1200" s="72"/>
      <c r="D1200" s="72"/>
      <c r="G1200" s="72"/>
      <c r="J1200" s="72"/>
      <c r="M1200" s="72"/>
      <c r="P1200" s="72"/>
      <c r="S1200" s="72"/>
      <c r="V1200" s="72"/>
      <c r="Y1200" s="72"/>
      <c r="AB1200" s="72"/>
      <c r="AE1200" s="72"/>
      <c r="AH1200" s="72"/>
      <c r="AK1200" s="72"/>
      <c r="AN1200" s="72"/>
      <c r="AQ1200" s="72"/>
      <c r="AT1200" s="72"/>
      <c r="AW1200" s="72"/>
      <c r="AZ1200" s="72"/>
    </row>
    <row r="1201" spans="1:52">
      <c r="A1201" s="131"/>
      <c r="B1201" s="72"/>
      <c r="D1201" s="72"/>
      <c r="G1201" s="72"/>
      <c r="J1201" s="72"/>
      <c r="M1201" s="72"/>
      <c r="P1201" s="72"/>
      <c r="S1201" s="72"/>
      <c r="V1201" s="72"/>
      <c r="Y1201" s="72"/>
      <c r="AB1201" s="72"/>
      <c r="AE1201" s="72"/>
      <c r="AH1201" s="72"/>
      <c r="AK1201" s="72"/>
      <c r="AN1201" s="72"/>
      <c r="AQ1201" s="72"/>
      <c r="AT1201" s="72"/>
      <c r="AW1201" s="72"/>
      <c r="AZ1201" s="72"/>
    </row>
    <row r="1202" spans="1:52">
      <c r="A1202" s="131"/>
      <c r="B1202" s="72"/>
      <c r="D1202" s="72"/>
      <c r="G1202" s="72"/>
      <c r="J1202" s="72"/>
      <c r="M1202" s="72"/>
      <c r="P1202" s="72"/>
      <c r="S1202" s="72"/>
      <c r="V1202" s="72"/>
      <c r="Y1202" s="72"/>
      <c r="AB1202" s="72"/>
      <c r="AE1202" s="72"/>
      <c r="AH1202" s="72"/>
      <c r="AK1202" s="72"/>
      <c r="AN1202" s="72"/>
      <c r="AQ1202" s="72"/>
      <c r="AT1202" s="72"/>
      <c r="AW1202" s="72"/>
      <c r="AZ1202" s="72"/>
    </row>
    <row r="1203" spans="1:52">
      <c r="A1203" s="131"/>
      <c r="B1203" s="72"/>
      <c r="D1203" s="72"/>
      <c r="G1203" s="72"/>
      <c r="J1203" s="72"/>
      <c r="M1203" s="72"/>
      <c r="P1203" s="72"/>
      <c r="S1203" s="72"/>
      <c r="V1203" s="72"/>
      <c r="Y1203" s="72"/>
      <c r="AB1203" s="72"/>
      <c r="AE1203" s="72"/>
      <c r="AH1203" s="72"/>
      <c r="AK1203" s="72"/>
      <c r="AN1203" s="72"/>
      <c r="AQ1203" s="72"/>
      <c r="AT1203" s="72"/>
      <c r="AW1203" s="72"/>
      <c r="AZ1203" s="72"/>
    </row>
    <row r="1204" spans="1:52">
      <c r="A1204" s="131"/>
      <c r="B1204" s="72"/>
      <c r="D1204" s="72"/>
      <c r="G1204" s="72"/>
      <c r="J1204" s="72"/>
      <c r="M1204" s="72"/>
      <c r="P1204" s="72"/>
      <c r="S1204" s="72"/>
      <c r="V1204" s="72"/>
      <c r="Y1204" s="72"/>
      <c r="AB1204" s="72"/>
      <c r="AE1204" s="72"/>
      <c r="AH1204" s="72"/>
      <c r="AK1204" s="72"/>
      <c r="AN1204" s="72"/>
      <c r="AQ1204" s="72"/>
      <c r="AT1204" s="72"/>
      <c r="AW1204" s="72"/>
      <c r="AZ1204" s="72"/>
    </row>
    <row r="1205" spans="1:52">
      <c r="A1205" s="131"/>
      <c r="B1205" s="72"/>
      <c r="D1205" s="72"/>
      <c r="G1205" s="72"/>
      <c r="J1205" s="72"/>
      <c r="M1205" s="72"/>
      <c r="P1205" s="72"/>
      <c r="S1205" s="72"/>
      <c r="V1205" s="72"/>
      <c r="Y1205" s="72"/>
      <c r="AB1205" s="72"/>
      <c r="AE1205" s="72"/>
      <c r="AH1205" s="72"/>
      <c r="AK1205" s="72"/>
      <c r="AN1205" s="72"/>
      <c r="AQ1205" s="72"/>
      <c r="AT1205" s="72"/>
      <c r="AW1205" s="72"/>
      <c r="AZ1205" s="72"/>
    </row>
    <row r="1206" spans="1:52">
      <c r="A1206" s="131"/>
      <c r="B1206" s="72"/>
      <c r="D1206" s="72"/>
      <c r="G1206" s="72"/>
      <c r="J1206" s="72"/>
      <c r="M1206" s="72"/>
      <c r="P1206" s="72"/>
      <c r="S1206" s="72"/>
      <c r="V1206" s="72"/>
      <c r="Y1206" s="72"/>
      <c r="AB1206" s="72"/>
      <c r="AE1206" s="72"/>
      <c r="AH1206" s="72"/>
      <c r="AK1206" s="72"/>
      <c r="AN1206" s="72"/>
      <c r="AQ1206" s="72"/>
      <c r="AT1206" s="72"/>
      <c r="AW1206" s="72"/>
      <c r="AZ1206" s="72"/>
    </row>
    <row r="1207" spans="1:52">
      <c r="A1207" s="131"/>
      <c r="B1207" s="72"/>
      <c r="D1207" s="72"/>
      <c r="G1207" s="72"/>
      <c r="J1207" s="72"/>
      <c r="M1207" s="72"/>
      <c r="P1207" s="72"/>
      <c r="S1207" s="72"/>
      <c r="V1207" s="72"/>
      <c r="Y1207" s="72"/>
      <c r="AB1207" s="72"/>
      <c r="AE1207" s="72"/>
      <c r="AH1207" s="72"/>
      <c r="AK1207" s="72"/>
      <c r="AN1207" s="72"/>
      <c r="AQ1207" s="72"/>
      <c r="AT1207" s="72"/>
      <c r="AW1207" s="72"/>
      <c r="AZ1207" s="72"/>
    </row>
    <row r="1208" spans="1:52">
      <c r="A1208" s="131"/>
      <c r="B1208" s="72"/>
      <c r="D1208" s="72"/>
      <c r="G1208" s="72"/>
      <c r="J1208" s="72"/>
      <c r="M1208" s="72"/>
      <c r="P1208" s="72"/>
      <c r="S1208" s="72"/>
      <c r="V1208" s="72"/>
      <c r="Y1208" s="72"/>
      <c r="AB1208" s="72"/>
      <c r="AE1208" s="72"/>
      <c r="AH1208" s="72"/>
      <c r="AK1208" s="72"/>
      <c r="AN1208" s="72"/>
      <c r="AQ1208" s="72"/>
      <c r="AT1208" s="72"/>
      <c r="AW1208" s="72"/>
      <c r="AZ1208" s="72"/>
    </row>
    <row r="1209" spans="1:52">
      <c r="A1209" s="131"/>
      <c r="B1209" s="72"/>
      <c r="D1209" s="72"/>
      <c r="G1209" s="72"/>
      <c r="J1209" s="72"/>
      <c r="M1209" s="72"/>
      <c r="P1209" s="72"/>
      <c r="S1209" s="72"/>
      <c r="V1209" s="72"/>
      <c r="Y1209" s="72"/>
      <c r="AB1209" s="72"/>
      <c r="AE1209" s="72"/>
      <c r="AH1209" s="72"/>
      <c r="AK1209" s="72"/>
      <c r="AN1209" s="72"/>
      <c r="AQ1209" s="72"/>
      <c r="AT1209" s="72"/>
      <c r="AW1209" s="72"/>
      <c r="AZ1209" s="72"/>
    </row>
    <row r="1210" spans="1:52">
      <c r="A1210" s="131"/>
      <c r="B1210" s="72"/>
      <c r="D1210" s="72"/>
      <c r="G1210" s="72"/>
      <c r="J1210" s="72"/>
      <c r="M1210" s="72"/>
      <c r="P1210" s="72"/>
      <c r="S1210" s="72"/>
      <c r="V1210" s="72"/>
      <c r="Y1210" s="72"/>
      <c r="AB1210" s="72"/>
      <c r="AE1210" s="72"/>
      <c r="AH1210" s="72"/>
      <c r="AK1210" s="72"/>
      <c r="AN1210" s="72"/>
      <c r="AQ1210" s="72"/>
      <c r="AT1210" s="72"/>
      <c r="AW1210" s="72"/>
      <c r="AZ1210" s="72"/>
    </row>
    <row r="1211" spans="1:52">
      <c r="A1211" s="131"/>
      <c r="B1211" s="72"/>
      <c r="D1211" s="72"/>
      <c r="G1211" s="72"/>
      <c r="J1211" s="72"/>
      <c r="M1211" s="72"/>
      <c r="P1211" s="72"/>
      <c r="S1211" s="72"/>
      <c r="V1211" s="72"/>
      <c r="Y1211" s="72"/>
      <c r="AB1211" s="72"/>
      <c r="AE1211" s="72"/>
      <c r="AH1211" s="72"/>
      <c r="AK1211" s="72"/>
      <c r="AN1211" s="72"/>
      <c r="AQ1211" s="72"/>
      <c r="AT1211" s="72"/>
      <c r="AW1211" s="72"/>
      <c r="AZ1211" s="72"/>
    </row>
    <row r="1212" spans="1:52">
      <c r="A1212" s="131"/>
      <c r="B1212" s="72"/>
      <c r="D1212" s="72"/>
      <c r="G1212" s="72"/>
      <c r="J1212" s="72"/>
      <c r="M1212" s="72"/>
      <c r="P1212" s="72"/>
      <c r="S1212" s="72"/>
      <c r="V1212" s="72"/>
      <c r="Y1212" s="72"/>
      <c r="AB1212" s="72"/>
      <c r="AE1212" s="72"/>
      <c r="AH1212" s="72"/>
      <c r="AK1212" s="72"/>
      <c r="AN1212" s="72"/>
      <c r="AQ1212" s="72"/>
      <c r="AT1212" s="72"/>
      <c r="AW1212" s="72"/>
      <c r="AZ1212" s="72"/>
    </row>
    <row r="1213" spans="1:52">
      <c r="A1213" s="131"/>
      <c r="B1213" s="72"/>
      <c r="D1213" s="72"/>
      <c r="G1213" s="72"/>
      <c r="J1213" s="72"/>
      <c r="M1213" s="72"/>
      <c r="P1213" s="72"/>
      <c r="S1213" s="72"/>
      <c r="V1213" s="72"/>
      <c r="Y1213" s="72"/>
      <c r="AB1213" s="72"/>
      <c r="AE1213" s="72"/>
      <c r="AH1213" s="72"/>
      <c r="AK1213" s="72"/>
      <c r="AN1213" s="72"/>
      <c r="AQ1213" s="72"/>
      <c r="AT1213" s="72"/>
      <c r="AW1213" s="72"/>
      <c r="AZ1213" s="72"/>
    </row>
    <row r="1214" spans="1:52">
      <c r="A1214" s="131"/>
      <c r="B1214" s="72"/>
      <c r="D1214" s="72"/>
      <c r="G1214" s="72"/>
      <c r="J1214" s="72"/>
      <c r="M1214" s="72"/>
      <c r="P1214" s="72"/>
      <c r="S1214" s="72"/>
      <c r="V1214" s="72"/>
      <c r="Y1214" s="72"/>
      <c r="AB1214" s="72"/>
      <c r="AE1214" s="72"/>
      <c r="AH1214" s="72"/>
      <c r="AK1214" s="72"/>
      <c r="AN1214" s="72"/>
      <c r="AQ1214" s="72"/>
      <c r="AT1214" s="72"/>
      <c r="AW1214" s="72"/>
      <c r="AZ1214" s="72"/>
    </row>
    <row r="1215" spans="1:52">
      <c r="A1215" s="131"/>
      <c r="B1215" s="72"/>
      <c r="D1215" s="72"/>
      <c r="G1215" s="72"/>
      <c r="J1215" s="72"/>
      <c r="M1215" s="72"/>
      <c r="P1215" s="72"/>
      <c r="S1215" s="72"/>
      <c r="V1215" s="72"/>
      <c r="Y1215" s="72"/>
      <c r="AB1215" s="72"/>
      <c r="AE1215" s="72"/>
      <c r="AH1215" s="72"/>
      <c r="AK1215" s="72"/>
      <c r="AN1215" s="72"/>
      <c r="AQ1215" s="72"/>
      <c r="AT1215" s="72"/>
      <c r="AW1215" s="72"/>
      <c r="AZ1215" s="72"/>
    </row>
    <row r="1216" spans="1:52">
      <c r="A1216" s="131"/>
      <c r="B1216" s="72"/>
      <c r="D1216" s="72"/>
      <c r="G1216" s="72"/>
      <c r="J1216" s="72"/>
      <c r="M1216" s="72"/>
      <c r="P1216" s="72"/>
      <c r="S1216" s="72"/>
      <c r="V1216" s="72"/>
      <c r="Y1216" s="72"/>
      <c r="AB1216" s="72"/>
      <c r="AE1216" s="72"/>
      <c r="AH1216" s="72"/>
      <c r="AK1216" s="72"/>
      <c r="AN1216" s="72"/>
      <c r="AQ1216" s="72"/>
      <c r="AT1216" s="72"/>
      <c r="AW1216" s="72"/>
      <c r="AZ1216" s="72"/>
    </row>
    <row r="1217" spans="1:52">
      <c r="A1217" s="131"/>
      <c r="B1217" s="72"/>
      <c r="D1217" s="72"/>
      <c r="G1217" s="72"/>
      <c r="J1217" s="72"/>
      <c r="M1217" s="72"/>
      <c r="P1217" s="72"/>
      <c r="S1217" s="72"/>
      <c r="V1217" s="72"/>
      <c r="Y1217" s="72"/>
      <c r="AB1217" s="72"/>
      <c r="AE1217" s="72"/>
      <c r="AH1217" s="72"/>
      <c r="AK1217" s="72"/>
      <c r="AN1217" s="72"/>
      <c r="AQ1217" s="72"/>
      <c r="AT1217" s="72"/>
      <c r="AW1217" s="72"/>
      <c r="AZ1217" s="72"/>
    </row>
    <row r="1218" spans="1:52">
      <c r="A1218" s="131"/>
      <c r="B1218" s="72"/>
      <c r="D1218" s="72"/>
      <c r="G1218" s="72"/>
      <c r="J1218" s="72"/>
      <c r="M1218" s="72"/>
      <c r="P1218" s="72"/>
      <c r="S1218" s="72"/>
      <c r="V1218" s="72"/>
      <c r="Y1218" s="72"/>
      <c r="AB1218" s="72"/>
      <c r="AE1218" s="72"/>
      <c r="AH1218" s="72"/>
      <c r="AK1218" s="72"/>
      <c r="AN1218" s="72"/>
      <c r="AQ1218" s="72"/>
      <c r="AT1218" s="72"/>
      <c r="AW1218" s="72"/>
      <c r="AZ1218" s="72"/>
    </row>
    <row r="1219" spans="1:52">
      <c r="A1219" s="131"/>
      <c r="B1219" s="72"/>
      <c r="D1219" s="72"/>
      <c r="G1219" s="72"/>
      <c r="J1219" s="72"/>
      <c r="M1219" s="72"/>
      <c r="P1219" s="72"/>
      <c r="S1219" s="72"/>
      <c r="V1219" s="72"/>
      <c r="Y1219" s="72"/>
      <c r="AB1219" s="72"/>
      <c r="AE1219" s="72"/>
      <c r="AH1219" s="72"/>
      <c r="AK1219" s="72"/>
      <c r="AN1219" s="72"/>
      <c r="AQ1219" s="72"/>
      <c r="AT1219" s="72"/>
      <c r="AW1219" s="72"/>
      <c r="AZ1219" s="72"/>
    </row>
    <row r="1220" spans="1:52">
      <c r="A1220" s="131"/>
      <c r="B1220" s="72"/>
      <c r="D1220" s="72"/>
      <c r="G1220" s="72"/>
      <c r="J1220" s="72"/>
      <c r="M1220" s="72"/>
      <c r="P1220" s="72"/>
      <c r="S1220" s="72"/>
      <c r="V1220" s="72"/>
      <c r="Y1220" s="72"/>
      <c r="AB1220" s="72"/>
      <c r="AE1220" s="72"/>
      <c r="AH1220" s="72"/>
      <c r="AK1220" s="72"/>
      <c r="AN1220" s="72"/>
      <c r="AQ1220" s="72"/>
      <c r="AT1220" s="72"/>
      <c r="AW1220" s="72"/>
      <c r="AZ1220" s="72"/>
    </row>
    <row r="1221" spans="1:52">
      <c r="A1221" s="131"/>
      <c r="B1221" s="72"/>
      <c r="D1221" s="72"/>
      <c r="G1221" s="72"/>
      <c r="J1221" s="72"/>
      <c r="M1221" s="72"/>
      <c r="P1221" s="72"/>
      <c r="S1221" s="72"/>
      <c r="V1221" s="72"/>
      <c r="Y1221" s="72"/>
      <c r="AB1221" s="72"/>
      <c r="AE1221" s="72"/>
      <c r="AH1221" s="72"/>
      <c r="AK1221" s="72"/>
      <c r="AN1221" s="72"/>
      <c r="AQ1221" s="72"/>
      <c r="AT1221" s="72"/>
      <c r="AW1221" s="72"/>
      <c r="AZ1221" s="72"/>
    </row>
    <row r="1222" spans="1:52">
      <c r="A1222" s="131"/>
      <c r="B1222" s="72"/>
      <c r="D1222" s="72"/>
      <c r="G1222" s="72"/>
      <c r="J1222" s="72"/>
      <c r="M1222" s="72"/>
      <c r="P1222" s="72"/>
      <c r="S1222" s="72"/>
      <c r="V1222" s="72"/>
      <c r="Y1222" s="72"/>
      <c r="AB1222" s="72"/>
      <c r="AE1222" s="72"/>
      <c r="AH1222" s="72"/>
      <c r="AK1222" s="72"/>
      <c r="AN1222" s="72"/>
      <c r="AQ1222" s="72"/>
      <c r="AT1222" s="72"/>
      <c r="AW1222" s="72"/>
      <c r="AZ1222" s="72"/>
    </row>
    <row r="1223" spans="1:52">
      <c r="A1223" s="131"/>
      <c r="B1223" s="72"/>
      <c r="D1223" s="72"/>
      <c r="G1223" s="72"/>
      <c r="J1223" s="72"/>
      <c r="M1223" s="72"/>
      <c r="P1223" s="72"/>
      <c r="S1223" s="72"/>
      <c r="V1223" s="72"/>
      <c r="Y1223" s="72"/>
      <c r="AB1223" s="72"/>
      <c r="AE1223" s="72"/>
      <c r="AH1223" s="72"/>
      <c r="AK1223" s="72"/>
      <c r="AN1223" s="72"/>
      <c r="AQ1223" s="72"/>
      <c r="AT1223" s="72"/>
      <c r="AW1223" s="72"/>
      <c r="AZ1223" s="72"/>
    </row>
    <row r="1224" spans="1:52">
      <c r="A1224" s="131"/>
      <c r="B1224" s="72"/>
      <c r="D1224" s="72"/>
      <c r="G1224" s="72"/>
      <c r="J1224" s="72"/>
      <c r="M1224" s="72"/>
      <c r="P1224" s="72"/>
      <c r="S1224" s="72"/>
      <c r="V1224" s="72"/>
      <c r="Y1224" s="72"/>
      <c r="AB1224" s="72"/>
      <c r="AE1224" s="72"/>
      <c r="AH1224" s="72"/>
      <c r="AK1224" s="72"/>
      <c r="AN1224" s="72"/>
      <c r="AQ1224" s="72"/>
      <c r="AT1224" s="72"/>
      <c r="AW1224" s="72"/>
      <c r="AZ1224" s="72"/>
    </row>
    <row r="1225" spans="1:52">
      <c r="A1225" s="131"/>
      <c r="B1225" s="72"/>
      <c r="D1225" s="72"/>
      <c r="G1225" s="72"/>
      <c r="J1225" s="72"/>
      <c r="M1225" s="72"/>
      <c r="P1225" s="72"/>
      <c r="S1225" s="72"/>
      <c r="V1225" s="72"/>
      <c r="Y1225" s="72"/>
      <c r="AB1225" s="72"/>
      <c r="AE1225" s="72"/>
      <c r="AH1225" s="72"/>
      <c r="AK1225" s="72"/>
      <c r="AN1225" s="72"/>
      <c r="AQ1225" s="72"/>
      <c r="AT1225" s="72"/>
      <c r="AW1225" s="72"/>
      <c r="AZ1225" s="72"/>
    </row>
    <row r="1226" spans="1:52">
      <c r="A1226" s="131"/>
      <c r="B1226" s="72"/>
      <c r="D1226" s="72"/>
      <c r="G1226" s="72"/>
      <c r="J1226" s="72"/>
      <c r="M1226" s="72"/>
      <c r="P1226" s="72"/>
      <c r="S1226" s="72"/>
      <c r="V1226" s="72"/>
      <c r="Y1226" s="72"/>
      <c r="AB1226" s="72"/>
      <c r="AE1226" s="72"/>
      <c r="AH1226" s="72"/>
      <c r="AK1226" s="72"/>
      <c r="AN1226" s="72"/>
      <c r="AQ1226" s="72"/>
      <c r="AT1226" s="72"/>
      <c r="AW1226" s="72"/>
      <c r="AZ1226" s="72"/>
    </row>
    <row r="1227" spans="1:52">
      <c r="A1227" s="131"/>
      <c r="B1227" s="72"/>
      <c r="D1227" s="72"/>
      <c r="G1227" s="72"/>
      <c r="J1227" s="72"/>
      <c r="M1227" s="72"/>
      <c r="P1227" s="72"/>
      <c r="S1227" s="72"/>
      <c r="V1227" s="72"/>
      <c r="Y1227" s="72"/>
      <c r="AB1227" s="72"/>
      <c r="AE1227" s="72"/>
      <c r="AH1227" s="72"/>
      <c r="AK1227" s="72"/>
      <c r="AN1227" s="72"/>
      <c r="AQ1227" s="72"/>
      <c r="AT1227" s="72"/>
      <c r="AW1227" s="72"/>
      <c r="AZ1227" s="72"/>
    </row>
    <row r="1228" spans="1:52">
      <c r="A1228" s="131"/>
      <c r="B1228" s="72"/>
      <c r="D1228" s="72"/>
      <c r="G1228" s="72"/>
      <c r="J1228" s="72"/>
      <c r="M1228" s="72"/>
      <c r="P1228" s="72"/>
      <c r="S1228" s="72"/>
      <c r="V1228" s="72"/>
      <c r="Y1228" s="72"/>
      <c r="AB1228" s="72"/>
      <c r="AE1228" s="72"/>
      <c r="AH1228" s="72"/>
      <c r="AK1228" s="72"/>
      <c r="AN1228" s="72"/>
      <c r="AQ1228" s="72"/>
      <c r="AT1228" s="72"/>
      <c r="AW1228" s="72"/>
      <c r="AZ1228" s="72"/>
    </row>
    <row r="1229" spans="1:52">
      <c r="A1229" s="131"/>
      <c r="B1229" s="72"/>
      <c r="D1229" s="72"/>
      <c r="G1229" s="72"/>
      <c r="J1229" s="72"/>
      <c r="M1229" s="72"/>
      <c r="P1229" s="72"/>
      <c r="S1229" s="72"/>
      <c r="V1229" s="72"/>
      <c r="Y1229" s="72"/>
      <c r="AB1229" s="72"/>
      <c r="AE1229" s="72"/>
      <c r="AH1229" s="72"/>
      <c r="AK1229" s="72"/>
      <c r="AN1229" s="72"/>
      <c r="AQ1229" s="72"/>
      <c r="AT1229" s="72"/>
      <c r="AW1229" s="72"/>
      <c r="AZ1229" s="72"/>
    </row>
    <row r="1230" spans="1:52">
      <c r="A1230" s="131"/>
      <c r="B1230" s="72"/>
      <c r="D1230" s="72"/>
      <c r="G1230" s="72"/>
      <c r="J1230" s="72"/>
      <c r="M1230" s="72"/>
      <c r="P1230" s="72"/>
      <c r="S1230" s="72"/>
      <c r="V1230" s="72"/>
      <c r="Y1230" s="72"/>
      <c r="AB1230" s="72"/>
      <c r="AE1230" s="72"/>
      <c r="AH1230" s="72"/>
      <c r="AK1230" s="72"/>
      <c r="AN1230" s="72"/>
      <c r="AQ1230" s="72"/>
      <c r="AT1230" s="72"/>
      <c r="AW1230" s="72"/>
      <c r="AZ1230" s="72"/>
    </row>
    <row r="1231" spans="1:52">
      <c r="A1231" s="131"/>
      <c r="B1231" s="72"/>
      <c r="D1231" s="72"/>
      <c r="G1231" s="72"/>
      <c r="J1231" s="72"/>
      <c r="M1231" s="72"/>
      <c r="P1231" s="72"/>
      <c r="S1231" s="72"/>
      <c r="V1231" s="72"/>
      <c r="Y1231" s="72"/>
      <c r="AB1231" s="72"/>
      <c r="AE1231" s="72"/>
      <c r="AH1231" s="72"/>
      <c r="AK1231" s="72"/>
      <c r="AN1231" s="72"/>
      <c r="AQ1231" s="72"/>
      <c r="AT1231" s="72"/>
      <c r="AW1231" s="72"/>
      <c r="AZ1231" s="72"/>
    </row>
    <row r="1232" spans="1:52">
      <c r="A1232" s="131"/>
      <c r="B1232" s="72"/>
      <c r="D1232" s="72"/>
      <c r="G1232" s="72"/>
      <c r="J1232" s="72"/>
      <c r="M1232" s="72"/>
      <c r="P1232" s="72"/>
      <c r="S1232" s="72"/>
      <c r="V1232" s="72"/>
      <c r="Y1232" s="72"/>
      <c r="AB1232" s="72"/>
      <c r="AE1232" s="72"/>
      <c r="AH1232" s="72"/>
      <c r="AK1232" s="72"/>
      <c r="AN1232" s="72"/>
      <c r="AQ1232" s="72"/>
      <c r="AT1232" s="72"/>
      <c r="AW1232" s="72"/>
      <c r="AZ1232" s="72"/>
    </row>
    <row r="1233" spans="1:52">
      <c r="A1233" s="131"/>
      <c r="B1233" s="72"/>
      <c r="D1233" s="72"/>
      <c r="G1233" s="72"/>
      <c r="J1233" s="72"/>
      <c r="M1233" s="72"/>
      <c r="P1233" s="72"/>
      <c r="S1233" s="72"/>
      <c r="V1233" s="72"/>
      <c r="Y1233" s="72"/>
      <c r="AB1233" s="72"/>
      <c r="AE1233" s="72"/>
      <c r="AH1233" s="72"/>
      <c r="AK1233" s="72"/>
      <c r="AN1233" s="72"/>
      <c r="AQ1233" s="72"/>
      <c r="AT1233" s="72"/>
      <c r="AW1233" s="72"/>
      <c r="AZ1233" s="72"/>
    </row>
    <row r="1234" spans="1:52">
      <c r="A1234" s="131"/>
      <c r="B1234" s="72"/>
      <c r="D1234" s="72"/>
      <c r="G1234" s="72"/>
      <c r="J1234" s="72"/>
      <c r="M1234" s="72"/>
      <c r="P1234" s="72"/>
      <c r="S1234" s="72"/>
      <c r="V1234" s="72"/>
      <c r="Y1234" s="72"/>
      <c r="AB1234" s="72"/>
      <c r="AE1234" s="72"/>
      <c r="AH1234" s="72"/>
      <c r="AK1234" s="72"/>
      <c r="AN1234" s="72"/>
      <c r="AQ1234" s="72"/>
      <c r="AT1234" s="72"/>
      <c r="AW1234" s="72"/>
      <c r="AZ1234" s="72"/>
    </row>
    <row r="1235" spans="1:52">
      <c r="A1235" s="131"/>
      <c r="B1235" s="72"/>
      <c r="D1235" s="72"/>
      <c r="G1235" s="72"/>
      <c r="J1235" s="72"/>
      <c r="M1235" s="72"/>
      <c r="P1235" s="72"/>
      <c r="S1235" s="72"/>
      <c r="V1235" s="72"/>
      <c r="Y1235" s="72"/>
      <c r="AB1235" s="72"/>
      <c r="AE1235" s="72"/>
      <c r="AH1235" s="72"/>
      <c r="AK1235" s="72"/>
      <c r="AN1235" s="72"/>
      <c r="AQ1235" s="72"/>
      <c r="AT1235" s="72"/>
      <c r="AW1235" s="72"/>
      <c r="AZ1235" s="72"/>
    </row>
    <row r="1236" spans="1:52">
      <c r="A1236" s="131"/>
      <c r="B1236" s="72"/>
      <c r="D1236" s="72"/>
      <c r="G1236" s="72"/>
      <c r="J1236" s="72"/>
      <c r="M1236" s="72"/>
      <c r="P1236" s="72"/>
      <c r="S1236" s="72"/>
      <c r="V1236" s="72"/>
      <c r="Y1236" s="72"/>
      <c r="AB1236" s="72"/>
      <c r="AE1236" s="72"/>
      <c r="AH1236" s="72"/>
      <c r="AK1236" s="72"/>
      <c r="AN1236" s="72"/>
      <c r="AQ1236" s="72"/>
      <c r="AT1236" s="72"/>
      <c r="AW1236" s="72"/>
      <c r="AZ1236" s="72"/>
    </row>
    <row r="1237" spans="1:52">
      <c r="A1237" s="131"/>
      <c r="B1237" s="72"/>
      <c r="D1237" s="72"/>
      <c r="G1237" s="72"/>
      <c r="J1237" s="72"/>
      <c r="M1237" s="72"/>
      <c r="P1237" s="72"/>
      <c r="S1237" s="72"/>
      <c r="V1237" s="72"/>
      <c r="Y1237" s="72"/>
      <c r="AB1237" s="72"/>
      <c r="AE1237" s="72"/>
      <c r="AH1237" s="72"/>
      <c r="AK1237" s="72"/>
      <c r="AN1237" s="72"/>
      <c r="AQ1237" s="72"/>
      <c r="AT1237" s="72"/>
      <c r="AW1237" s="72"/>
      <c r="AZ1237" s="72"/>
    </row>
    <row r="1238" spans="1:52">
      <c r="A1238" s="131"/>
      <c r="B1238" s="72"/>
      <c r="D1238" s="72"/>
      <c r="G1238" s="72"/>
      <c r="J1238" s="72"/>
      <c r="M1238" s="72"/>
      <c r="P1238" s="72"/>
      <c r="S1238" s="72"/>
      <c r="V1238" s="72"/>
      <c r="Y1238" s="72"/>
      <c r="AB1238" s="72"/>
      <c r="AE1238" s="72"/>
      <c r="AH1238" s="72"/>
      <c r="AK1238" s="72"/>
      <c r="AN1238" s="72"/>
      <c r="AQ1238" s="72"/>
      <c r="AT1238" s="72"/>
      <c r="AW1238" s="72"/>
      <c r="AZ1238" s="72"/>
    </row>
    <row r="1239" spans="1:52">
      <c r="A1239" s="131"/>
      <c r="B1239" s="72"/>
      <c r="D1239" s="72"/>
      <c r="G1239" s="72"/>
      <c r="J1239" s="72"/>
      <c r="M1239" s="72"/>
      <c r="P1239" s="72"/>
      <c r="S1239" s="72"/>
      <c r="V1239" s="72"/>
      <c r="Y1239" s="72"/>
      <c r="AB1239" s="72"/>
      <c r="AE1239" s="72"/>
      <c r="AH1239" s="72"/>
      <c r="AK1239" s="72"/>
      <c r="AN1239" s="72"/>
      <c r="AQ1239" s="72"/>
      <c r="AT1239" s="72"/>
      <c r="AW1239" s="72"/>
      <c r="AZ1239" s="72"/>
    </row>
    <row r="1240" spans="1:52">
      <c r="A1240" s="131"/>
      <c r="B1240" s="72"/>
      <c r="D1240" s="72"/>
      <c r="G1240" s="72"/>
      <c r="J1240" s="72"/>
      <c r="M1240" s="72"/>
      <c r="P1240" s="72"/>
      <c r="S1240" s="72"/>
      <c r="V1240" s="72"/>
      <c r="Y1240" s="72"/>
      <c r="AB1240" s="72"/>
      <c r="AE1240" s="72"/>
      <c r="AH1240" s="72"/>
      <c r="AK1240" s="72"/>
      <c r="AN1240" s="72"/>
      <c r="AQ1240" s="72"/>
      <c r="AT1240" s="72"/>
      <c r="AW1240" s="72"/>
      <c r="AZ1240" s="72"/>
    </row>
    <row r="1241" spans="1:52">
      <c r="A1241" s="131"/>
      <c r="B1241" s="72"/>
      <c r="D1241" s="72"/>
      <c r="G1241" s="72"/>
      <c r="J1241" s="72"/>
      <c r="M1241" s="72"/>
      <c r="P1241" s="72"/>
      <c r="S1241" s="72"/>
      <c r="V1241" s="72"/>
      <c r="Y1241" s="72"/>
      <c r="AB1241" s="72"/>
      <c r="AE1241" s="72"/>
      <c r="AH1241" s="72"/>
      <c r="AK1241" s="72"/>
      <c r="AN1241" s="72"/>
      <c r="AQ1241" s="72"/>
      <c r="AT1241" s="72"/>
      <c r="AW1241" s="72"/>
      <c r="AZ1241" s="72"/>
    </row>
    <row r="1242" spans="1:52">
      <c r="A1242" s="131"/>
      <c r="B1242" s="72"/>
      <c r="D1242" s="72"/>
      <c r="G1242" s="72"/>
      <c r="J1242" s="72"/>
      <c r="M1242" s="72"/>
      <c r="P1242" s="72"/>
      <c r="S1242" s="72"/>
      <c r="V1242" s="72"/>
      <c r="Y1242" s="72"/>
      <c r="AB1242" s="72"/>
      <c r="AE1242" s="72"/>
      <c r="AH1242" s="72"/>
      <c r="AK1242" s="72"/>
      <c r="AN1242" s="72"/>
      <c r="AQ1242" s="72"/>
      <c r="AT1242" s="72"/>
      <c r="AW1242" s="72"/>
      <c r="AZ1242" s="72"/>
    </row>
    <row r="1243" spans="1:52">
      <c r="A1243" s="131"/>
      <c r="B1243" s="72"/>
      <c r="D1243" s="72"/>
      <c r="G1243" s="72"/>
      <c r="J1243" s="72"/>
      <c r="M1243" s="72"/>
      <c r="P1243" s="72"/>
      <c r="S1243" s="72"/>
      <c r="V1243" s="72"/>
      <c r="Y1243" s="72"/>
      <c r="AB1243" s="72"/>
      <c r="AE1243" s="72"/>
      <c r="AH1243" s="72"/>
      <c r="AK1243" s="72"/>
      <c r="AN1243" s="72"/>
      <c r="AQ1243" s="72"/>
      <c r="AT1243" s="72"/>
      <c r="AW1243" s="72"/>
      <c r="AZ1243" s="72"/>
    </row>
    <row r="1244" spans="1:52">
      <c r="A1244" s="131"/>
      <c r="B1244" s="72"/>
      <c r="D1244" s="72"/>
      <c r="G1244" s="72"/>
      <c r="J1244" s="72"/>
      <c r="M1244" s="72"/>
      <c r="P1244" s="72"/>
      <c r="S1244" s="72"/>
      <c r="V1244" s="72"/>
      <c r="Y1244" s="72"/>
      <c r="AB1244" s="72"/>
      <c r="AE1244" s="72"/>
      <c r="AH1244" s="72"/>
      <c r="AK1244" s="72"/>
      <c r="AN1244" s="72"/>
      <c r="AQ1244" s="72"/>
      <c r="AT1244" s="72"/>
      <c r="AW1244" s="72"/>
      <c r="AZ1244" s="72"/>
    </row>
    <row r="1245" spans="1:52">
      <c r="A1245" s="131"/>
      <c r="B1245" s="72"/>
      <c r="D1245" s="72"/>
      <c r="G1245" s="72"/>
      <c r="J1245" s="72"/>
      <c r="M1245" s="72"/>
      <c r="P1245" s="72"/>
      <c r="S1245" s="72"/>
      <c r="V1245" s="72"/>
      <c r="Y1245" s="72"/>
      <c r="AB1245" s="72"/>
      <c r="AE1245" s="72"/>
      <c r="AH1245" s="72"/>
      <c r="AK1245" s="72"/>
      <c r="AN1245" s="72"/>
      <c r="AQ1245" s="72"/>
      <c r="AT1245" s="72"/>
      <c r="AW1245" s="72"/>
      <c r="AZ1245" s="72"/>
    </row>
    <row r="1246" spans="1:52">
      <c r="A1246" s="131"/>
      <c r="B1246" s="72"/>
      <c r="D1246" s="72"/>
      <c r="G1246" s="72"/>
      <c r="J1246" s="72"/>
      <c r="M1246" s="72"/>
      <c r="P1246" s="72"/>
      <c r="S1246" s="72"/>
      <c r="V1246" s="72"/>
      <c r="Y1246" s="72"/>
      <c r="AB1246" s="72"/>
      <c r="AE1246" s="72"/>
      <c r="AH1246" s="72"/>
      <c r="AK1246" s="72"/>
      <c r="AN1246" s="72"/>
      <c r="AQ1246" s="72"/>
      <c r="AT1246" s="72"/>
      <c r="AW1246" s="72"/>
      <c r="AZ1246" s="72"/>
    </row>
    <row r="1247" spans="1:52">
      <c r="A1247" s="131"/>
      <c r="B1247" s="72"/>
      <c r="D1247" s="72"/>
      <c r="G1247" s="72"/>
      <c r="J1247" s="72"/>
      <c r="M1247" s="72"/>
      <c r="P1247" s="72"/>
      <c r="S1247" s="72"/>
      <c r="V1247" s="72"/>
      <c r="Y1247" s="72"/>
      <c r="AB1247" s="72"/>
      <c r="AE1247" s="72"/>
      <c r="AH1247" s="72"/>
      <c r="AK1247" s="72"/>
      <c r="AN1247" s="72"/>
      <c r="AQ1247" s="72"/>
      <c r="AT1247" s="72"/>
      <c r="AW1247" s="72"/>
      <c r="AZ1247" s="72"/>
    </row>
    <row r="1248" spans="1:52">
      <c r="A1248" s="131"/>
      <c r="B1248" s="72"/>
      <c r="D1248" s="72"/>
      <c r="G1248" s="72"/>
      <c r="J1248" s="72"/>
      <c r="M1248" s="72"/>
      <c r="P1248" s="72"/>
      <c r="S1248" s="72"/>
      <c r="V1248" s="72"/>
      <c r="Y1248" s="72"/>
      <c r="AB1248" s="72"/>
      <c r="AE1248" s="72"/>
      <c r="AH1248" s="72"/>
      <c r="AK1248" s="72"/>
      <c r="AN1248" s="72"/>
      <c r="AQ1248" s="72"/>
      <c r="AT1248" s="72"/>
      <c r="AW1248" s="72"/>
      <c r="AZ1248" s="72"/>
    </row>
    <row r="1249" spans="1:52">
      <c r="A1249" s="131"/>
      <c r="B1249" s="72"/>
      <c r="D1249" s="72"/>
      <c r="G1249" s="72"/>
      <c r="J1249" s="72"/>
      <c r="M1249" s="72"/>
      <c r="P1249" s="72"/>
      <c r="S1249" s="72"/>
      <c r="V1249" s="72"/>
      <c r="Y1249" s="72"/>
      <c r="AB1249" s="72"/>
      <c r="AE1249" s="72"/>
      <c r="AH1249" s="72"/>
      <c r="AK1249" s="72"/>
      <c r="AN1249" s="72"/>
      <c r="AQ1249" s="72"/>
      <c r="AT1249" s="72"/>
      <c r="AW1249" s="72"/>
      <c r="AZ1249" s="72"/>
    </row>
    <row r="1250" spans="1:52">
      <c r="A1250" s="131"/>
      <c r="B1250" s="72"/>
      <c r="D1250" s="72"/>
      <c r="G1250" s="72"/>
      <c r="J1250" s="72"/>
      <c r="M1250" s="72"/>
      <c r="P1250" s="72"/>
      <c r="S1250" s="72"/>
      <c r="V1250" s="72"/>
      <c r="Y1250" s="72"/>
      <c r="AB1250" s="72"/>
      <c r="AE1250" s="72"/>
      <c r="AH1250" s="72"/>
      <c r="AK1250" s="72"/>
      <c r="AN1250" s="72"/>
      <c r="AQ1250" s="72"/>
      <c r="AT1250" s="72"/>
      <c r="AW1250" s="72"/>
      <c r="AZ1250" s="72"/>
    </row>
    <row r="1251" spans="1:52">
      <c r="A1251" s="131"/>
      <c r="B1251" s="72"/>
      <c r="D1251" s="72"/>
      <c r="G1251" s="72"/>
      <c r="J1251" s="72"/>
      <c r="M1251" s="72"/>
      <c r="P1251" s="72"/>
      <c r="S1251" s="72"/>
      <c r="V1251" s="72"/>
      <c r="Y1251" s="72"/>
      <c r="AB1251" s="72"/>
      <c r="AE1251" s="72"/>
      <c r="AH1251" s="72"/>
      <c r="AK1251" s="72"/>
      <c r="AN1251" s="72"/>
      <c r="AQ1251" s="72"/>
      <c r="AT1251" s="72"/>
      <c r="AW1251" s="72"/>
      <c r="AZ1251" s="72"/>
    </row>
    <row r="1252" spans="1:52">
      <c r="A1252" s="131"/>
      <c r="B1252" s="72"/>
      <c r="D1252" s="72"/>
      <c r="G1252" s="72"/>
      <c r="J1252" s="72"/>
      <c r="M1252" s="72"/>
      <c r="P1252" s="72"/>
      <c r="S1252" s="72"/>
      <c r="V1252" s="72"/>
      <c r="Y1252" s="72"/>
      <c r="AB1252" s="72"/>
      <c r="AE1252" s="72"/>
      <c r="AH1252" s="72"/>
      <c r="AK1252" s="72"/>
      <c r="AN1252" s="72"/>
      <c r="AQ1252" s="72"/>
      <c r="AT1252" s="72"/>
      <c r="AW1252" s="72"/>
      <c r="AZ1252" s="72"/>
    </row>
    <row r="1253" spans="1:52">
      <c r="A1253" s="131"/>
      <c r="B1253" s="72"/>
      <c r="D1253" s="72"/>
      <c r="G1253" s="72"/>
      <c r="J1253" s="72"/>
      <c r="M1253" s="72"/>
      <c r="P1253" s="72"/>
      <c r="S1253" s="72"/>
      <c r="V1253" s="72"/>
      <c r="Y1253" s="72"/>
      <c r="AB1253" s="72"/>
      <c r="AE1253" s="72"/>
      <c r="AH1253" s="72"/>
      <c r="AK1253" s="72"/>
      <c r="AN1253" s="72"/>
      <c r="AQ1253" s="72"/>
      <c r="AT1253" s="72"/>
      <c r="AW1253" s="72"/>
      <c r="AZ1253" s="72"/>
    </row>
    <row r="1254" spans="1:52">
      <c r="A1254" s="131"/>
      <c r="B1254" s="72"/>
      <c r="D1254" s="72"/>
      <c r="G1254" s="72"/>
      <c r="J1254" s="72"/>
      <c r="M1254" s="72"/>
      <c r="P1254" s="72"/>
      <c r="S1254" s="72"/>
      <c r="V1254" s="72"/>
      <c r="Y1254" s="72"/>
      <c r="AB1254" s="72"/>
      <c r="AE1254" s="72"/>
      <c r="AH1254" s="72"/>
      <c r="AK1254" s="72"/>
      <c r="AN1254" s="72"/>
      <c r="AQ1254" s="72"/>
      <c r="AT1254" s="72"/>
      <c r="AW1254" s="72"/>
      <c r="AZ1254" s="72"/>
    </row>
    <row r="1255" spans="1:52">
      <c r="A1255" s="131"/>
      <c r="B1255" s="72"/>
      <c r="D1255" s="72"/>
      <c r="G1255" s="72"/>
      <c r="J1255" s="72"/>
      <c r="M1255" s="72"/>
      <c r="P1255" s="72"/>
      <c r="S1255" s="72"/>
      <c r="V1255" s="72"/>
      <c r="Y1255" s="72"/>
      <c r="AB1255" s="72"/>
      <c r="AE1255" s="72"/>
      <c r="AH1255" s="72"/>
      <c r="AK1255" s="72"/>
      <c r="AN1255" s="72"/>
      <c r="AQ1255" s="72"/>
      <c r="AT1255" s="72"/>
      <c r="AW1255" s="72"/>
      <c r="AZ1255" s="72"/>
    </row>
    <row r="1256" spans="1:52">
      <c r="A1256" s="131"/>
      <c r="B1256" s="72"/>
      <c r="D1256" s="72"/>
      <c r="G1256" s="72"/>
      <c r="J1256" s="72"/>
      <c r="M1256" s="72"/>
      <c r="P1256" s="72"/>
      <c r="S1256" s="72"/>
      <c r="V1256" s="72"/>
      <c r="Y1256" s="72"/>
      <c r="AB1256" s="72"/>
      <c r="AE1256" s="72"/>
      <c r="AH1256" s="72"/>
      <c r="AK1256" s="72"/>
      <c r="AN1256" s="72"/>
      <c r="AQ1256" s="72"/>
      <c r="AT1256" s="72"/>
      <c r="AW1256" s="72"/>
      <c r="AZ1256" s="72"/>
    </row>
    <row r="1257" spans="1:52">
      <c r="A1257" s="131"/>
      <c r="B1257" s="72"/>
      <c r="D1257" s="72"/>
      <c r="G1257" s="72"/>
      <c r="J1257" s="72"/>
      <c r="M1257" s="72"/>
      <c r="P1257" s="72"/>
      <c r="S1257" s="72"/>
      <c r="V1257" s="72"/>
      <c r="Y1257" s="72"/>
      <c r="AB1257" s="72"/>
      <c r="AE1257" s="72"/>
      <c r="AH1257" s="72"/>
      <c r="AK1257" s="72"/>
      <c r="AN1257" s="72"/>
      <c r="AQ1257" s="72"/>
      <c r="AT1257" s="72"/>
      <c r="AW1257" s="72"/>
      <c r="AZ1257" s="72"/>
    </row>
    <row r="1258" spans="1:52">
      <c r="A1258" s="131"/>
      <c r="B1258" s="72"/>
      <c r="D1258" s="72"/>
      <c r="G1258" s="72"/>
      <c r="J1258" s="72"/>
      <c r="M1258" s="72"/>
      <c r="P1258" s="72"/>
      <c r="S1258" s="72"/>
      <c r="V1258" s="72"/>
      <c r="Y1258" s="72"/>
      <c r="AB1258" s="72"/>
      <c r="AE1258" s="72"/>
      <c r="AH1258" s="72"/>
      <c r="AK1258" s="72"/>
      <c r="AN1258" s="72"/>
      <c r="AQ1258" s="72"/>
      <c r="AT1258" s="72"/>
      <c r="AW1258" s="72"/>
      <c r="AZ1258" s="72"/>
    </row>
    <row r="1259" spans="1:52">
      <c r="A1259" s="131"/>
      <c r="B1259" s="72"/>
      <c r="D1259" s="72"/>
      <c r="G1259" s="72"/>
      <c r="J1259" s="72"/>
      <c r="M1259" s="72"/>
      <c r="P1259" s="72"/>
      <c r="S1259" s="72"/>
      <c r="V1259" s="72"/>
      <c r="Y1259" s="72"/>
      <c r="AB1259" s="72"/>
      <c r="AE1259" s="72"/>
      <c r="AH1259" s="72"/>
      <c r="AK1259" s="72"/>
      <c r="AN1259" s="72"/>
      <c r="AQ1259" s="72"/>
      <c r="AT1259" s="72"/>
      <c r="AW1259" s="72"/>
      <c r="AZ1259" s="72"/>
    </row>
    <row r="1260" spans="1:52">
      <c r="A1260" s="131"/>
      <c r="B1260" s="72"/>
      <c r="D1260" s="72"/>
      <c r="G1260" s="72"/>
      <c r="J1260" s="72"/>
      <c r="M1260" s="72"/>
      <c r="P1260" s="72"/>
      <c r="S1260" s="72"/>
      <c r="V1260" s="72"/>
      <c r="Y1260" s="72"/>
      <c r="AB1260" s="72"/>
      <c r="AE1260" s="72"/>
      <c r="AH1260" s="72"/>
      <c r="AK1260" s="72"/>
      <c r="AN1260" s="72"/>
      <c r="AQ1260" s="72"/>
      <c r="AT1260" s="72"/>
      <c r="AW1260" s="72"/>
      <c r="AZ1260" s="72"/>
    </row>
    <row r="1261" spans="1:52">
      <c r="A1261" s="131"/>
      <c r="B1261" s="72"/>
      <c r="D1261" s="72"/>
      <c r="G1261" s="72"/>
      <c r="J1261" s="72"/>
      <c r="M1261" s="72"/>
      <c r="P1261" s="72"/>
      <c r="S1261" s="72"/>
      <c r="V1261" s="72"/>
      <c r="Y1261" s="72"/>
      <c r="AB1261" s="72"/>
      <c r="AE1261" s="72"/>
      <c r="AH1261" s="72"/>
      <c r="AK1261" s="72"/>
      <c r="AN1261" s="72"/>
      <c r="AQ1261" s="72"/>
      <c r="AT1261" s="72"/>
      <c r="AW1261" s="72"/>
      <c r="AZ1261" s="72"/>
    </row>
    <row r="1262" spans="1:52">
      <c r="A1262" s="131"/>
      <c r="B1262" s="72"/>
      <c r="D1262" s="72"/>
      <c r="G1262" s="72"/>
      <c r="J1262" s="72"/>
      <c r="M1262" s="72"/>
      <c r="P1262" s="72"/>
      <c r="S1262" s="72"/>
      <c r="V1262" s="72"/>
      <c r="Y1262" s="72"/>
      <c r="AB1262" s="72"/>
      <c r="AE1262" s="72"/>
      <c r="AH1262" s="72"/>
      <c r="AK1262" s="72"/>
      <c r="AN1262" s="72"/>
      <c r="AQ1262" s="72"/>
      <c r="AT1262" s="72"/>
      <c r="AW1262" s="72"/>
      <c r="AZ1262" s="72"/>
    </row>
    <row r="1263" spans="1:52">
      <c r="A1263" s="131"/>
      <c r="B1263" s="72"/>
      <c r="D1263" s="72"/>
      <c r="G1263" s="72"/>
      <c r="J1263" s="72"/>
      <c r="M1263" s="72"/>
      <c r="P1263" s="72"/>
      <c r="S1263" s="72"/>
      <c r="V1263" s="72"/>
      <c r="Y1263" s="72"/>
      <c r="AB1263" s="72"/>
      <c r="AE1263" s="72"/>
      <c r="AH1263" s="72"/>
      <c r="AK1263" s="72"/>
      <c r="AN1263" s="72"/>
      <c r="AQ1263" s="72"/>
      <c r="AT1263" s="72"/>
      <c r="AW1263" s="72"/>
      <c r="AZ1263" s="72"/>
    </row>
    <row r="1264" spans="1:52">
      <c r="A1264" s="131"/>
      <c r="B1264" s="72"/>
      <c r="D1264" s="72"/>
      <c r="G1264" s="72"/>
      <c r="J1264" s="72"/>
      <c r="M1264" s="72"/>
      <c r="P1264" s="72"/>
      <c r="S1264" s="72"/>
      <c r="V1264" s="72"/>
      <c r="Y1264" s="72"/>
      <c r="AB1264" s="72"/>
      <c r="AE1264" s="72"/>
      <c r="AH1264" s="72"/>
      <c r="AK1264" s="72"/>
      <c r="AN1264" s="72"/>
      <c r="AQ1264" s="72"/>
      <c r="AT1264" s="72"/>
      <c r="AW1264" s="72"/>
      <c r="AZ1264" s="72"/>
    </row>
    <row r="1265" spans="1:52">
      <c r="A1265" s="131"/>
      <c r="B1265" s="72"/>
      <c r="D1265" s="72"/>
      <c r="G1265" s="72"/>
      <c r="J1265" s="72"/>
      <c r="M1265" s="72"/>
      <c r="P1265" s="72"/>
      <c r="S1265" s="72"/>
      <c r="V1265" s="72"/>
      <c r="Y1265" s="72"/>
      <c r="AB1265" s="72"/>
      <c r="AE1265" s="72"/>
      <c r="AH1265" s="72"/>
      <c r="AK1265" s="72"/>
      <c r="AN1265" s="72"/>
      <c r="AQ1265" s="72"/>
      <c r="AT1265" s="72"/>
      <c r="AW1265" s="72"/>
      <c r="AZ1265" s="72"/>
    </row>
    <row r="1266" spans="1:52">
      <c r="A1266" s="131"/>
      <c r="B1266" s="72"/>
      <c r="D1266" s="72"/>
      <c r="G1266" s="72"/>
      <c r="J1266" s="72"/>
      <c r="M1266" s="72"/>
      <c r="P1266" s="72"/>
      <c r="S1266" s="72"/>
      <c r="V1266" s="72"/>
      <c r="Y1266" s="72"/>
      <c r="AB1266" s="72"/>
      <c r="AE1266" s="72"/>
      <c r="AH1266" s="72"/>
      <c r="AK1266" s="72"/>
      <c r="AN1266" s="72"/>
      <c r="AQ1266" s="72"/>
      <c r="AT1266" s="72"/>
      <c r="AW1266" s="72"/>
      <c r="AZ1266" s="72"/>
    </row>
    <row r="1267" spans="1:52">
      <c r="A1267" s="131"/>
      <c r="B1267" s="72"/>
      <c r="D1267" s="72"/>
      <c r="G1267" s="72"/>
      <c r="J1267" s="72"/>
      <c r="M1267" s="72"/>
      <c r="P1267" s="72"/>
      <c r="S1267" s="72"/>
      <c r="V1267" s="72"/>
      <c r="Y1267" s="72"/>
      <c r="AB1267" s="72"/>
      <c r="AE1267" s="72"/>
      <c r="AH1267" s="72"/>
      <c r="AK1267" s="72"/>
      <c r="AN1267" s="72"/>
      <c r="AQ1267" s="72"/>
      <c r="AT1267" s="72"/>
      <c r="AW1267" s="72"/>
      <c r="AZ1267" s="72"/>
    </row>
    <row r="1268" spans="1:52">
      <c r="A1268" s="131"/>
      <c r="B1268" s="72"/>
      <c r="D1268" s="72"/>
      <c r="G1268" s="72"/>
      <c r="J1268" s="72"/>
      <c r="M1268" s="72"/>
      <c r="P1268" s="72"/>
      <c r="S1268" s="72"/>
      <c r="V1268" s="72"/>
      <c r="Y1268" s="72"/>
      <c r="AB1268" s="72"/>
      <c r="AE1268" s="72"/>
      <c r="AH1268" s="72"/>
      <c r="AK1268" s="72"/>
      <c r="AN1268" s="72"/>
      <c r="AQ1268" s="72"/>
      <c r="AT1268" s="72"/>
      <c r="AW1268" s="72"/>
      <c r="AZ1268" s="72"/>
    </row>
    <row r="1269" spans="1:52">
      <c r="A1269" s="131"/>
      <c r="B1269" s="72"/>
      <c r="D1269" s="72"/>
      <c r="G1269" s="72"/>
      <c r="J1269" s="72"/>
      <c r="M1269" s="72"/>
      <c r="P1269" s="72"/>
      <c r="S1269" s="72"/>
      <c r="V1269" s="72"/>
      <c r="Y1269" s="72"/>
      <c r="AB1269" s="72"/>
      <c r="AE1269" s="72"/>
      <c r="AH1269" s="72"/>
      <c r="AK1269" s="72"/>
      <c r="AN1269" s="72"/>
      <c r="AQ1269" s="72"/>
      <c r="AT1269" s="72"/>
      <c r="AW1269" s="72"/>
      <c r="AZ1269" s="72"/>
    </row>
    <row r="1270" spans="1:52">
      <c r="A1270" s="131"/>
      <c r="B1270" s="72"/>
      <c r="D1270" s="72"/>
      <c r="G1270" s="72"/>
      <c r="J1270" s="72"/>
      <c r="M1270" s="72"/>
      <c r="P1270" s="72"/>
      <c r="S1270" s="72"/>
      <c r="V1270" s="72"/>
      <c r="Y1270" s="72"/>
      <c r="AB1270" s="72"/>
      <c r="AE1270" s="72"/>
      <c r="AH1270" s="72"/>
      <c r="AK1270" s="72"/>
      <c r="AN1270" s="72"/>
      <c r="AQ1270" s="72"/>
      <c r="AT1270" s="72"/>
      <c r="AW1270" s="72"/>
      <c r="AZ1270" s="72"/>
    </row>
    <row r="1271" spans="1:52">
      <c r="A1271" s="131"/>
      <c r="B1271" s="72"/>
      <c r="D1271" s="72"/>
      <c r="G1271" s="72"/>
      <c r="J1271" s="72"/>
      <c r="M1271" s="72"/>
      <c r="P1271" s="72"/>
      <c r="S1271" s="72"/>
      <c r="V1271" s="72"/>
      <c r="Y1271" s="72"/>
      <c r="AB1271" s="72"/>
      <c r="AE1271" s="72"/>
      <c r="AH1271" s="72"/>
      <c r="AK1271" s="72"/>
      <c r="AN1271" s="72"/>
      <c r="AQ1271" s="72"/>
      <c r="AT1271" s="72"/>
      <c r="AW1271" s="72"/>
      <c r="AZ1271" s="72"/>
    </row>
    <row r="1272" spans="1:52">
      <c r="A1272" s="131"/>
      <c r="B1272" s="72"/>
      <c r="D1272" s="72"/>
      <c r="G1272" s="72"/>
      <c r="J1272" s="72"/>
      <c r="M1272" s="72"/>
      <c r="P1272" s="72"/>
      <c r="S1272" s="72"/>
      <c r="V1272" s="72"/>
      <c r="Y1272" s="72"/>
      <c r="AB1272" s="72"/>
      <c r="AE1272" s="72"/>
      <c r="AH1272" s="72"/>
      <c r="AK1272" s="72"/>
      <c r="AN1272" s="72"/>
      <c r="AQ1272" s="72"/>
      <c r="AT1272" s="72"/>
      <c r="AW1272" s="72"/>
      <c r="AZ1272" s="72"/>
    </row>
    <row r="1273" spans="1:52">
      <c r="A1273" s="131"/>
      <c r="B1273" s="72"/>
      <c r="D1273" s="72"/>
      <c r="G1273" s="72"/>
      <c r="J1273" s="72"/>
      <c r="M1273" s="72"/>
      <c r="P1273" s="72"/>
      <c r="S1273" s="72"/>
      <c r="V1273" s="72"/>
      <c r="Y1273" s="72"/>
      <c r="AB1273" s="72"/>
      <c r="AE1273" s="72"/>
      <c r="AH1273" s="72"/>
      <c r="AK1273" s="72"/>
      <c r="AN1273" s="72"/>
      <c r="AQ1273" s="72"/>
      <c r="AT1273" s="72"/>
      <c r="AW1273" s="72"/>
      <c r="AZ1273" s="72"/>
    </row>
    <row r="1274" spans="1:52">
      <c r="A1274" s="131"/>
      <c r="B1274" s="72"/>
      <c r="D1274" s="72"/>
      <c r="G1274" s="72"/>
      <c r="J1274" s="72"/>
      <c r="M1274" s="72"/>
      <c r="P1274" s="72"/>
      <c r="S1274" s="72"/>
      <c r="V1274" s="72"/>
      <c r="Y1274" s="72"/>
      <c r="AB1274" s="72"/>
      <c r="AE1274" s="72"/>
      <c r="AH1274" s="72"/>
      <c r="AK1274" s="72"/>
      <c r="AN1274" s="72"/>
      <c r="AQ1274" s="72"/>
      <c r="AT1274" s="72"/>
      <c r="AW1274" s="72"/>
      <c r="AZ1274" s="72"/>
    </row>
    <row r="1275" spans="1:52">
      <c r="A1275" s="131"/>
      <c r="B1275" s="72"/>
      <c r="D1275" s="72"/>
      <c r="G1275" s="72"/>
      <c r="J1275" s="72"/>
      <c r="M1275" s="72"/>
      <c r="P1275" s="72"/>
      <c r="S1275" s="72"/>
      <c r="V1275" s="72"/>
      <c r="Y1275" s="72"/>
      <c r="AB1275" s="72"/>
      <c r="AE1275" s="72"/>
      <c r="AH1275" s="72"/>
      <c r="AK1275" s="72"/>
      <c r="AN1275" s="72"/>
      <c r="AQ1275" s="72"/>
      <c r="AT1275" s="72"/>
      <c r="AW1275" s="72"/>
      <c r="AZ1275" s="72"/>
    </row>
    <row r="1276" spans="1:52">
      <c r="A1276" s="131"/>
      <c r="B1276" s="72"/>
      <c r="D1276" s="72"/>
      <c r="G1276" s="72"/>
      <c r="J1276" s="72"/>
      <c r="M1276" s="72"/>
      <c r="P1276" s="72"/>
      <c r="S1276" s="72"/>
      <c r="V1276" s="72"/>
      <c r="Y1276" s="72"/>
      <c r="AB1276" s="72"/>
      <c r="AE1276" s="72"/>
      <c r="AH1276" s="72"/>
      <c r="AK1276" s="72"/>
      <c r="AN1276" s="72"/>
      <c r="AQ1276" s="72"/>
      <c r="AT1276" s="72"/>
      <c r="AW1276" s="72"/>
      <c r="AZ1276" s="72"/>
    </row>
    <row r="1277" spans="1:52">
      <c r="A1277" s="131"/>
      <c r="B1277" s="72"/>
      <c r="D1277" s="72"/>
      <c r="G1277" s="72"/>
      <c r="J1277" s="72"/>
      <c r="M1277" s="72"/>
      <c r="P1277" s="72"/>
      <c r="S1277" s="72"/>
      <c r="V1277" s="72"/>
      <c r="Y1277" s="72"/>
      <c r="AB1277" s="72"/>
      <c r="AE1277" s="72"/>
      <c r="AH1277" s="72"/>
      <c r="AK1277" s="72"/>
      <c r="AN1277" s="72"/>
      <c r="AQ1277" s="72"/>
      <c r="AT1277" s="72"/>
      <c r="AW1277" s="72"/>
      <c r="AZ1277" s="72"/>
    </row>
    <row r="1278" spans="1:52">
      <c r="A1278" s="131"/>
      <c r="B1278" s="72"/>
      <c r="D1278" s="72"/>
      <c r="G1278" s="72"/>
      <c r="J1278" s="72"/>
      <c r="M1278" s="72"/>
      <c r="P1278" s="72"/>
      <c r="S1278" s="72"/>
      <c r="V1278" s="72"/>
      <c r="Y1278" s="72"/>
      <c r="AB1278" s="72"/>
      <c r="AE1278" s="72"/>
      <c r="AH1278" s="72"/>
      <c r="AK1278" s="72"/>
      <c r="AN1278" s="72"/>
      <c r="AQ1278" s="72"/>
      <c r="AT1278" s="72"/>
      <c r="AW1278" s="72"/>
      <c r="AZ1278" s="72"/>
    </row>
    <row r="1279" spans="1:52">
      <c r="A1279" s="131"/>
      <c r="B1279" s="72"/>
      <c r="D1279" s="72"/>
      <c r="G1279" s="72"/>
      <c r="J1279" s="72"/>
      <c r="M1279" s="72"/>
      <c r="P1279" s="72"/>
      <c r="S1279" s="72"/>
      <c r="V1279" s="72"/>
      <c r="Y1279" s="72"/>
      <c r="AB1279" s="72"/>
      <c r="AE1279" s="72"/>
      <c r="AH1279" s="72"/>
      <c r="AK1279" s="72"/>
      <c r="AN1279" s="72"/>
      <c r="AQ1279" s="72"/>
      <c r="AT1279" s="72"/>
      <c r="AW1279" s="72"/>
      <c r="AZ1279" s="72"/>
    </row>
    <row r="1280" spans="1:52">
      <c r="A1280" s="131"/>
      <c r="B1280" s="72"/>
      <c r="D1280" s="72"/>
      <c r="G1280" s="72"/>
      <c r="J1280" s="72"/>
      <c r="M1280" s="72"/>
      <c r="P1280" s="72"/>
      <c r="S1280" s="72"/>
      <c r="V1280" s="72"/>
      <c r="Y1280" s="72"/>
      <c r="AB1280" s="72"/>
      <c r="AE1280" s="72"/>
      <c r="AH1280" s="72"/>
      <c r="AK1280" s="72"/>
      <c r="AN1280" s="72"/>
      <c r="AQ1280" s="72"/>
      <c r="AT1280" s="72"/>
      <c r="AW1280" s="72"/>
      <c r="AZ1280" s="72"/>
    </row>
    <row r="1281" spans="1:52">
      <c r="A1281" s="131"/>
      <c r="B1281" s="72"/>
      <c r="D1281" s="72"/>
      <c r="G1281" s="72"/>
      <c r="J1281" s="72"/>
      <c r="M1281" s="72"/>
      <c r="P1281" s="72"/>
      <c r="S1281" s="72"/>
      <c r="V1281" s="72"/>
      <c r="Y1281" s="72"/>
      <c r="AB1281" s="72"/>
      <c r="AE1281" s="72"/>
      <c r="AH1281" s="72"/>
      <c r="AK1281" s="72"/>
      <c r="AN1281" s="72"/>
      <c r="AQ1281" s="72"/>
      <c r="AT1281" s="72"/>
      <c r="AW1281" s="72"/>
      <c r="AZ1281" s="72"/>
    </row>
    <row r="1282" spans="1:52">
      <c r="A1282" s="131"/>
      <c r="B1282" s="72"/>
      <c r="D1282" s="72"/>
      <c r="G1282" s="72"/>
      <c r="J1282" s="72"/>
      <c r="M1282" s="72"/>
      <c r="P1282" s="72"/>
      <c r="S1282" s="72"/>
      <c r="V1282" s="72"/>
      <c r="Y1282" s="72"/>
      <c r="AB1282" s="72"/>
      <c r="AE1282" s="72"/>
      <c r="AH1282" s="72"/>
      <c r="AK1282" s="72"/>
      <c r="AN1282" s="72"/>
      <c r="AQ1282" s="72"/>
      <c r="AT1282" s="72"/>
      <c r="AW1282" s="72"/>
      <c r="AZ1282" s="72"/>
    </row>
    <row r="1283" spans="1:52">
      <c r="A1283" s="131"/>
      <c r="B1283" s="72"/>
      <c r="D1283" s="72"/>
      <c r="G1283" s="72"/>
      <c r="J1283" s="72"/>
      <c r="M1283" s="72"/>
      <c r="P1283" s="72"/>
      <c r="S1283" s="72"/>
      <c r="V1283" s="72"/>
      <c r="Y1283" s="72"/>
      <c r="AB1283" s="72"/>
      <c r="AE1283" s="72"/>
      <c r="AH1283" s="72"/>
      <c r="AK1283" s="72"/>
      <c r="AN1283" s="72"/>
      <c r="AQ1283" s="72"/>
      <c r="AT1283" s="72"/>
      <c r="AW1283" s="72"/>
      <c r="AZ1283" s="72"/>
    </row>
    <row r="1284" spans="1:52">
      <c r="A1284" s="131"/>
      <c r="B1284" s="72"/>
      <c r="D1284" s="72"/>
      <c r="G1284" s="72"/>
      <c r="J1284" s="72"/>
      <c r="M1284" s="72"/>
      <c r="P1284" s="72"/>
      <c r="S1284" s="72"/>
      <c r="V1284" s="72"/>
      <c r="Y1284" s="72"/>
      <c r="AB1284" s="72"/>
      <c r="AE1284" s="72"/>
      <c r="AH1284" s="72"/>
      <c r="AK1284" s="72"/>
      <c r="AN1284" s="72"/>
      <c r="AQ1284" s="72"/>
      <c r="AT1284" s="72"/>
      <c r="AW1284" s="72"/>
      <c r="AZ1284" s="72"/>
    </row>
    <row r="1285" spans="1:52">
      <c r="A1285" s="131"/>
      <c r="B1285" s="72"/>
      <c r="D1285" s="72"/>
      <c r="G1285" s="72"/>
      <c r="J1285" s="72"/>
      <c r="M1285" s="72"/>
      <c r="P1285" s="72"/>
      <c r="S1285" s="72"/>
      <c r="V1285" s="72"/>
      <c r="Y1285" s="72"/>
      <c r="AB1285" s="72"/>
      <c r="AE1285" s="72"/>
      <c r="AH1285" s="72"/>
      <c r="AK1285" s="72"/>
      <c r="AN1285" s="72"/>
      <c r="AQ1285" s="72"/>
      <c r="AT1285" s="72"/>
      <c r="AW1285" s="72"/>
      <c r="AZ1285" s="72"/>
    </row>
    <row r="1286" spans="1:52">
      <c r="A1286" s="131"/>
      <c r="B1286" s="72"/>
      <c r="D1286" s="72"/>
      <c r="G1286" s="72"/>
      <c r="J1286" s="72"/>
      <c r="M1286" s="72"/>
      <c r="P1286" s="72"/>
      <c r="S1286" s="72"/>
      <c r="V1286" s="72"/>
      <c r="Y1286" s="72"/>
      <c r="AB1286" s="72"/>
      <c r="AE1286" s="72"/>
      <c r="AH1286" s="72"/>
      <c r="AK1286" s="72"/>
      <c r="AN1286" s="72"/>
      <c r="AQ1286" s="72"/>
      <c r="AT1286" s="72"/>
      <c r="AW1286" s="72"/>
      <c r="AZ1286" s="72"/>
    </row>
    <row r="1287" spans="1:52">
      <c r="A1287" s="131"/>
      <c r="B1287" s="72"/>
      <c r="D1287" s="72"/>
      <c r="G1287" s="72"/>
      <c r="J1287" s="72"/>
      <c r="M1287" s="72"/>
      <c r="P1287" s="72"/>
      <c r="S1287" s="72"/>
      <c r="V1287" s="72"/>
      <c r="Y1287" s="72"/>
      <c r="AB1287" s="72"/>
      <c r="AE1287" s="72"/>
      <c r="AH1287" s="72"/>
      <c r="AK1287" s="72"/>
      <c r="AN1287" s="72"/>
      <c r="AQ1287" s="72"/>
      <c r="AT1287" s="72"/>
      <c r="AW1287" s="72"/>
      <c r="AZ1287" s="72"/>
    </row>
    <row r="1288" spans="1:52">
      <c r="A1288" s="131"/>
      <c r="B1288" s="72"/>
      <c r="D1288" s="72"/>
      <c r="G1288" s="72"/>
      <c r="J1288" s="72"/>
      <c r="M1288" s="72"/>
      <c r="P1288" s="72"/>
      <c r="S1288" s="72"/>
      <c r="V1288" s="72"/>
      <c r="Y1288" s="72"/>
      <c r="AB1288" s="72"/>
      <c r="AE1288" s="72"/>
      <c r="AH1288" s="72"/>
      <c r="AK1288" s="72"/>
      <c r="AN1288" s="72"/>
      <c r="AQ1288" s="72"/>
      <c r="AT1288" s="72"/>
      <c r="AW1288" s="72"/>
      <c r="AZ1288" s="72"/>
    </row>
    <row r="1289" spans="1:52">
      <c r="A1289" s="131"/>
      <c r="B1289" s="72"/>
      <c r="D1289" s="72"/>
      <c r="G1289" s="72"/>
      <c r="J1289" s="72"/>
      <c r="M1289" s="72"/>
      <c r="P1289" s="72"/>
      <c r="S1289" s="72"/>
      <c r="V1289" s="72"/>
      <c r="Y1289" s="72"/>
      <c r="AB1289" s="72"/>
      <c r="AE1289" s="72"/>
      <c r="AH1289" s="72"/>
      <c r="AK1289" s="72"/>
      <c r="AN1289" s="72"/>
      <c r="AQ1289" s="72"/>
      <c r="AT1289" s="72"/>
      <c r="AW1289" s="72"/>
      <c r="AZ1289" s="72"/>
    </row>
    <row r="1290" spans="1:52">
      <c r="A1290" s="131"/>
      <c r="B1290" s="72"/>
      <c r="D1290" s="72"/>
      <c r="G1290" s="72"/>
      <c r="J1290" s="72"/>
      <c r="M1290" s="72"/>
      <c r="P1290" s="72"/>
      <c r="S1290" s="72"/>
      <c r="V1290" s="72"/>
      <c r="Y1290" s="72"/>
      <c r="AB1290" s="72"/>
      <c r="AE1290" s="72"/>
      <c r="AH1290" s="72"/>
      <c r="AK1290" s="72"/>
      <c r="AN1290" s="72"/>
      <c r="AQ1290" s="72"/>
      <c r="AT1290" s="72"/>
      <c r="AW1290" s="72"/>
      <c r="AZ1290" s="72"/>
    </row>
    <row r="1291" spans="1:52">
      <c r="A1291" s="131"/>
      <c r="B1291" s="72"/>
      <c r="D1291" s="72"/>
      <c r="G1291" s="72"/>
      <c r="J1291" s="72"/>
      <c r="M1291" s="72"/>
      <c r="P1291" s="72"/>
      <c r="S1291" s="72"/>
      <c r="V1291" s="72"/>
      <c r="Y1291" s="72"/>
      <c r="AB1291" s="72"/>
      <c r="AE1291" s="72"/>
      <c r="AH1291" s="72"/>
      <c r="AK1291" s="72"/>
      <c r="AN1291" s="72"/>
      <c r="AQ1291" s="72"/>
      <c r="AT1291" s="72"/>
      <c r="AW1291" s="72"/>
      <c r="AZ1291" s="72"/>
    </row>
    <row r="1292" spans="1:52">
      <c r="A1292" s="131"/>
      <c r="B1292" s="72"/>
      <c r="D1292" s="72"/>
      <c r="G1292" s="72"/>
      <c r="J1292" s="72"/>
      <c r="M1292" s="72"/>
      <c r="P1292" s="72"/>
      <c r="S1292" s="72"/>
      <c r="V1292" s="72"/>
      <c r="Y1292" s="72"/>
      <c r="AB1292" s="72"/>
      <c r="AE1292" s="72"/>
      <c r="AH1292" s="72"/>
      <c r="AK1292" s="72"/>
      <c r="AN1292" s="72"/>
      <c r="AQ1292" s="72"/>
      <c r="AT1292" s="72"/>
      <c r="AW1292" s="72"/>
      <c r="AZ1292" s="72"/>
    </row>
    <row r="1293" spans="1:52">
      <c r="A1293" s="131"/>
      <c r="B1293" s="72"/>
      <c r="D1293" s="72"/>
      <c r="G1293" s="72"/>
      <c r="J1293" s="72"/>
      <c r="M1293" s="72"/>
      <c r="P1293" s="72"/>
      <c r="S1293" s="72"/>
      <c r="V1293" s="72"/>
      <c r="Y1293" s="72"/>
      <c r="AB1293" s="72"/>
      <c r="AE1293" s="72"/>
      <c r="AH1293" s="72"/>
      <c r="AK1293" s="72"/>
      <c r="AN1293" s="72"/>
      <c r="AQ1293" s="72"/>
      <c r="AT1293" s="72"/>
      <c r="AW1293" s="72"/>
      <c r="AZ1293" s="72"/>
    </row>
    <row r="1294" spans="1:52">
      <c r="A1294" s="131"/>
      <c r="B1294" s="72"/>
      <c r="D1294" s="72"/>
      <c r="G1294" s="72"/>
      <c r="J1294" s="72"/>
      <c r="M1294" s="72"/>
      <c r="P1294" s="72"/>
      <c r="S1294" s="72"/>
      <c r="V1294" s="72"/>
      <c r="Y1294" s="72"/>
      <c r="AB1294" s="72"/>
      <c r="AE1294" s="72"/>
      <c r="AH1294" s="72"/>
      <c r="AK1294" s="72"/>
      <c r="AN1294" s="72"/>
      <c r="AQ1294" s="72"/>
      <c r="AT1294" s="72"/>
      <c r="AW1294" s="72"/>
      <c r="AZ1294" s="72"/>
    </row>
    <row r="1295" spans="1:52">
      <c r="A1295" s="131"/>
      <c r="B1295" s="72"/>
      <c r="D1295" s="72"/>
      <c r="G1295" s="72"/>
      <c r="J1295" s="72"/>
      <c r="M1295" s="72"/>
      <c r="P1295" s="72"/>
      <c r="S1295" s="72"/>
      <c r="V1295" s="72"/>
      <c r="Y1295" s="72"/>
      <c r="AB1295" s="72"/>
      <c r="AE1295" s="72"/>
      <c r="AH1295" s="72"/>
      <c r="AK1295" s="72"/>
      <c r="AN1295" s="72"/>
      <c r="AQ1295" s="72"/>
      <c r="AT1295" s="72"/>
      <c r="AW1295" s="72"/>
      <c r="AZ1295" s="72"/>
    </row>
    <row r="1296" spans="1:52">
      <c r="A1296" s="131"/>
      <c r="B1296" s="72"/>
      <c r="D1296" s="72"/>
      <c r="G1296" s="72"/>
      <c r="J1296" s="72"/>
      <c r="M1296" s="72"/>
      <c r="P1296" s="72"/>
      <c r="S1296" s="72"/>
      <c r="V1296" s="72"/>
      <c r="Y1296" s="72"/>
      <c r="AB1296" s="72"/>
      <c r="AE1296" s="72"/>
      <c r="AH1296" s="72"/>
      <c r="AK1296" s="72"/>
      <c r="AN1296" s="72"/>
      <c r="AQ1296" s="72"/>
      <c r="AT1296" s="72"/>
      <c r="AW1296" s="72"/>
      <c r="AZ1296" s="72"/>
    </row>
    <row r="1297" spans="1:52">
      <c r="A1297" s="131"/>
      <c r="B1297" s="72"/>
      <c r="D1297" s="72"/>
      <c r="G1297" s="72"/>
      <c r="J1297" s="72"/>
      <c r="M1297" s="72"/>
      <c r="P1297" s="72"/>
      <c r="S1297" s="72"/>
      <c r="V1297" s="72"/>
      <c r="Y1297" s="72"/>
      <c r="AB1297" s="72"/>
      <c r="AE1297" s="72"/>
      <c r="AH1297" s="72"/>
      <c r="AK1297" s="72"/>
      <c r="AN1297" s="72"/>
      <c r="AQ1297" s="72"/>
      <c r="AT1297" s="72"/>
      <c r="AW1297" s="72"/>
      <c r="AZ1297" s="72"/>
    </row>
    <row r="1298" spans="1:52">
      <c r="A1298" s="131"/>
      <c r="B1298" s="72"/>
      <c r="D1298" s="72"/>
      <c r="G1298" s="72"/>
      <c r="J1298" s="72"/>
      <c r="M1298" s="72"/>
      <c r="P1298" s="72"/>
      <c r="S1298" s="72"/>
      <c r="V1298" s="72"/>
      <c r="Y1298" s="72"/>
      <c r="AB1298" s="72"/>
      <c r="AE1298" s="72"/>
      <c r="AH1298" s="72"/>
      <c r="AK1298" s="72"/>
      <c r="AN1298" s="72"/>
      <c r="AQ1298" s="72"/>
      <c r="AT1298" s="72"/>
      <c r="AW1298" s="72"/>
      <c r="AZ1298" s="72"/>
    </row>
    <row r="1299" spans="1:52">
      <c r="A1299" s="131"/>
      <c r="B1299" s="72"/>
      <c r="D1299" s="72"/>
      <c r="G1299" s="72"/>
      <c r="J1299" s="72"/>
      <c r="M1299" s="72"/>
      <c r="P1299" s="72"/>
      <c r="S1299" s="72"/>
      <c r="V1299" s="72"/>
      <c r="Y1299" s="72"/>
      <c r="AB1299" s="72"/>
      <c r="AE1299" s="72"/>
      <c r="AH1299" s="72"/>
      <c r="AK1299" s="72"/>
      <c r="AN1299" s="72"/>
      <c r="AQ1299" s="72"/>
      <c r="AT1299" s="72"/>
      <c r="AW1299" s="72"/>
      <c r="AZ1299" s="72"/>
    </row>
    <row r="1300" spans="1:52">
      <c r="A1300" s="131"/>
      <c r="B1300" s="72"/>
      <c r="D1300" s="72"/>
      <c r="G1300" s="72"/>
      <c r="J1300" s="72"/>
      <c r="M1300" s="72"/>
      <c r="P1300" s="72"/>
      <c r="S1300" s="72"/>
      <c r="V1300" s="72"/>
      <c r="Y1300" s="72"/>
      <c r="AB1300" s="72"/>
      <c r="AE1300" s="72"/>
      <c r="AH1300" s="72"/>
      <c r="AK1300" s="72"/>
      <c r="AN1300" s="72"/>
      <c r="AQ1300" s="72"/>
      <c r="AT1300" s="72"/>
      <c r="AW1300" s="72"/>
      <c r="AZ1300" s="72"/>
    </row>
    <row r="1301" spans="1:52">
      <c r="A1301" s="131"/>
      <c r="B1301" s="72"/>
      <c r="D1301" s="72"/>
      <c r="G1301" s="72"/>
      <c r="J1301" s="72"/>
      <c r="M1301" s="72"/>
      <c r="P1301" s="72"/>
      <c r="S1301" s="72"/>
      <c r="V1301" s="72"/>
      <c r="Y1301" s="72"/>
      <c r="AB1301" s="72"/>
      <c r="AE1301" s="72"/>
      <c r="AH1301" s="72"/>
      <c r="AK1301" s="72"/>
      <c r="AN1301" s="72"/>
      <c r="AQ1301" s="72"/>
      <c r="AT1301" s="72"/>
      <c r="AW1301" s="72"/>
      <c r="AZ1301" s="72"/>
    </row>
    <row r="1302" spans="1:52">
      <c r="A1302" s="131"/>
      <c r="B1302" s="72"/>
      <c r="D1302" s="72"/>
      <c r="G1302" s="72"/>
      <c r="J1302" s="72"/>
      <c r="M1302" s="72"/>
      <c r="P1302" s="72"/>
      <c r="S1302" s="72"/>
      <c r="V1302" s="72"/>
      <c r="Y1302" s="72"/>
      <c r="AB1302" s="72"/>
      <c r="AE1302" s="72"/>
      <c r="AH1302" s="72"/>
      <c r="AK1302" s="72"/>
      <c r="AN1302" s="72"/>
      <c r="AQ1302" s="72"/>
      <c r="AT1302" s="72"/>
      <c r="AW1302" s="72"/>
      <c r="AZ1302" s="72"/>
    </row>
    <row r="1303" spans="1:52">
      <c r="A1303" s="131"/>
      <c r="B1303" s="72"/>
      <c r="D1303" s="72"/>
      <c r="G1303" s="72"/>
      <c r="J1303" s="72"/>
      <c r="M1303" s="72"/>
      <c r="P1303" s="72"/>
      <c r="S1303" s="72"/>
      <c r="V1303" s="72"/>
      <c r="Y1303" s="72"/>
      <c r="AB1303" s="72"/>
      <c r="AE1303" s="72"/>
      <c r="AH1303" s="72"/>
      <c r="AK1303" s="72"/>
      <c r="AN1303" s="72"/>
      <c r="AQ1303" s="72"/>
      <c r="AT1303" s="72"/>
      <c r="AW1303" s="72"/>
      <c r="AZ1303" s="72"/>
    </row>
    <row r="1304" spans="1:52">
      <c r="A1304" s="131"/>
      <c r="B1304" s="72"/>
      <c r="D1304" s="72"/>
      <c r="G1304" s="72"/>
      <c r="J1304" s="72"/>
      <c r="M1304" s="72"/>
      <c r="P1304" s="72"/>
      <c r="S1304" s="72"/>
      <c r="V1304" s="72"/>
      <c r="Y1304" s="72"/>
      <c r="AB1304" s="72"/>
      <c r="AE1304" s="72"/>
      <c r="AH1304" s="72"/>
      <c r="AK1304" s="72"/>
      <c r="AN1304" s="72"/>
      <c r="AQ1304" s="72"/>
      <c r="AT1304" s="72"/>
      <c r="AW1304" s="72"/>
      <c r="AZ1304" s="72"/>
    </row>
    <row r="1305" spans="1:52">
      <c r="A1305" s="131"/>
      <c r="B1305" s="72"/>
      <c r="D1305" s="72"/>
      <c r="G1305" s="72"/>
      <c r="J1305" s="72"/>
      <c r="M1305" s="72"/>
      <c r="P1305" s="72"/>
      <c r="S1305" s="72"/>
      <c r="V1305" s="72"/>
      <c r="Y1305" s="72"/>
      <c r="AB1305" s="72"/>
      <c r="AE1305" s="72"/>
      <c r="AH1305" s="72"/>
      <c r="AK1305" s="72"/>
      <c r="AN1305" s="72"/>
      <c r="AQ1305" s="72"/>
      <c r="AT1305" s="72"/>
      <c r="AW1305" s="72"/>
      <c r="AZ1305" s="72"/>
    </row>
    <row r="1306" spans="1:52">
      <c r="A1306" s="131"/>
      <c r="B1306" s="72"/>
      <c r="D1306" s="72"/>
      <c r="G1306" s="72"/>
      <c r="J1306" s="72"/>
      <c r="M1306" s="72"/>
      <c r="P1306" s="72"/>
      <c r="S1306" s="72"/>
      <c r="V1306" s="72"/>
      <c r="Y1306" s="72"/>
      <c r="AB1306" s="72"/>
      <c r="AE1306" s="72"/>
      <c r="AH1306" s="72"/>
      <c r="AK1306" s="72"/>
      <c r="AN1306" s="72"/>
      <c r="AQ1306" s="72"/>
      <c r="AT1306" s="72"/>
      <c r="AW1306" s="72"/>
      <c r="AZ1306" s="72"/>
    </row>
    <row r="1307" spans="1:52">
      <c r="A1307" s="131"/>
      <c r="B1307" s="72"/>
      <c r="D1307" s="72"/>
      <c r="G1307" s="72"/>
      <c r="J1307" s="72"/>
      <c r="M1307" s="72"/>
      <c r="P1307" s="72"/>
      <c r="S1307" s="72"/>
      <c r="V1307" s="72"/>
      <c r="Y1307" s="72"/>
      <c r="AB1307" s="72"/>
      <c r="AE1307" s="72"/>
      <c r="AH1307" s="72"/>
      <c r="AK1307" s="72"/>
      <c r="AN1307" s="72"/>
      <c r="AQ1307" s="72"/>
      <c r="AT1307" s="72"/>
      <c r="AW1307" s="72"/>
      <c r="AZ1307" s="72"/>
    </row>
    <row r="1308" spans="1:52">
      <c r="A1308" s="131"/>
      <c r="B1308" s="72"/>
      <c r="D1308" s="72"/>
      <c r="G1308" s="72"/>
      <c r="J1308" s="72"/>
      <c r="M1308" s="72"/>
      <c r="P1308" s="72"/>
      <c r="S1308" s="72"/>
      <c r="V1308" s="72"/>
      <c r="Y1308" s="72"/>
      <c r="AB1308" s="72"/>
      <c r="AE1308" s="72"/>
      <c r="AH1308" s="72"/>
      <c r="AK1308" s="72"/>
      <c r="AN1308" s="72"/>
      <c r="AQ1308" s="72"/>
      <c r="AT1308" s="72"/>
      <c r="AW1308" s="72"/>
      <c r="AZ1308" s="72"/>
    </row>
    <row r="1309" spans="1:52">
      <c r="A1309" s="131"/>
      <c r="B1309" s="72"/>
      <c r="D1309" s="72"/>
      <c r="G1309" s="72"/>
      <c r="J1309" s="72"/>
      <c r="M1309" s="72"/>
      <c r="P1309" s="72"/>
      <c r="S1309" s="72"/>
      <c r="V1309" s="72"/>
      <c r="Y1309" s="72"/>
      <c r="AB1309" s="72"/>
      <c r="AE1309" s="72"/>
      <c r="AH1309" s="72"/>
      <c r="AK1309" s="72"/>
      <c r="AN1309" s="72"/>
      <c r="AQ1309" s="72"/>
      <c r="AT1309" s="72"/>
      <c r="AW1309" s="72"/>
      <c r="AZ1309" s="72"/>
    </row>
    <row r="1310" spans="1:52">
      <c r="A1310" s="131"/>
      <c r="B1310" s="72"/>
      <c r="D1310" s="72"/>
      <c r="G1310" s="72"/>
      <c r="J1310" s="72"/>
      <c r="M1310" s="72"/>
      <c r="P1310" s="72"/>
      <c r="S1310" s="72"/>
      <c r="V1310" s="72"/>
      <c r="Y1310" s="72"/>
      <c r="AB1310" s="72"/>
      <c r="AE1310" s="72"/>
      <c r="AH1310" s="72"/>
      <c r="AK1310" s="72"/>
      <c r="AN1310" s="72"/>
      <c r="AQ1310" s="72"/>
      <c r="AT1310" s="72"/>
      <c r="AW1310" s="72"/>
      <c r="AZ1310" s="72"/>
    </row>
    <row r="1311" spans="1:52">
      <c r="A1311" s="131"/>
      <c r="B1311" s="72"/>
      <c r="D1311" s="72"/>
      <c r="G1311" s="72"/>
      <c r="J1311" s="72"/>
      <c r="M1311" s="72"/>
      <c r="P1311" s="72"/>
      <c r="S1311" s="72"/>
      <c r="V1311" s="72"/>
      <c r="Y1311" s="72"/>
      <c r="AB1311" s="72"/>
      <c r="AE1311" s="72"/>
      <c r="AH1311" s="72"/>
      <c r="AK1311" s="72"/>
      <c r="AN1311" s="72"/>
      <c r="AQ1311" s="72"/>
      <c r="AT1311" s="72"/>
      <c r="AW1311" s="72"/>
      <c r="AZ1311" s="72"/>
    </row>
    <row r="1312" spans="1:52">
      <c r="A1312" s="131"/>
      <c r="B1312" s="72"/>
      <c r="D1312" s="72"/>
      <c r="G1312" s="72"/>
      <c r="J1312" s="72"/>
      <c r="M1312" s="72"/>
      <c r="P1312" s="72"/>
      <c r="S1312" s="72"/>
      <c r="V1312" s="72"/>
      <c r="Y1312" s="72"/>
      <c r="AB1312" s="72"/>
      <c r="AE1312" s="72"/>
      <c r="AH1312" s="72"/>
      <c r="AK1312" s="72"/>
      <c r="AN1312" s="72"/>
      <c r="AQ1312" s="72"/>
      <c r="AT1312" s="72"/>
      <c r="AW1312" s="72"/>
      <c r="AZ1312" s="72"/>
    </row>
    <row r="1313" spans="1:52">
      <c r="A1313" s="131"/>
      <c r="B1313" s="72"/>
      <c r="D1313" s="72"/>
      <c r="G1313" s="72"/>
      <c r="J1313" s="72"/>
      <c r="M1313" s="72"/>
      <c r="P1313" s="72"/>
      <c r="S1313" s="72"/>
      <c r="V1313" s="72"/>
      <c r="Y1313" s="72"/>
      <c r="AB1313" s="72"/>
      <c r="AE1313" s="72"/>
      <c r="AH1313" s="72"/>
      <c r="AK1313" s="72"/>
      <c r="AN1313" s="72"/>
      <c r="AQ1313" s="72"/>
      <c r="AT1313" s="72"/>
      <c r="AW1313" s="72"/>
      <c r="AZ1313" s="72"/>
    </row>
    <row r="1314" spans="1:52">
      <c r="A1314" s="131"/>
      <c r="B1314" s="72"/>
      <c r="D1314" s="72"/>
      <c r="G1314" s="72"/>
      <c r="J1314" s="72"/>
      <c r="M1314" s="72"/>
      <c r="P1314" s="72"/>
      <c r="S1314" s="72"/>
      <c r="V1314" s="72"/>
      <c r="Y1314" s="72"/>
      <c r="AB1314" s="72"/>
      <c r="AE1314" s="72"/>
      <c r="AH1314" s="72"/>
      <c r="AK1314" s="72"/>
      <c r="AN1314" s="72"/>
      <c r="AQ1314" s="72"/>
      <c r="AT1314" s="72"/>
      <c r="AW1314" s="72"/>
      <c r="AZ1314" s="72"/>
    </row>
    <row r="1315" spans="1:52">
      <c r="A1315" s="131"/>
      <c r="B1315" s="72"/>
      <c r="D1315" s="72"/>
      <c r="G1315" s="72"/>
      <c r="J1315" s="72"/>
      <c r="M1315" s="72"/>
      <c r="P1315" s="72"/>
      <c r="S1315" s="72"/>
      <c r="V1315" s="72"/>
      <c r="Y1315" s="72"/>
      <c r="AB1315" s="72"/>
      <c r="AE1315" s="72"/>
      <c r="AH1315" s="72"/>
      <c r="AK1315" s="72"/>
      <c r="AN1315" s="72"/>
      <c r="AQ1315" s="72"/>
      <c r="AT1315" s="72"/>
      <c r="AW1315" s="72"/>
      <c r="AZ1315" s="72"/>
    </row>
    <row r="1316" spans="1:52">
      <c r="A1316" s="131"/>
      <c r="B1316" s="72"/>
      <c r="D1316" s="72"/>
      <c r="G1316" s="72"/>
      <c r="J1316" s="72"/>
      <c r="M1316" s="72"/>
      <c r="P1316" s="72"/>
      <c r="S1316" s="72"/>
      <c r="V1316" s="72"/>
      <c r="Y1316" s="72"/>
      <c r="AB1316" s="72"/>
      <c r="AE1316" s="72"/>
      <c r="AH1316" s="72"/>
      <c r="AK1316" s="72"/>
      <c r="AN1316" s="72"/>
      <c r="AQ1316" s="72"/>
      <c r="AT1316" s="72"/>
      <c r="AW1316" s="72"/>
      <c r="AZ1316" s="72"/>
    </row>
    <row r="1317" spans="1:52">
      <c r="A1317" s="131"/>
      <c r="B1317" s="72"/>
      <c r="D1317" s="72"/>
      <c r="G1317" s="72"/>
      <c r="J1317" s="72"/>
      <c r="M1317" s="72"/>
      <c r="P1317" s="72"/>
      <c r="S1317" s="72"/>
      <c r="V1317" s="72"/>
      <c r="Y1317" s="72"/>
      <c r="AB1317" s="72"/>
      <c r="AE1317" s="72"/>
      <c r="AH1317" s="72"/>
      <c r="AK1317" s="72"/>
      <c r="AN1317" s="72"/>
      <c r="AQ1317" s="72"/>
      <c r="AT1317" s="72"/>
      <c r="AW1317" s="72"/>
      <c r="AZ1317" s="72"/>
    </row>
    <row r="1318" spans="1:52">
      <c r="A1318" s="131"/>
      <c r="B1318" s="72"/>
      <c r="D1318" s="72"/>
      <c r="G1318" s="72"/>
      <c r="J1318" s="72"/>
      <c r="M1318" s="72"/>
      <c r="P1318" s="72"/>
      <c r="S1318" s="72"/>
      <c r="V1318" s="72"/>
      <c r="Y1318" s="72"/>
      <c r="AB1318" s="72"/>
      <c r="AE1318" s="72"/>
      <c r="AH1318" s="72"/>
      <c r="AK1318" s="72"/>
      <c r="AN1318" s="72"/>
      <c r="AQ1318" s="72"/>
      <c r="AT1318" s="72"/>
      <c r="AW1318" s="72"/>
      <c r="AZ1318" s="72"/>
    </row>
    <row r="1319" spans="1:52">
      <c r="A1319" s="131"/>
      <c r="B1319" s="72"/>
      <c r="D1319" s="72"/>
      <c r="G1319" s="72"/>
      <c r="J1319" s="72"/>
      <c r="M1319" s="72"/>
      <c r="P1319" s="72"/>
      <c r="S1319" s="72"/>
      <c r="V1319" s="72"/>
      <c r="Y1319" s="72"/>
      <c r="AB1319" s="72"/>
      <c r="AE1319" s="72"/>
      <c r="AH1319" s="72"/>
      <c r="AK1319" s="72"/>
      <c r="AN1319" s="72"/>
      <c r="AQ1319" s="72"/>
      <c r="AT1319" s="72"/>
      <c r="AW1319" s="72"/>
      <c r="AZ1319" s="72"/>
    </row>
    <row r="1320" spans="1:52">
      <c r="A1320" s="131"/>
      <c r="B1320" s="72"/>
      <c r="D1320" s="72"/>
      <c r="G1320" s="72"/>
      <c r="J1320" s="72"/>
      <c r="M1320" s="72"/>
      <c r="P1320" s="72"/>
      <c r="S1320" s="72"/>
      <c r="V1320" s="72"/>
      <c r="Y1320" s="72"/>
      <c r="AB1320" s="72"/>
      <c r="AE1320" s="72"/>
      <c r="AH1320" s="72"/>
      <c r="AK1320" s="72"/>
      <c r="AN1320" s="72"/>
      <c r="AQ1320" s="72"/>
      <c r="AT1320" s="72"/>
      <c r="AW1320" s="72"/>
      <c r="AZ1320" s="72"/>
    </row>
    <row r="1321" spans="1:52">
      <c r="A1321" s="131"/>
      <c r="B1321" s="72"/>
      <c r="D1321" s="72"/>
      <c r="G1321" s="72"/>
      <c r="J1321" s="72"/>
      <c r="M1321" s="72"/>
      <c r="P1321" s="72"/>
      <c r="S1321" s="72"/>
      <c r="V1321" s="72"/>
      <c r="Y1321" s="72"/>
      <c r="AB1321" s="72"/>
      <c r="AE1321" s="72"/>
      <c r="AH1321" s="72"/>
      <c r="AK1321" s="72"/>
      <c r="AN1321" s="72"/>
      <c r="AQ1321" s="72"/>
      <c r="AT1321" s="72"/>
      <c r="AW1321" s="72"/>
      <c r="AZ1321" s="72"/>
    </row>
    <row r="1322" spans="1:52">
      <c r="A1322" s="131"/>
      <c r="B1322" s="72"/>
      <c r="D1322" s="72"/>
      <c r="G1322" s="72"/>
      <c r="J1322" s="72"/>
      <c r="M1322" s="72"/>
      <c r="P1322" s="72"/>
      <c r="S1322" s="72"/>
      <c r="V1322" s="72"/>
      <c r="Y1322" s="72"/>
      <c r="AB1322" s="72"/>
      <c r="AE1322" s="72"/>
      <c r="AH1322" s="72"/>
      <c r="AK1322" s="72"/>
      <c r="AN1322" s="72"/>
      <c r="AQ1322" s="72"/>
      <c r="AT1322" s="72"/>
      <c r="AW1322" s="72"/>
      <c r="AZ1322" s="72"/>
    </row>
    <row r="1323" spans="1:52">
      <c r="A1323" s="131"/>
      <c r="B1323" s="72"/>
      <c r="D1323" s="72"/>
      <c r="G1323" s="72"/>
      <c r="J1323" s="72"/>
      <c r="M1323" s="72"/>
      <c r="P1323" s="72"/>
      <c r="S1323" s="72"/>
      <c r="V1323" s="72"/>
      <c r="Y1323" s="72"/>
      <c r="AB1323" s="72"/>
      <c r="AE1323" s="72"/>
      <c r="AH1323" s="72"/>
      <c r="AK1323" s="72"/>
      <c r="AN1323" s="72"/>
      <c r="AQ1323" s="72"/>
      <c r="AT1323" s="72"/>
      <c r="AW1323" s="72"/>
      <c r="AZ1323" s="72"/>
    </row>
    <row r="1324" spans="1:52">
      <c r="A1324" s="131"/>
      <c r="B1324" s="72"/>
      <c r="D1324" s="72"/>
      <c r="G1324" s="72"/>
      <c r="J1324" s="72"/>
      <c r="M1324" s="72"/>
      <c r="P1324" s="72"/>
      <c r="S1324" s="72"/>
      <c r="V1324" s="72"/>
      <c r="Y1324" s="72"/>
      <c r="AB1324" s="72"/>
      <c r="AE1324" s="72"/>
      <c r="AH1324" s="72"/>
      <c r="AK1324" s="72"/>
      <c r="AN1324" s="72"/>
      <c r="AQ1324" s="72"/>
      <c r="AT1324" s="72"/>
      <c r="AW1324" s="72"/>
      <c r="AZ1324" s="72"/>
    </row>
    <row r="1325" spans="1:52">
      <c r="A1325" s="131"/>
      <c r="B1325" s="72"/>
      <c r="D1325" s="72"/>
      <c r="G1325" s="72"/>
      <c r="J1325" s="72"/>
      <c r="M1325" s="72"/>
      <c r="P1325" s="72"/>
      <c r="S1325" s="72"/>
      <c r="V1325" s="72"/>
      <c r="Y1325" s="72"/>
      <c r="AB1325" s="72"/>
      <c r="AE1325" s="72"/>
      <c r="AH1325" s="72"/>
      <c r="AK1325" s="72"/>
      <c r="AN1325" s="72"/>
      <c r="AQ1325" s="72"/>
      <c r="AT1325" s="72"/>
      <c r="AW1325" s="72"/>
      <c r="AZ1325" s="72"/>
    </row>
    <row r="1326" spans="1:52">
      <c r="A1326" s="131"/>
      <c r="B1326" s="72"/>
      <c r="D1326" s="72"/>
      <c r="G1326" s="72"/>
      <c r="J1326" s="72"/>
      <c r="M1326" s="72"/>
      <c r="P1326" s="72"/>
      <c r="S1326" s="72"/>
      <c r="V1326" s="72"/>
      <c r="Y1326" s="72"/>
      <c r="AB1326" s="72"/>
      <c r="AE1326" s="72"/>
      <c r="AH1326" s="72"/>
      <c r="AK1326" s="72"/>
      <c r="AN1326" s="72"/>
      <c r="AQ1326" s="72"/>
      <c r="AT1326" s="72"/>
      <c r="AW1326" s="72"/>
      <c r="AZ1326" s="72"/>
    </row>
    <row r="1327" spans="1:52">
      <c r="A1327" s="131"/>
      <c r="B1327" s="72"/>
      <c r="D1327" s="72"/>
      <c r="G1327" s="72"/>
      <c r="J1327" s="72"/>
      <c r="M1327" s="72"/>
      <c r="P1327" s="72"/>
      <c r="S1327" s="72"/>
      <c r="V1327" s="72"/>
      <c r="Y1327" s="72"/>
      <c r="AB1327" s="72"/>
      <c r="AE1327" s="72"/>
      <c r="AH1327" s="72"/>
      <c r="AK1327" s="72"/>
      <c r="AN1327" s="72"/>
      <c r="AQ1327" s="72"/>
      <c r="AT1327" s="72"/>
      <c r="AW1327" s="72"/>
      <c r="AZ1327" s="72"/>
    </row>
    <row r="1328" spans="1:52">
      <c r="A1328" s="131"/>
      <c r="B1328" s="72"/>
      <c r="D1328" s="72"/>
      <c r="G1328" s="72"/>
      <c r="J1328" s="72"/>
      <c r="M1328" s="72"/>
      <c r="P1328" s="72"/>
      <c r="S1328" s="72"/>
      <c r="V1328" s="72"/>
      <c r="Y1328" s="72"/>
      <c r="AB1328" s="72"/>
      <c r="AE1328" s="72"/>
      <c r="AH1328" s="72"/>
      <c r="AK1328" s="72"/>
      <c r="AN1328" s="72"/>
      <c r="AQ1328" s="72"/>
      <c r="AT1328" s="72"/>
      <c r="AW1328" s="72"/>
      <c r="AZ1328" s="72"/>
    </row>
    <row r="1329" spans="1:52">
      <c r="A1329" s="131"/>
      <c r="B1329" s="72"/>
      <c r="D1329" s="72"/>
      <c r="G1329" s="72"/>
      <c r="J1329" s="72"/>
      <c r="M1329" s="72"/>
      <c r="P1329" s="72"/>
      <c r="S1329" s="72"/>
      <c r="V1329" s="72"/>
      <c r="Y1329" s="72"/>
      <c r="AB1329" s="72"/>
      <c r="AE1329" s="72"/>
      <c r="AH1329" s="72"/>
      <c r="AK1329" s="72"/>
      <c r="AN1329" s="72"/>
      <c r="AQ1329" s="72"/>
      <c r="AT1329" s="72"/>
      <c r="AW1329" s="72"/>
      <c r="AZ1329" s="72"/>
    </row>
    <row r="1330" spans="1:52">
      <c r="A1330" s="131"/>
      <c r="B1330" s="72"/>
      <c r="D1330" s="72"/>
      <c r="G1330" s="72"/>
      <c r="J1330" s="72"/>
      <c r="M1330" s="72"/>
      <c r="P1330" s="72"/>
      <c r="S1330" s="72"/>
      <c r="V1330" s="72"/>
      <c r="Y1330" s="72"/>
      <c r="AB1330" s="72"/>
      <c r="AE1330" s="72"/>
      <c r="AH1330" s="72"/>
      <c r="AK1330" s="72"/>
      <c r="AN1330" s="72"/>
      <c r="AQ1330" s="72"/>
      <c r="AT1330" s="72"/>
      <c r="AW1330" s="72"/>
      <c r="AZ1330" s="72"/>
    </row>
    <row r="1331" spans="1:52">
      <c r="A1331" s="131"/>
      <c r="B1331" s="72"/>
      <c r="D1331" s="72"/>
      <c r="G1331" s="72"/>
      <c r="J1331" s="72"/>
      <c r="M1331" s="72"/>
      <c r="P1331" s="72"/>
      <c r="S1331" s="72"/>
      <c r="V1331" s="72"/>
      <c r="Y1331" s="72"/>
      <c r="AB1331" s="72"/>
      <c r="AE1331" s="72"/>
      <c r="AH1331" s="72"/>
      <c r="AK1331" s="72"/>
      <c r="AN1331" s="72"/>
      <c r="AQ1331" s="72"/>
      <c r="AT1331" s="72"/>
      <c r="AW1331" s="72"/>
      <c r="AZ1331" s="72"/>
    </row>
    <row r="1332" spans="1:52">
      <c r="A1332" s="131"/>
      <c r="B1332" s="72"/>
      <c r="D1332" s="72"/>
      <c r="G1332" s="72"/>
      <c r="J1332" s="72"/>
      <c r="M1332" s="72"/>
      <c r="P1332" s="72"/>
      <c r="S1332" s="72"/>
      <c r="V1332" s="72"/>
      <c r="Y1332" s="72"/>
      <c r="AB1332" s="72"/>
      <c r="AE1332" s="72"/>
      <c r="AH1332" s="72"/>
      <c r="AK1332" s="72"/>
      <c r="AN1332" s="72"/>
      <c r="AQ1332" s="72"/>
      <c r="AT1332" s="72"/>
      <c r="AW1332" s="72"/>
      <c r="AZ1332" s="72"/>
    </row>
    <row r="1333" spans="1:52">
      <c r="A1333" s="131"/>
      <c r="B1333" s="72"/>
      <c r="D1333" s="72"/>
      <c r="G1333" s="72"/>
      <c r="J1333" s="72"/>
      <c r="M1333" s="72"/>
      <c r="P1333" s="72"/>
      <c r="S1333" s="72"/>
      <c r="V1333" s="72"/>
      <c r="Y1333" s="72"/>
      <c r="AB1333" s="72"/>
      <c r="AE1333" s="72"/>
      <c r="AH1333" s="72"/>
      <c r="AK1333" s="72"/>
      <c r="AN1333" s="72"/>
      <c r="AQ1333" s="72"/>
      <c r="AT1333" s="72"/>
      <c r="AW1333" s="72"/>
      <c r="AZ1333" s="72"/>
    </row>
    <row r="1334" spans="1:52">
      <c r="A1334" s="131"/>
      <c r="B1334" s="72"/>
      <c r="D1334" s="72"/>
      <c r="G1334" s="72"/>
      <c r="J1334" s="72"/>
      <c r="M1334" s="72"/>
      <c r="P1334" s="72"/>
      <c r="S1334" s="72"/>
      <c r="V1334" s="72"/>
      <c r="Y1334" s="72"/>
      <c r="AB1334" s="72"/>
      <c r="AE1334" s="72"/>
      <c r="AH1334" s="72"/>
      <c r="AK1334" s="72"/>
      <c r="AN1334" s="72"/>
      <c r="AQ1334" s="72"/>
      <c r="AT1334" s="72"/>
      <c r="AW1334" s="72"/>
      <c r="AZ1334" s="72"/>
    </row>
    <row r="1335" spans="1:52">
      <c r="A1335" s="131"/>
      <c r="B1335" s="72"/>
      <c r="D1335" s="72"/>
      <c r="G1335" s="72"/>
      <c r="J1335" s="72"/>
      <c r="M1335" s="72"/>
      <c r="P1335" s="72"/>
      <c r="S1335" s="72"/>
      <c r="V1335" s="72"/>
      <c r="Y1335" s="72"/>
      <c r="AB1335" s="72"/>
      <c r="AE1335" s="72"/>
      <c r="AH1335" s="72"/>
      <c r="AK1335" s="72"/>
      <c r="AN1335" s="72"/>
      <c r="AQ1335" s="72"/>
      <c r="AT1335" s="72"/>
      <c r="AW1335" s="72"/>
      <c r="AZ1335" s="72"/>
    </row>
    <row r="1336" spans="1:52">
      <c r="A1336" s="131"/>
      <c r="B1336" s="72"/>
      <c r="D1336" s="72"/>
      <c r="G1336" s="72"/>
      <c r="J1336" s="72"/>
      <c r="M1336" s="72"/>
      <c r="P1336" s="72"/>
      <c r="S1336" s="72"/>
      <c r="V1336" s="72"/>
      <c r="Y1336" s="72"/>
      <c r="AB1336" s="72"/>
      <c r="AE1336" s="72"/>
      <c r="AH1336" s="72"/>
      <c r="AK1336" s="72"/>
      <c r="AN1336" s="72"/>
      <c r="AQ1336" s="72"/>
      <c r="AT1336" s="72"/>
      <c r="AW1336" s="72"/>
      <c r="AZ1336" s="72"/>
    </row>
    <row r="1337" spans="1:52">
      <c r="A1337" s="131"/>
      <c r="B1337" s="72"/>
      <c r="D1337" s="72"/>
      <c r="G1337" s="72"/>
      <c r="J1337" s="72"/>
      <c r="M1337" s="72"/>
      <c r="P1337" s="72"/>
      <c r="S1337" s="72"/>
      <c r="V1337" s="72"/>
      <c r="Y1337" s="72"/>
      <c r="AB1337" s="72"/>
      <c r="AE1337" s="72"/>
      <c r="AH1337" s="72"/>
      <c r="AK1337" s="72"/>
      <c r="AN1337" s="72"/>
      <c r="AQ1337" s="72"/>
      <c r="AT1337" s="72"/>
      <c r="AW1337" s="72"/>
      <c r="AZ1337" s="72"/>
    </row>
    <row r="1338" spans="1:52">
      <c r="A1338" s="131"/>
      <c r="B1338" s="72"/>
      <c r="D1338" s="72"/>
      <c r="G1338" s="72"/>
      <c r="J1338" s="72"/>
      <c r="M1338" s="72"/>
      <c r="P1338" s="72"/>
      <c r="S1338" s="72"/>
      <c r="V1338" s="72"/>
      <c r="Y1338" s="72"/>
      <c r="AB1338" s="72"/>
      <c r="AE1338" s="72"/>
      <c r="AH1338" s="72"/>
      <c r="AK1338" s="72"/>
      <c r="AN1338" s="72"/>
      <c r="AQ1338" s="72"/>
      <c r="AT1338" s="72"/>
      <c r="AW1338" s="72"/>
      <c r="AZ1338" s="72"/>
    </row>
    <row r="1339" spans="1:52">
      <c r="A1339" s="131"/>
      <c r="B1339" s="72"/>
      <c r="D1339" s="72"/>
      <c r="G1339" s="72"/>
      <c r="J1339" s="72"/>
      <c r="M1339" s="72"/>
      <c r="P1339" s="72"/>
      <c r="S1339" s="72"/>
      <c r="V1339" s="72"/>
      <c r="Y1339" s="72"/>
      <c r="AB1339" s="72"/>
      <c r="AE1339" s="72"/>
      <c r="AH1339" s="72"/>
      <c r="AK1339" s="72"/>
      <c r="AN1339" s="72"/>
      <c r="AQ1339" s="72"/>
      <c r="AT1339" s="72"/>
      <c r="AW1339" s="72"/>
      <c r="AZ1339" s="72"/>
    </row>
    <row r="1340" spans="1:52">
      <c r="A1340" s="131"/>
      <c r="B1340" s="72"/>
      <c r="D1340" s="72"/>
      <c r="G1340" s="72"/>
      <c r="J1340" s="72"/>
      <c r="M1340" s="72"/>
      <c r="P1340" s="72"/>
      <c r="S1340" s="72"/>
      <c r="V1340" s="72"/>
      <c r="Y1340" s="72"/>
      <c r="AB1340" s="72"/>
      <c r="AE1340" s="72"/>
      <c r="AH1340" s="72"/>
      <c r="AK1340" s="72"/>
      <c r="AN1340" s="72"/>
      <c r="AQ1340" s="72"/>
      <c r="AT1340" s="72"/>
      <c r="AW1340" s="72"/>
      <c r="AZ1340" s="72"/>
    </row>
    <row r="1341" spans="1:52">
      <c r="A1341" s="131"/>
      <c r="B1341" s="72"/>
      <c r="D1341" s="72"/>
      <c r="G1341" s="72"/>
      <c r="J1341" s="72"/>
      <c r="M1341" s="72"/>
      <c r="P1341" s="72"/>
      <c r="S1341" s="72"/>
      <c r="V1341" s="72"/>
      <c r="Y1341" s="72"/>
      <c r="AB1341" s="72"/>
      <c r="AE1341" s="72"/>
      <c r="AH1341" s="72"/>
      <c r="AK1341" s="72"/>
      <c r="AN1341" s="72"/>
      <c r="AQ1341" s="72"/>
      <c r="AT1341" s="72"/>
      <c r="AW1341" s="72"/>
      <c r="AZ1341" s="72"/>
    </row>
    <row r="1342" spans="1:52">
      <c r="A1342" s="131"/>
      <c r="B1342" s="72"/>
      <c r="D1342" s="72"/>
      <c r="G1342" s="72"/>
      <c r="J1342" s="72"/>
      <c r="M1342" s="72"/>
      <c r="P1342" s="72"/>
      <c r="S1342" s="72"/>
      <c r="V1342" s="72"/>
      <c r="Y1342" s="72"/>
      <c r="AB1342" s="72"/>
      <c r="AE1342" s="72"/>
      <c r="AH1342" s="72"/>
      <c r="AK1342" s="72"/>
      <c r="AN1342" s="72"/>
      <c r="AQ1342" s="72"/>
      <c r="AT1342" s="72"/>
      <c r="AW1342" s="72"/>
      <c r="AZ1342" s="72"/>
    </row>
    <row r="1343" spans="1:52">
      <c r="A1343" s="131"/>
      <c r="B1343" s="72"/>
      <c r="D1343" s="72"/>
      <c r="G1343" s="72"/>
      <c r="J1343" s="72"/>
      <c r="M1343" s="72"/>
      <c r="P1343" s="72"/>
      <c r="S1343" s="72"/>
      <c r="V1343" s="72"/>
      <c r="Y1343" s="72"/>
      <c r="AB1343" s="72"/>
      <c r="AE1343" s="72"/>
      <c r="AH1343" s="72"/>
      <c r="AK1343" s="72"/>
      <c r="AN1343" s="72"/>
      <c r="AQ1343" s="72"/>
      <c r="AT1343" s="72"/>
      <c r="AW1343" s="72"/>
      <c r="AZ1343" s="72"/>
    </row>
    <row r="1344" spans="1:52">
      <c r="A1344" s="131"/>
      <c r="B1344" s="72"/>
      <c r="D1344" s="72"/>
      <c r="G1344" s="72"/>
      <c r="J1344" s="72"/>
      <c r="M1344" s="72"/>
      <c r="P1344" s="72"/>
      <c r="S1344" s="72"/>
      <c r="V1344" s="72"/>
      <c r="Y1344" s="72"/>
      <c r="AB1344" s="72"/>
      <c r="AE1344" s="72"/>
      <c r="AH1344" s="72"/>
      <c r="AK1344" s="72"/>
      <c r="AN1344" s="72"/>
      <c r="AQ1344" s="72"/>
      <c r="AT1344" s="72"/>
      <c r="AW1344" s="72"/>
      <c r="AZ1344" s="72"/>
    </row>
    <row r="1345" spans="1:52">
      <c r="A1345" s="131"/>
      <c r="B1345" s="72"/>
      <c r="D1345" s="72"/>
      <c r="G1345" s="72"/>
      <c r="J1345" s="72"/>
      <c r="M1345" s="72"/>
      <c r="P1345" s="72"/>
      <c r="S1345" s="72"/>
      <c r="V1345" s="72"/>
      <c r="Y1345" s="72"/>
      <c r="AB1345" s="72"/>
      <c r="AE1345" s="72"/>
      <c r="AH1345" s="72"/>
      <c r="AK1345" s="72"/>
      <c r="AN1345" s="72"/>
      <c r="AQ1345" s="72"/>
      <c r="AT1345" s="72"/>
      <c r="AW1345" s="72"/>
      <c r="AZ1345" s="72"/>
    </row>
    <row r="1346" spans="1:52">
      <c r="A1346" s="131"/>
      <c r="B1346" s="72"/>
      <c r="D1346" s="72"/>
      <c r="G1346" s="72"/>
      <c r="J1346" s="72"/>
      <c r="M1346" s="72"/>
      <c r="P1346" s="72"/>
      <c r="S1346" s="72"/>
      <c r="V1346" s="72"/>
      <c r="Y1346" s="72"/>
      <c r="AB1346" s="72"/>
      <c r="AE1346" s="72"/>
      <c r="AH1346" s="72"/>
      <c r="AK1346" s="72"/>
      <c r="AN1346" s="72"/>
      <c r="AQ1346" s="72"/>
      <c r="AT1346" s="72"/>
      <c r="AW1346" s="72"/>
      <c r="AZ1346" s="72"/>
    </row>
    <row r="1347" spans="1:52">
      <c r="A1347" s="131"/>
      <c r="B1347" s="72"/>
      <c r="D1347" s="72"/>
      <c r="G1347" s="72"/>
      <c r="J1347" s="72"/>
      <c r="M1347" s="72"/>
      <c r="P1347" s="72"/>
      <c r="S1347" s="72"/>
      <c r="V1347" s="72"/>
      <c r="Y1347" s="72"/>
      <c r="AB1347" s="72"/>
      <c r="AE1347" s="72"/>
      <c r="AH1347" s="72"/>
      <c r="AK1347" s="72"/>
      <c r="AN1347" s="72"/>
      <c r="AQ1347" s="72"/>
      <c r="AT1347" s="72"/>
      <c r="AW1347" s="72"/>
      <c r="AZ1347" s="72"/>
    </row>
    <row r="1348" spans="1:52">
      <c r="A1348" s="131"/>
      <c r="B1348" s="72"/>
      <c r="D1348" s="72"/>
      <c r="G1348" s="72"/>
      <c r="J1348" s="72"/>
      <c r="M1348" s="72"/>
      <c r="P1348" s="72"/>
      <c r="S1348" s="72"/>
      <c r="V1348" s="72"/>
      <c r="Y1348" s="72"/>
      <c r="AB1348" s="72"/>
      <c r="AE1348" s="72"/>
      <c r="AH1348" s="72"/>
      <c r="AK1348" s="72"/>
      <c r="AN1348" s="72"/>
      <c r="AQ1348" s="72"/>
      <c r="AT1348" s="72"/>
      <c r="AW1348" s="72"/>
      <c r="AZ1348" s="72"/>
    </row>
    <row r="1349" spans="1:52">
      <c r="A1349" s="131"/>
      <c r="B1349" s="72"/>
      <c r="D1349" s="72"/>
      <c r="G1349" s="72"/>
      <c r="J1349" s="72"/>
      <c r="M1349" s="72"/>
      <c r="P1349" s="72"/>
      <c r="S1349" s="72"/>
      <c r="V1349" s="72"/>
      <c r="Y1349" s="72"/>
      <c r="AB1349" s="72"/>
      <c r="AE1349" s="72"/>
      <c r="AH1349" s="72"/>
      <c r="AK1349" s="72"/>
      <c r="AN1349" s="72"/>
      <c r="AQ1349" s="72"/>
      <c r="AT1349" s="72"/>
      <c r="AW1349" s="72"/>
      <c r="AZ1349" s="72"/>
    </row>
    <row r="1350" spans="1:52">
      <c r="A1350" s="131"/>
      <c r="B1350" s="72"/>
      <c r="D1350" s="72"/>
      <c r="G1350" s="72"/>
      <c r="J1350" s="72"/>
      <c r="M1350" s="72"/>
      <c r="P1350" s="72"/>
      <c r="S1350" s="72"/>
      <c r="V1350" s="72"/>
      <c r="Y1350" s="72"/>
      <c r="AB1350" s="72"/>
      <c r="AE1350" s="72"/>
      <c r="AH1350" s="72"/>
      <c r="AK1350" s="72"/>
      <c r="AN1350" s="72"/>
      <c r="AQ1350" s="72"/>
      <c r="AT1350" s="72"/>
      <c r="AW1350" s="72"/>
      <c r="AZ1350" s="72"/>
    </row>
    <row r="1351" spans="1:52">
      <c r="A1351" s="131"/>
      <c r="B1351" s="72"/>
      <c r="D1351" s="72"/>
      <c r="G1351" s="72"/>
      <c r="J1351" s="72"/>
      <c r="M1351" s="72"/>
      <c r="P1351" s="72"/>
      <c r="S1351" s="72"/>
      <c r="V1351" s="72"/>
      <c r="Y1351" s="72"/>
      <c r="AB1351" s="72"/>
      <c r="AE1351" s="72"/>
      <c r="AH1351" s="72"/>
      <c r="AK1351" s="72"/>
      <c r="AN1351" s="72"/>
      <c r="AQ1351" s="72"/>
      <c r="AT1351" s="72"/>
      <c r="AW1351" s="72"/>
      <c r="AZ1351" s="72"/>
    </row>
    <row r="1352" spans="1:52">
      <c r="A1352" s="131"/>
      <c r="B1352" s="72"/>
      <c r="D1352" s="72"/>
      <c r="G1352" s="72"/>
      <c r="J1352" s="72"/>
      <c r="M1352" s="72"/>
      <c r="P1352" s="72"/>
      <c r="S1352" s="72"/>
      <c r="V1352" s="72"/>
      <c r="Y1352" s="72"/>
      <c r="AB1352" s="72"/>
      <c r="AE1352" s="72"/>
      <c r="AH1352" s="72"/>
      <c r="AK1352" s="72"/>
      <c r="AN1352" s="72"/>
      <c r="AQ1352" s="72"/>
      <c r="AT1352" s="72"/>
      <c r="AW1352" s="72"/>
      <c r="AZ1352" s="72"/>
    </row>
    <row r="1353" spans="1:52">
      <c r="A1353" s="131"/>
      <c r="B1353" s="72"/>
      <c r="D1353" s="72"/>
      <c r="G1353" s="72"/>
      <c r="J1353" s="72"/>
      <c r="M1353" s="72"/>
      <c r="P1353" s="72"/>
      <c r="S1353" s="72"/>
      <c r="V1353" s="72"/>
      <c r="Y1353" s="72"/>
      <c r="AB1353" s="72"/>
      <c r="AE1353" s="72"/>
      <c r="AH1353" s="72"/>
      <c r="AK1353" s="72"/>
      <c r="AN1353" s="72"/>
      <c r="AQ1353" s="72"/>
      <c r="AT1353" s="72"/>
      <c r="AW1353" s="72"/>
      <c r="AZ1353" s="72"/>
    </row>
    <row r="1354" spans="1:52">
      <c r="A1354" s="131"/>
      <c r="B1354" s="72"/>
      <c r="D1354" s="72"/>
      <c r="G1354" s="72"/>
      <c r="J1354" s="72"/>
      <c r="M1354" s="72"/>
      <c r="P1354" s="72"/>
      <c r="S1354" s="72"/>
      <c r="V1354" s="72"/>
      <c r="Y1354" s="72"/>
      <c r="AB1354" s="72"/>
      <c r="AE1354" s="72"/>
      <c r="AH1354" s="72"/>
      <c r="AK1354" s="72"/>
      <c r="AN1354" s="72"/>
      <c r="AQ1354" s="72"/>
      <c r="AT1354" s="72"/>
      <c r="AW1354" s="72"/>
      <c r="AZ1354" s="72"/>
    </row>
    <row r="1355" spans="1:52">
      <c r="A1355" s="131"/>
      <c r="B1355" s="72"/>
      <c r="D1355" s="72"/>
      <c r="G1355" s="72"/>
      <c r="J1355" s="72"/>
      <c r="M1355" s="72"/>
      <c r="P1355" s="72"/>
      <c r="S1355" s="72"/>
      <c r="V1355" s="72"/>
      <c r="Y1355" s="72"/>
      <c r="AB1355" s="72"/>
      <c r="AE1355" s="72"/>
      <c r="AH1355" s="72"/>
      <c r="AK1355" s="72"/>
      <c r="AN1355" s="72"/>
      <c r="AQ1355" s="72"/>
      <c r="AT1355" s="72"/>
      <c r="AW1355" s="72"/>
      <c r="AZ1355" s="72"/>
    </row>
    <row r="1356" spans="1:52">
      <c r="A1356" s="131"/>
      <c r="B1356" s="72"/>
      <c r="D1356" s="72"/>
      <c r="G1356" s="72"/>
      <c r="J1356" s="72"/>
      <c r="M1356" s="72"/>
      <c r="P1356" s="72"/>
      <c r="S1356" s="72"/>
      <c r="V1356" s="72"/>
      <c r="Y1356" s="72"/>
      <c r="AB1356" s="72"/>
      <c r="AE1356" s="72"/>
      <c r="AH1356" s="72"/>
      <c r="AK1356" s="72"/>
      <c r="AN1356" s="72"/>
      <c r="AQ1356" s="72"/>
      <c r="AT1356" s="72"/>
      <c r="AW1356" s="72"/>
      <c r="AZ1356" s="72"/>
    </row>
    <row r="1357" spans="1:52">
      <c r="A1357" s="131"/>
      <c r="B1357" s="72"/>
      <c r="D1357" s="72"/>
      <c r="G1357" s="72"/>
      <c r="J1357" s="72"/>
      <c r="M1357" s="72"/>
      <c r="P1357" s="72"/>
      <c r="S1357" s="72"/>
      <c r="V1357" s="72"/>
      <c r="Y1357" s="72"/>
      <c r="AB1357" s="72"/>
      <c r="AE1357" s="72"/>
      <c r="AH1357" s="72"/>
      <c r="AK1357" s="72"/>
      <c r="AN1357" s="72"/>
      <c r="AQ1357" s="72"/>
      <c r="AT1357" s="72"/>
      <c r="AW1357" s="72"/>
      <c r="AZ1357" s="72"/>
    </row>
    <row r="1358" spans="1:52">
      <c r="A1358" s="131"/>
      <c r="B1358" s="72"/>
      <c r="D1358" s="72"/>
      <c r="G1358" s="72"/>
      <c r="J1358" s="72"/>
      <c r="M1358" s="72"/>
      <c r="P1358" s="72"/>
      <c r="S1358" s="72"/>
      <c r="V1358" s="72"/>
      <c r="Y1358" s="72"/>
      <c r="AB1358" s="72"/>
      <c r="AE1358" s="72"/>
      <c r="AH1358" s="72"/>
      <c r="AK1358" s="72"/>
      <c r="AN1358" s="72"/>
      <c r="AQ1358" s="72"/>
      <c r="AT1358" s="72"/>
      <c r="AW1358" s="72"/>
      <c r="AZ1358" s="72"/>
    </row>
    <row r="1359" spans="1:52">
      <c r="A1359" s="131"/>
      <c r="B1359" s="72"/>
      <c r="D1359" s="72"/>
      <c r="G1359" s="72"/>
      <c r="J1359" s="72"/>
      <c r="M1359" s="72"/>
      <c r="P1359" s="72"/>
      <c r="S1359" s="72"/>
      <c r="V1359" s="72"/>
      <c r="Y1359" s="72"/>
      <c r="AB1359" s="72"/>
      <c r="AE1359" s="72"/>
      <c r="AH1359" s="72"/>
      <c r="AK1359" s="72"/>
      <c r="AN1359" s="72"/>
      <c r="AQ1359" s="72"/>
      <c r="AT1359" s="72"/>
      <c r="AW1359" s="72"/>
      <c r="AZ1359" s="72"/>
    </row>
    <row r="1360" spans="1:52">
      <c r="A1360" s="131"/>
      <c r="B1360" s="72"/>
      <c r="D1360" s="72"/>
      <c r="G1360" s="72"/>
      <c r="J1360" s="72"/>
      <c r="M1360" s="72"/>
      <c r="P1360" s="72"/>
      <c r="S1360" s="72"/>
      <c r="V1360" s="72"/>
      <c r="Y1360" s="72"/>
      <c r="AB1360" s="72"/>
      <c r="AE1360" s="72"/>
      <c r="AH1360" s="72"/>
      <c r="AK1360" s="72"/>
      <c r="AN1360" s="72"/>
      <c r="AQ1360" s="72"/>
      <c r="AT1360" s="72"/>
      <c r="AW1360" s="72"/>
      <c r="AZ1360" s="72"/>
    </row>
    <row r="1361" spans="1:52">
      <c r="A1361" s="131"/>
      <c r="B1361" s="72"/>
      <c r="D1361" s="72"/>
      <c r="G1361" s="72"/>
      <c r="J1361" s="72"/>
      <c r="M1361" s="72"/>
      <c r="P1361" s="72"/>
      <c r="S1361" s="72"/>
      <c r="V1361" s="72"/>
      <c r="Y1361" s="72"/>
      <c r="AB1361" s="72"/>
      <c r="AE1361" s="72"/>
      <c r="AH1361" s="72"/>
      <c r="AK1361" s="72"/>
      <c r="AN1361" s="72"/>
      <c r="AQ1361" s="72"/>
      <c r="AT1361" s="72"/>
      <c r="AW1361" s="72"/>
      <c r="AZ1361" s="72"/>
    </row>
    <row r="1362" spans="1:52">
      <c r="A1362" s="131"/>
      <c r="B1362" s="72"/>
      <c r="D1362" s="72"/>
      <c r="G1362" s="72"/>
      <c r="J1362" s="72"/>
      <c r="M1362" s="72"/>
      <c r="P1362" s="72"/>
      <c r="S1362" s="72"/>
      <c r="V1362" s="72"/>
      <c r="Y1362" s="72"/>
      <c r="AB1362" s="72"/>
      <c r="AE1362" s="72"/>
      <c r="AH1362" s="72"/>
      <c r="AK1362" s="72"/>
      <c r="AN1362" s="72"/>
      <c r="AQ1362" s="72"/>
      <c r="AT1362" s="72"/>
      <c r="AW1362" s="72"/>
      <c r="AZ1362" s="72"/>
    </row>
    <row r="1363" spans="1:52">
      <c r="A1363" s="131"/>
      <c r="B1363" s="72"/>
      <c r="D1363" s="72"/>
      <c r="G1363" s="72"/>
      <c r="J1363" s="72"/>
      <c r="M1363" s="72"/>
      <c r="P1363" s="72"/>
      <c r="S1363" s="72"/>
      <c r="V1363" s="72"/>
      <c r="Y1363" s="72"/>
      <c r="AB1363" s="72"/>
      <c r="AE1363" s="72"/>
      <c r="AH1363" s="72"/>
      <c r="AK1363" s="72"/>
      <c r="AN1363" s="72"/>
      <c r="AQ1363" s="72"/>
      <c r="AT1363" s="72"/>
      <c r="AW1363" s="72"/>
      <c r="AZ1363" s="72"/>
    </row>
    <row r="1364" spans="1:52">
      <c r="A1364" s="131"/>
      <c r="B1364" s="72"/>
      <c r="D1364" s="72"/>
      <c r="G1364" s="72"/>
      <c r="J1364" s="72"/>
      <c r="M1364" s="72"/>
      <c r="P1364" s="72"/>
      <c r="S1364" s="72"/>
      <c r="V1364" s="72"/>
      <c r="Y1364" s="72"/>
      <c r="AB1364" s="72"/>
      <c r="AE1364" s="72"/>
      <c r="AH1364" s="72"/>
      <c r="AK1364" s="72"/>
      <c r="AN1364" s="72"/>
      <c r="AQ1364" s="72"/>
      <c r="AT1364" s="72"/>
      <c r="AW1364" s="72"/>
      <c r="AZ1364" s="72"/>
    </row>
    <row r="1365" spans="1:52">
      <c r="A1365" s="131"/>
      <c r="B1365" s="72"/>
      <c r="D1365" s="72"/>
      <c r="G1365" s="72"/>
      <c r="J1365" s="72"/>
      <c r="M1365" s="72"/>
      <c r="P1365" s="72"/>
      <c r="S1365" s="72"/>
      <c r="V1365" s="72"/>
      <c r="Y1365" s="72"/>
      <c r="AB1365" s="72"/>
      <c r="AE1365" s="72"/>
      <c r="AH1365" s="72"/>
      <c r="AK1365" s="72"/>
      <c r="AN1365" s="72"/>
      <c r="AQ1365" s="72"/>
      <c r="AT1365" s="72"/>
      <c r="AW1365" s="72"/>
      <c r="AZ1365" s="72"/>
    </row>
    <row r="1366" spans="1:52">
      <c r="A1366" s="131"/>
      <c r="B1366" s="72"/>
      <c r="D1366" s="72"/>
      <c r="G1366" s="72"/>
      <c r="J1366" s="72"/>
      <c r="M1366" s="72"/>
      <c r="P1366" s="72"/>
      <c r="S1366" s="72"/>
      <c r="V1366" s="72"/>
      <c r="Y1366" s="72"/>
      <c r="AB1366" s="72"/>
      <c r="AE1366" s="72"/>
      <c r="AH1366" s="72"/>
      <c r="AK1366" s="72"/>
      <c r="AN1366" s="72"/>
      <c r="AQ1366" s="72"/>
      <c r="AT1366" s="72"/>
      <c r="AW1366" s="72"/>
      <c r="AZ1366" s="72"/>
    </row>
    <row r="1367" spans="1:52">
      <c r="A1367" s="131"/>
      <c r="B1367" s="72"/>
      <c r="D1367" s="72"/>
      <c r="G1367" s="72"/>
      <c r="J1367" s="72"/>
      <c r="M1367" s="72"/>
      <c r="P1367" s="72"/>
      <c r="S1367" s="72"/>
      <c r="V1367" s="72"/>
      <c r="Y1367" s="72"/>
      <c r="AB1367" s="72"/>
      <c r="AE1367" s="72"/>
      <c r="AH1367" s="72"/>
      <c r="AK1367" s="72"/>
      <c r="AN1367" s="72"/>
      <c r="AQ1367" s="72"/>
      <c r="AT1367" s="72"/>
      <c r="AW1367" s="72"/>
      <c r="AZ1367" s="72"/>
    </row>
    <row r="1368" spans="1:52">
      <c r="A1368" s="131"/>
      <c r="B1368" s="72"/>
      <c r="D1368" s="72"/>
      <c r="G1368" s="72"/>
      <c r="J1368" s="72"/>
      <c r="M1368" s="72"/>
      <c r="P1368" s="72"/>
      <c r="S1368" s="72"/>
      <c r="V1368" s="72"/>
      <c r="Y1368" s="72"/>
      <c r="AB1368" s="72"/>
      <c r="AE1368" s="72"/>
      <c r="AH1368" s="72"/>
      <c r="AK1368" s="72"/>
      <c r="AN1368" s="72"/>
      <c r="AQ1368" s="72"/>
      <c r="AT1368" s="72"/>
      <c r="AW1368" s="72"/>
      <c r="AZ1368" s="72"/>
    </row>
    <row r="1369" spans="1:52">
      <c r="A1369" s="131"/>
      <c r="B1369" s="72"/>
      <c r="D1369" s="72"/>
      <c r="G1369" s="72"/>
      <c r="J1369" s="72"/>
      <c r="M1369" s="72"/>
      <c r="P1369" s="72"/>
      <c r="S1369" s="72"/>
      <c r="V1369" s="72"/>
      <c r="Y1369" s="72"/>
      <c r="AB1369" s="72"/>
      <c r="AE1369" s="72"/>
      <c r="AH1369" s="72"/>
      <c r="AK1369" s="72"/>
      <c r="AN1369" s="72"/>
      <c r="AQ1369" s="72"/>
      <c r="AT1369" s="72"/>
      <c r="AW1369" s="72"/>
      <c r="AZ1369" s="72"/>
    </row>
    <row r="1370" spans="1:52">
      <c r="A1370" s="131"/>
      <c r="B1370" s="72"/>
      <c r="D1370" s="72"/>
      <c r="G1370" s="72"/>
      <c r="J1370" s="72"/>
      <c r="M1370" s="72"/>
      <c r="P1370" s="72"/>
      <c r="S1370" s="72"/>
      <c r="V1370" s="72"/>
      <c r="Y1370" s="72"/>
      <c r="AB1370" s="72"/>
      <c r="AE1370" s="72"/>
      <c r="AH1370" s="72"/>
      <c r="AK1370" s="72"/>
      <c r="AN1370" s="72"/>
      <c r="AQ1370" s="72"/>
      <c r="AT1370" s="72"/>
      <c r="AW1370" s="72"/>
      <c r="AZ1370" s="72"/>
    </row>
    <row r="1371" spans="1:52">
      <c r="A1371" s="131"/>
      <c r="B1371" s="72"/>
      <c r="D1371" s="72"/>
      <c r="G1371" s="72"/>
      <c r="J1371" s="72"/>
      <c r="M1371" s="72"/>
      <c r="P1371" s="72"/>
      <c r="S1371" s="72"/>
      <c r="V1371" s="72"/>
      <c r="Y1371" s="72"/>
      <c r="AB1371" s="72"/>
      <c r="AE1371" s="72"/>
      <c r="AH1371" s="72"/>
      <c r="AK1371" s="72"/>
      <c r="AN1371" s="72"/>
      <c r="AQ1371" s="72"/>
      <c r="AT1371" s="72"/>
      <c r="AW1371" s="72"/>
      <c r="AZ1371" s="72"/>
    </row>
    <row r="1372" spans="1:52">
      <c r="A1372" s="131"/>
      <c r="B1372" s="72"/>
      <c r="D1372" s="72"/>
      <c r="G1372" s="72"/>
      <c r="J1372" s="72"/>
      <c r="M1372" s="72"/>
      <c r="P1372" s="72"/>
      <c r="S1372" s="72"/>
      <c r="V1372" s="72"/>
      <c r="Y1372" s="72"/>
      <c r="AB1372" s="72"/>
      <c r="AE1372" s="72"/>
      <c r="AH1372" s="72"/>
      <c r="AK1372" s="72"/>
      <c r="AN1372" s="72"/>
      <c r="AQ1372" s="72"/>
      <c r="AT1372" s="72"/>
      <c r="AW1372" s="72"/>
      <c r="AZ1372" s="72"/>
    </row>
    <row r="1373" spans="1:52">
      <c r="A1373" s="131"/>
      <c r="B1373" s="72"/>
      <c r="D1373" s="72"/>
      <c r="G1373" s="72"/>
      <c r="J1373" s="72"/>
      <c r="M1373" s="72"/>
      <c r="P1373" s="72"/>
      <c r="S1373" s="72"/>
      <c r="V1373" s="72"/>
      <c r="Y1373" s="72"/>
      <c r="AB1373" s="72"/>
      <c r="AE1373" s="72"/>
      <c r="AH1373" s="72"/>
      <c r="AK1373" s="72"/>
      <c r="AN1373" s="72"/>
      <c r="AQ1373" s="72"/>
      <c r="AT1373" s="72"/>
      <c r="AW1373" s="72"/>
      <c r="AZ1373" s="72"/>
    </row>
    <row r="1374" spans="1:52">
      <c r="A1374" s="131"/>
      <c r="B1374" s="72"/>
      <c r="D1374" s="72"/>
      <c r="G1374" s="72"/>
      <c r="J1374" s="72"/>
      <c r="M1374" s="72"/>
      <c r="P1374" s="72"/>
      <c r="S1374" s="72"/>
      <c r="V1374" s="72"/>
      <c r="Y1374" s="72"/>
      <c r="AB1374" s="72"/>
      <c r="AE1374" s="72"/>
      <c r="AH1374" s="72"/>
      <c r="AK1374" s="72"/>
      <c r="AN1374" s="72"/>
      <c r="AQ1374" s="72"/>
      <c r="AT1374" s="72"/>
      <c r="AW1374" s="72"/>
      <c r="AZ1374" s="72"/>
    </row>
    <row r="1375" spans="1:52">
      <c r="A1375" s="131"/>
      <c r="B1375" s="72"/>
      <c r="D1375" s="72"/>
      <c r="G1375" s="72"/>
      <c r="J1375" s="72"/>
      <c r="M1375" s="72"/>
      <c r="P1375" s="72"/>
      <c r="S1375" s="72"/>
      <c r="V1375" s="72"/>
      <c r="Y1375" s="72"/>
      <c r="AB1375" s="72"/>
      <c r="AE1375" s="72"/>
      <c r="AH1375" s="72"/>
      <c r="AK1375" s="72"/>
      <c r="AN1375" s="72"/>
      <c r="AQ1375" s="72"/>
      <c r="AT1375" s="72"/>
      <c r="AW1375" s="72"/>
      <c r="AZ1375" s="72"/>
    </row>
    <row r="1376" spans="1:52">
      <c r="A1376" s="131"/>
      <c r="B1376" s="72"/>
      <c r="D1376" s="72"/>
      <c r="G1376" s="72"/>
      <c r="J1376" s="72"/>
      <c r="M1376" s="72"/>
      <c r="P1376" s="72"/>
      <c r="S1376" s="72"/>
      <c r="V1376" s="72"/>
      <c r="Y1376" s="72"/>
      <c r="AB1376" s="72"/>
      <c r="AE1376" s="72"/>
      <c r="AH1376" s="72"/>
      <c r="AK1376" s="72"/>
      <c r="AN1376" s="72"/>
      <c r="AQ1376" s="72"/>
      <c r="AT1376" s="72"/>
      <c r="AW1376" s="72"/>
      <c r="AZ1376" s="72"/>
    </row>
    <row r="1377" spans="1:52">
      <c r="A1377" s="131"/>
      <c r="B1377" s="72"/>
      <c r="D1377" s="72"/>
      <c r="G1377" s="72"/>
      <c r="J1377" s="72"/>
      <c r="M1377" s="72"/>
      <c r="P1377" s="72"/>
      <c r="S1377" s="72"/>
      <c r="V1377" s="72"/>
      <c r="Y1377" s="72"/>
      <c r="AB1377" s="72"/>
      <c r="AE1377" s="72"/>
      <c r="AH1377" s="72"/>
      <c r="AK1377" s="72"/>
      <c r="AN1377" s="72"/>
      <c r="AQ1377" s="72"/>
      <c r="AT1377" s="72"/>
      <c r="AW1377" s="72"/>
      <c r="AZ1377" s="72"/>
    </row>
    <row r="1378" spans="1:52">
      <c r="A1378" s="131"/>
      <c r="B1378" s="72"/>
      <c r="D1378" s="72"/>
      <c r="G1378" s="72"/>
      <c r="J1378" s="72"/>
      <c r="M1378" s="72"/>
      <c r="P1378" s="72"/>
      <c r="S1378" s="72"/>
      <c r="V1378" s="72"/>
      <c r="Y1378" s="72"/>
      <c r="AB1378" s="72"/>
      <c r="AE1378" s="72"/>
      <c r="AH1378" s="72"/>
      <c r="AK1378" s="72"/>
      <c r="AN1378" s="72"/>
      <c r="AQ1378" s="72"/>
      <c r="AT1378" s="72"/>
      <c r="AW1378" s="72"/>
      <c r="AZ1378" s="72"/>
    </row>
    <row r="1379" spans="1:52">
      <c r="A1379" s="131"/>
      <c r="B1379" s="72"/>
      <c r="D1379" s="72"/>
      <c r="G1379" s="72"/>
      <c r="J1379" s="72"/>
      <c r="M1379" s="72"/>
      <c r="P1379" s="72"/>
      <c r="S1379" s="72"/>
      <c r="V1379" s="72"/>
      <c r="Y1379" s="72"/>
      <c r="AB1379" s="72"/>
      <c r="AE1379" s="72"/>
      <c r="AH1379" s="72"/>
      <c r="AK1379" s="72"/>
      <c r="AN1379" s="72"/>
      <c r="AQ1379" s="72"/>
      <c r="AT1379" s="72"/>
      <c r="AW1379" s="72"/>
      <c r="AZ1379" s="72"/>
    </row>
    <row r="1380" spans="1:52">
      <c r="A1380" s="131"/>
      <c r="B1380" s="72"/>
      <c r="D1380" s="72"/>
      <c r="G1380" s="72"/>
      <c r="J1380" s="72"/>
      <c r="M1380" s="72"/>
      <c r="P1380" s="72"/>
      <c r="S1380" s="72"/>
      <c r="V1380" s="72"/>
      <c r="Y1380" s="72"/>
      <c r="AB1380" s="72"/>
      <c r="AE1380" s="72"/>
      <c r="AH1380" s="72"/>
      <c r="AK1380" s="72"/>
      <c r="AN1380" s="72"/>
      <c r="AQ1380" s="72"/>
      <c r="AT1380" s="72"/>
      <c r="AW1380" s="72"/>
      <c r="AZ1380" s="72"/>
    </row>
    <row r="1381" spans="1:52">
      <c r="A1381" s="131"/>
      <c r="B1381" s="72"/>
      <c r="D1381" s="72"/>
      <c r="G1381" s="72"/>
      <c r="J1381" s="72"/>
      <c r="M1381" s="72"/>
      <c r="P1381" s="72"/>
      <c r="S1381" s="72"/>
      <c r="V1381" s="72"/>
      <c r="Y1381" s="72"/>
      <c r="AB1381" s="72"/>
      <c r="AE1381" s="72"/>
      <c r="AH1381" s="72"/>
      <c r="AK1381" s="72"/>
      <c r="AN1381" s="72"/>
      <c r="AQ1381" s="72"/>
      <c r="AT1381" s="72"/>
      <c r="AW1381" s="72"/>
      <c r="AZ1381" s="72"/>
    </row>
    <row r="1382" spans="1:52">
      <c r="A1382" s="131"/>
      <c r="B1382" s="72"/>
      <c r="D1382" s="72"/>
      <c r="G1382" s="72"/>
      <c r="J1382" s="72"/>
      <c r="M1382" s="72"/>
      <c r="P1382" s="72"/>
      <c r="S1382" s="72"/>
      <c r="V1382" s="72"/>
      <c r="Y1382" s="72"/>
      <c r="AB1382" s="72"/>
      <c r="AE1382" s="72"/>
      <c r="AH1382" s="72"/>
      <c r="AK1382" s="72"/>
      <c r="AN1382" s="72"/>
      <c r="AQ1382" s="72"/>
      <c r="AT1382" s="72"/>
      <c r="AW1382" s="72"/>
      <c r="AZ1382" s="72"/>
    </row>
    <row r="1383" spans="1:52">
      <c r="A1383" s="131"/>
      <c r="B1383" s="72"/>
      <c r="D1383" s="72"/>
      <c r="G1383" s="72"/>
      <c r="J1383" s="72"/>
      <c r="M1383" s="72"/>
      <c r="P1383" s="72"/>
      <c r="S1383" s="72"/>
      <c r="V1383" s="72"/>
      <c r="Y1383" s="72"/>
      <c r="AB1383" s="72"/>
      <c r="AE1383" s="72"/>
      <c r="AH1383" s="72"/>
      <c r="AK1383" s="72"/>
      <c r="AN1383" s="72"/>
      <c r="AQ1383" s="72"/>
      <c r="AT1383" s="72"/>
      <c r="AW1383" s="72"/>
      <c r="AZ1383" s="72"/>
    </row>
    <row r="1384" spans="1:52">
      <c r="A1384" s="131"/>
      <c r="B1384" s="72"/>
      <c r="D1384" s="72"/>
      <c r="G1384" s="72"/>
      <c r="J1384" s="72"/>
      <c r="M1384" s="72"/>
      <c r="P1384" s="72"/>
      <c r="S1384" s="72"/>
      <c r="V1384" s="72"/>
      <c r="Y1384" s="72"/>
      <c r="AB1384" s="72"/>
      <c r="AE1384" s="72"/>
      <c r="AH1384" s="72"/>
      <c r="AK1384" s="72"/>
      <c r="AN1384" s="72"/>
      <c r="AQ1384" s="72"/>
      <c r="AT1384" s="72"/>
      <c r="AW1384" s="72"/>
      <c r="AZ1384" s="72"/>
    </row>
    <row r="1385" spans="1:52">
      <c r="A1385" s="131"/>
      <c r="B1385" s="72"/>
      <c r="D1385" s="72"/>
      <c r="G1385" s="72"/>
      <c r="J1385" s="72"/>
      <c r="M1385" s="72"/>
      <c r="P1385" s="72"/>
      <c r="S1385" s="72"/>
      <c r="V1385" s="72"/>
      <c r="Y1385" s="72"/>
      <c r="AB1385" s="72"/>
      <c r="AE1385" s="72"/>
      <c r="AH1385" s="72"/>
      <c r="AK1385" s="72"/>
      <c r="AN1385" s="72"/>
      <c r="AQ1385" s="72"/>
      <c r="AT1385" s="72"/>
      <c r="AW1385" s="72"/>
      <c r="AZ1385" s="72"/>
    </row>
    <row r="1386" spans="1:52">
      <c r="A1386" s="131"/>
      <c r="B1386" s="72"/>
      <c r="D1386" s="72"/>
      <c r="G1386" s="72"/>
      <c r="J1386" s="72"/>
      <c r="M1386" s="72"/>
      <c r="P1386" s="72"/>
      <c r="S1386" s="72"/>
      <c r="V1386" s="72"/>
      <c r="Y1386" s="72"/>
      <c r="AB1386" s="72"/>
      <c r="AE1386" s="72"/>
      <c r="AH1386" s="72"/>
      <c r="AK1386" s="72"/>
      <c r="AN1386" s="72"/>
      <c r="AQ1386" s="72"/>
      <c r="AT1386" s="72"/>
      <c r="AW1386" s="72"/>
      <c r="AZ1386" s="72"/>
    </row>
    <row r="1387" spans="1:52">
      <c r="A1387" s="131"/>
      <c r="B1387" s="72"/>
      <c r="D1387" s="72"/>
      <c r="G1387" s="72"/>
      <c r="J1387" s="72"/>
      <c r="M1387" s="72"/>
      <c r="P1387" s="72"/>
      <c r="S1387" s="72"/>
      <c r="V1387" s="72"/>
      <c r="Y1387" s="72"/>
      <c r="AB1387" s="72"/>
      <c r="AE1387" s="72"/>
      <c r="AH1387" s="72"/>
      <c r="AK1387" s="72"/>
      <c r="AN1387" s="72"/>
      <c r="AQ1387" s="72"/>
      <c r="AT1387" s="72"/>
      <c r="AW1387" s="72"/>
      <c r="AZ1387" s="72"/>
    </row>
    <row r="1388" spans="1:52">
      <c r="A1388" s="131"/>
      <c r="B1388" s="72"/>
      <c r="D1388" s="72"/>
      <c r="G1388" s="72"/>
      <c r="J1388" s="72"/>
      <c r="M1388" s="72"/>
      <c r="P1388" s="72"/>
      <c r="S1388" s="72"/>
      <c r="V1388" s="72"/>
      <c r="Y1388" s="72"/>
      <c r="AB1388" s="72"/>
      <c r="AE1388" s="72"/>
      <c r="AH1388" s="72"/>
      <c r="AK1388" s="72"/>
      <c r="AN1388" s="72"/>
      <c r="AQ1388" s="72"/>
      <c r="AT1388" s="72"/>
      <c r="AW1388" s="72"/>
      <c r="AZ1388" s="72"/>
    </row>
    <row r="1389" spans="1:52">
      <c r="A1389" s="131"/>
      <c r="B1389" s="72"/>
      <c r="D1389" s="72"/>
      <c r="G1389" s="72"/>
      <c r="J1389" s="72"/>
      <c r="M1389" s="72"/>
      <c r="P1389" s="72"/>
      <c r="S1389" s="72"/>
      <c r="V1389" s="72"/>
      <c r="Y1389" s="72"/>
      <c r="AB1389" s="72"/>
      <c r="AE1389" s="72"/>
      <c r="AH1389" s="72"/>
      <c r="AK1389" s="72"/>
      <c r="AN1389" s="72"/>
      <c r="AQ1389" s="72"/>
      <c r="AT1389" s="72"/>
      <c r="AW1389" s="72"/>
      <c r="AZ1389" s="72"/>
    </row>
    <row r="1390" spans="1:52">
      <c r="A1390" s="131"/>
      <c r="B1390" s="72"/>
      <c r="D1390" s="72"/>
      <c r="G1390" s="72"/>
      <c r="J1390" s="72"/>
      <c r="M1390" s="72"/>
      <c r="P1390" s="72"/>
      <c r="S1390" s="72"/>
      <c r="V1390" s="72"/>
      <c r="Y1390" s="72"/>
      <c r="AB1390" s="72"/>
      <c r="AE1390" s="72"/>
      <c r="AH1390" s="72"/>
      <c r="AK1390" s="72"/>
      <c r="AN1390" s="72"/>
      <c r="AQ1390" s="72"/>
      <c r="AT1390" s="72"/>
      <c r="AW1390" s="72"/>
      <c r="AZ1390" s="72"/>
    </row>
    <row r="1391" spans="1:52">
      <c r="A1391" s="131"/>
      <c r="B1391" s="72"/>
      <c r="D1391" s="72"/>
      <c r="G1391" s="72"/>
      <c r="J1391" s="72"/>
      <c r="M1391" s="72"/>
      <c r="P1391" s="72"/>
      <c r="S1391" s="72"/>
      <c r="V1391" s="72"/>
      <c r="Y1391" s="72"/>
      <c r="AB1391" s="72"/>
      <c r="AE1391" s="72"/>
      <c r="AH1391" s="72"/>
      <c r="AK1391" s="72"/>
      <c r="AN1391" s="72"/>
      <c r="AQ1391" s="72"/>
      <c r="AT1391" s="72"/>
      <c r="AW1391" s="72"/>
      <c r="AZ1391" s="72"/>
    </row>
    <row r="1392" spans="1:52">
      <c r="A1392" s="131"/>
      <c r="B1392" s="72"/>
      <c r="D1392" s="72"/>
      <c r="G1392" s="72"/>
      <c r="J1392" s="72"/>
      <c r="M1392" s="72"/>
      <c r="P1392" s="72"/>
      <c r="S1392" s="72"/>
      <c r="V1392" s="72"/>
      <c r="Y1392" s="72"/>
      <c r="AB1392" s="72"/>
      <c r="AE1392" s="72"/>
      <c r="AH1392" s="72"/>
      <c r="AK1392" s="72"/>
      <c r="AN1392" s="72"/>
      <c r="AQ1392" s="72"/>
      <c r="AT1392" s="72"/>
      <c r="AW1392" s="72"/>
      <c r="AZ1392" s="72"/>
    </row>
    <row r="1393" spans="1:52">
      <c r="A1393" s="131"/>
      <c r="B1393" s="72"/>
      <c r="D1393" s="72"/>
      <c r="G1393" s="72"/>
      <c r="J1393" s="72"/>
      <c r="M1393" s="72"/>
      <c r="P1393" s="72"/>
      <c r="S1393" s="72"/>
      <c r="V1393" s="72"/>
      <c r="Y1393" s="72"/>
      <c r="AB1393" s="72"/>
      <c r="AE1393" s="72"/>
      <c r="AH1393" s="72"/>
      <c r="AK1393" s="72"/>
      <c r="AN1393" s="72"/>
      <c r="AQ1393" s="72"/>
      <c r="AT1393" s="72"/>
      <c r="AW1393" s="72"/>
      <c r="AZ1393" s="72"/>
    </row>
    <row r="1394" spans="1:52">
      <c r="A1394" s="131"/>
      <c r="B1394" s="72"/>
      <c r="D1394" s="72"/>
      <c r="G1394" s="72"/>
      <c r="J1394" s="72"/>
      <c r="M1394" s="72"/>
      <c r="P1394" s="72"/>
      <c r="S1394" s="72"/>
      <c r="V1394" s="72"/>
      <c r="Y1394" s="72"/>
      <c r="AB1394" s="72"/>
      <c r="AE1394" s="72"/>
      <c r="AH1394" s="72"/>
      <c r="AK1394" s="72"/>
      <c r="AN1394" s="72"/>
      <c r="AQ1394" s="72"/>
      <c r="AT1394" s="72"/>
      <c r="AW1394" s="72"/>
      <c r="AZ1394" s="72"/>
    </row>
    <row r="1395" spans="1:52">
      <c r="A1395" s="131"/>
      <c r="B1395" s="72"/>
      <c r="D1395" s="72"/>
      <c r="G1395" s="72"/>
      <c r="J1395" s="72"/>
      <c r="M1395" s="72"/>
      <c r="P1395" s="72"/>
      <c r="S1395" s="72"/>
      <c r="V1395" s="72"/>
      <c r="Y1395" s="72"/>
      <c r="AB1395" s="72"/>
      <c r="AE1395" s="72"/>
      <c r="AH1395" s="72"/>
      <c r="AK1395" s="72"/>
      <c r="AN1395" s="72"/>
      <c r="AQ1395" s="72"/>
      <c r="AT1395" s="72"/>
      <c r="AW1395" s="72"/>
      <c r="AZ1395" s="72"/>
    </row>
    <row r="1396" spans="1:52">
      <c r="A1396" s="131"/>
      <c r="B1396" s="72"/>
      <c r="D1396" s="72"/>
      <c r="G1396" s="72"/>
      <c r="J1396" s="72"/>
      <c r="M1396" s="72"/>
      <c r="P1396" s="72"/>
      <c r="S1396" s="72"/>
      <c r="V1396" s="72"/>
      <c r="Y1396" s="72"/>
      <c r="AB1396" s="72"/>
      <c r="AE1396" s="72"/>
      <c r="AH1396" s="72"/>
      <c r="AK1396" s="72"/>
      <c r="AN1396" s="72"/>
      <c r="AQ1396" s="72"/>
      <c r="AT1396" s="72"/>
      <c r="AW1396" s="72"/>
      <c r="AZ1396" s="72"/>
    </row>
    <row r="1397" spans="1:52">
      <c r="A1397" s="131"/>
      <c r="B1397" s="72"/>
      <c r="D1397" s="72"/>
      <c r="G1397" s="72"/>
      <c r="J1397" s="72"/>
      <c r="M1397" s="72"/>
      <c r="P1397" s="72"/>
      <c r="S1397" s="72"/>
      <c r="V1397" s="72"/>
      <c r="Y1397" s="72"/>
      <c r="AB1397" s="72"/>
      <c r="AE1397" s="72"/>
      <c r="AH1397" s="72"/>
      <c r="AK1397" s="72"/>
      <c r="AN1397" s="72"/>
      <c r="AQ1397" s="72"/>
      <c r="AT1397" s="72"/>
      <c r="AW1397" s="72"/>
      <c r="AZ1397" s="72"/>
    </row>
    <row r="1398" spans="1:52">
      <c r="A1398" s="131"/>
      <c r="B1398" s="72"/>
      <c r="D1398" s="72"/>
      <c r="G1398" s="72"/>
      <c r="J1398" s="72"/>
      <c r="M1398" s="72"/>
      <c r="P1398" s="72"/>
      <c r="S1398" s="72"/>
      <c r="V1398" s="72"/>
      <c r="Y1398" s="72"/>
      <c r="AB1398" s="72"/>
      <c r="AE1398" s="72"/>
      <c r="AH1398" s="72"/>
      <c r="AK1398" s="72"/>
      <c r="AN1398" s="72"/>
      <c r="AQ1398" s="72"/>
      <c r="AT1398" s="72"/>
      <c r="AW1398" s="72"/>
      <c r="AZ1398" s="72"/>
    </row>
    <row r="1399" spans="1:52">
      <c r="A1399" s="131"/>
      <c r="B1399" s="72"/>
      <c r="D1399" s="72"/>
      <c r="G1399" s="72"/>
      <c r="J1399" s="72"/>
      <c r="M1399" s="72"/>
      <c r="P1399" s="72"/>
      <c r="S1399" s="72"/>
      <c r="V1399" s="72"/>
      <c r="Y1399" s="72"/>
      <c r="AB1399" s="72"/>
      <c r="AE1399" s="72"/>
      <c r="AH1399" s="72"/>
      <c r="AK1399" s="72"/>
      <c r="AN1399" s="72"/>
      <c r="AQ1399" s="72"/>
      <c r="AT1399" s="72"/>
      <c r="AW1399" s="72"/>
      <c r="AZ1399" s="72"/>
    </row>
    <row r="1400" spans="1:52">
      <c r="A1400" s="131"/>
      <c r="B1400" s="72"/>
      <c r="D1400" s="72"/>
      <c r="G1400" s="72"/>
      <c r="J1400" s="72"/>
      <c r="M1400" s="72"/>
      <c r="P1400" s="72"/>
      <c r="S1400" s="72"/>
      <c r="V1400" s="72"/>
      <c r="Y1400" s="72"/>
      <c r="AB1400" s="72"/>
      <c r="AE1400" s="72"/>
      <c r="AH1400" s="72"/>
      <c r="AK1400" s="72"/>
      <c r="AN1400" s="72"/>
      <c r="AQ1400" s="72"/>
      <c r="AT1400" s="72"/>
      <c r="AW1400" s="72"/>
      <c r="AZ1400" s="72"/>
    </row>
    <row r="1401" spans="1:52">
      <c r="A1401" s="131"/>
      <c r="B1401" s="72"/>
      <c r="D1401" s="72"/>
      <c r="G1401" s="72"/>
      <c r="J1401" s="72"/>
      <c r="M1401" s="72"/>
      <c r="P1401" s="72"/>
      <c r="S1401" s="72"/>
      <c r="V1401" s="72"/>
      <c r="Y1401" s="72"/>
      <c r="AB1401" s="72"/>
      <c r="AE1401" s="72"/>
      <c r="AH1401" s="72"/>
      <c r="AK1401" s="72"/>
      <c r="AN1401" s="72"/>
      <c r="AQ1401" s="72"/>
      <c r="AT1401" s="72"/>
      <c r="AW1401" s="72"/>
      <c r="AZ1401" s="72"/>
    </row>
    <row r="1402" spans="1:52">
      <c r="A1402" s="131"/>
      <c r="B1402" s="72"/>
      <c r="D1402" s="72"/>
      <c r="G1402" s="72"/>
      <c r="J1402" s="72"/>
      <c r="M1402" s="72"/>
      <c r="P1402" s="72"/>
      <c r="S1402" s="72"/>
      <c r="V1402" s="72"/>
      <c r="Y1402" s="72"/>
      <c r="AB1402" s="72"/>
      <c r="AE1402" s="72"/>
      <c r="AH1402" s="72"/>
      <c r="AK1402" s="72"/>
      <c r="AN1402" s="72"/>
      <c r="AQ1402" s="72"/>
      <c r="AT1402" s="72"/>
      <c r="AW1402" s="72"/>
      <c r="AZ1402" s="72"/>
    </row>
    <row r="1403" spans="1:52">
      <c r="A1403" s="131"/>
      <c r="B1403" s="72"/>
      <c r="D1403" s="72"/>
      <c r="G1403" s="72"/>
      <c r="J1403" s="72"/>
      <c r="M1403" s="72"/>
      <c r="P1403" s="72"/>
      <c r="S1403" s="72"/>
      <c r="V1403" s="72"/>
      <c r="Y1403" s="72"/>
      <c r="AB1403" s="72"/>
      <c r="AE1403" s="72"/>
      <c r="AH1403" s="72"/>
      <c r="AK1403" s="72"/>
      <c r="AN1403" s="72"/>
      <c r="AQ1403" s="72"/>
      <c r="AT1403" s="72"/>
      <c r="AW1403" s="72"/>
      <c r="AZ1403" s="72"/>
    </row>
    <row r="1404" spans="1:52">
      <c r="A1404" s="131"/>
      <c r="B1404" s="72"/>
      <c r="D1404" s="72"/>
      <c r="G1404" s="72"/>
      <c r="J1404" s="72"/>
      <c r="M1404" s="72"/>
      <c r="P1404" s="72"/>
      <c r="S1404" s="72"/>
      <c r="V1404" s="72"/>
      <c r="Y1404" s="72"/>
      <c r="AB1404" s="72"/>
      <c r="AE1404" s="72"/>
      <c r="AH1404" s="72"/>
      <c r="AK1404" s="72"/>
      <c r="AN1404" s="72"/>
      <c r="AQ1404" s="72"/>
      <c r="AT1404" s="72"/>
      <c r="AW1404" s="72"/>
      <c r="AZ1404" s="72"/>
    </row>
    <row r="1405" spans="1:52">
      <c r="A1405" s="131"/>
      <c r="B1405" s="72"/>
      <c r="D1405" s="72"/>
      <c r="G1405" s="72"/>
      <c r="J1405" s="72"/>
      <c r="M1405" s="72"/>
      <c r="P1405" s="72"/>
      <c r="S1405" s="72"/>
      <c r="V1405" s="72"/>
      <c r="Y1405" s="72"/>
      <c r="AB1405" s="72"/>
      <c r="AE1405" s="72"/>
      <c r="AH1405" s="72"/>
      <c r="AK1405" s="72"/>
      <c r="AN1405" s="72"/>
      <c r="AQ1405" s="72"/>
      <c r="AT1405" s="72"/>
      <c r="AW1405" s="72"/>
      <c r="AZ1405" s="72"/>
    </row>
    <row r="1406" spans="1:52">
      <c r="A1406" s="131"/>
      <c r="B1406" s="72"/>
      <c r="D1406" s="72"/>
      <c r="G1406" s="72"/>
      <c r="J1406" s="72"/>
      <c r="M1406" s="72"/>
      <c r="P1406" s="72"/>
      <c r="S1406" s="72"/>
      <c r="V1406" s="72"/>
      <c r="Y1406" s="72"/>
      <c r="AB1406" s="72"/>
      <c r="AE1406" s="72"/>
      <c r="AH1406" s="72"/>
      <c r="AK1406" s="72"/>
      <c r="AN1406" s="72"/>
      <c r="AQ1406" s="72"/>
      <c r="AT1406" s="72"/>
      <c r="AW1406" s="72"/>
      <c r="AZ1406" s="72"/>
    </row>
    <row r="1407" spans="1:52">
      <c r="A1407" s="131"/>
      <c r="B1407" s="72"/>
      <c r="D1407" s="72"/>
      <c r="G1407" s="72"/>
      <c r="J1407" s="72"/>
      <c r="M1407" s="72"/>
      <c r="P1407" s="72"/>
      <c r="S1407" s="72"/>
      <c r="V1407" s="72"/>
      <c r="Y1407" s="72"/>
      <c r="AB1407" s="72"/>
      <c r="AE1407" s="72"/>
      <c r="AH1407" s="72"/>
      <c r="AK1407" s="72"/>
      <c r="AN1407" s="72"/>
      <c r="AQ1407" s="72"/>
      <c r="AT1407" s="72"/>
      <c r="AW1407" s="72"/>
      <c r="AZ1407" s="72"/>
    </row>
    <row r="1408" spans="1:52">
      <c r="A1408" s="131"/>
      <c r="B1408" s="72"/>
      <c r="D1408" s="72"/>
      <c r="G1408" s="72"/>
      <c r="J1408" s="72"/>
      <c r="M1408" s="72"/>
      <c r="P1408" s="72"/>
      <c r="S1408" s="72"/>
      <c r="V1408" s="72"/>
      <c r="Y1408" s="72"/>
      <c r="AB1408" s="72"/>
      <c r="AE1408" s="72"/>
      <c r="AH1408" s="72"/>
      <c r="AK1408" s="72"/>
      <c r="AN1408" s="72"/>
      <c r="AQ1408" s="72"/>
      <c r="AT1408" s="72"/>
      <c r="AW1408" s="72"/>
      <c r="AZ1408" s="72"/>
    </row>
    <row r="1409" spans="1:52">
      <c r="A1409" s="131"/>
      <c r="B1409" s="72"/>
      <c r="D1409" s="72"/>
      <c r="G1409" s="72"/>
      <c r="J1409" s="72"/>
      <c r="M1409" s="72"/>
      <c r="P1409" s="72"/>
      <c r="S1409" s="72"/>
      <c r="V1409" s="72"/>
      <c r="Y1409" s="72"/>
      <c r="AB1409" s="72"/>
      <c r="AE1409" s="72"/>
      <c r="AH1409" s="72"/>
      <c r="AK1409" s="72"/>
      <c r="AN1409" s="72"/>
      <c r="AQ1409" s="72"/>
      <c r="AT1409" s="72"/>
      <c r="AW1409" s="72"/>
      <c r="AZ1409" s="72"/>
    </row>
    <row r="1410" spans="1:52">
      <c r="A1410" s="131"/>
      <c r="B1410" s="72"/>
      <c r="D1410" s="72"/>
      <c r="G1410" s="72"/>
      <c r="J1410" s="72"/>
      <c r="M1410" s="72"/>
      <c r="P1410" s="72"/>
      <c r="S1410" s="72"/>
      <c r="V1410" s="72"/>
      <c r="Y1410" s="72"/>
      <c r="AB1410" s="72"/>
      <c r="AE1410" s="72"/>
      <c r="AH1410" s="72"/>
      <c r="AK1410" s="72"/>
      <c r="AN1410" s="72"/>
      <c r="AQ1410" s="72"/>
      <c r="AT1410" s="72"/>
      <c r="AW1410" s="72"/>
      <c r="AZ1410" s="72"/>
    </row>
    <row r="1411" spans="1:52">
      <c r="A1411" s="131"/>
      <c r="B1411" s="72"/>
      <c r="D1411" s="72"/>
      <c r="G1411" s="72"/>
      <c r="J1411" s="72"/>
      <c r="M1411" s="72"/>
      <c r="P1411" s="72"/>
      <c r="S1411" s="72"/>
      <c r="V1411" s="72"/>
      <c r="Y1411" s="72"/>
      <c r="AB1411" s="72"/>
      <c r="AE1411" s="72"/>
      <c r="AH1411" s="72"/>
      <c r="AK1411" s="72"/>
      <c r="AN1411" s="72"/>
      <c r="AQ1411" s="72"/>
      <c r="AT1411" s="72"/>
      <c r="AW1411" s="72"/>
      <c r="AZ1411" s="72"/>
    </row>
    <row r="1412" spans="1:52">
      <c r="A1412" s="131"/>
      <c r="B1412" s="72"/>
      <c r="D1412" s="72"/>
      <c r="G1412" s="72"/>
      <c r="J1412" s="72"/>
      <c r="M1412" s="72"/>
      <c r="P1412" s="72"/>
      <c r="S1412" s="72"/>
      <c r="V1412" s="72"/>
      <c r="Y1412" s="72"/>
      <c r="AB1412" s="72"/>
      <c r="AE1412" s="72"/>
      <c r="AH1412" s="72"/>
      <c r="AK1412" s="72"/>
      <c r="AN1412" s="72"/>
      <c r="AQ1412" s="72"/>
      <c r="AT1412" s="72"/>
      <c r="AW1412" s="72"/>
      <c r="AZ1412" s="72"/>
    </row>
    <row r="1413" spans="1:52">
      <c r="A1413" s="131"/>
      <c r="B1413" s="72"/>
      <c r="D1413" s="72"/>
      <c r="G1413" s="72"/>
      <c r="J1413" s="72"/>
      <c r="M1413" s="72"/>
      <c r="P1413" s="72"/>
      <c r="S1413" s="72"/>
      <c r="V1413" s="72"/>
      <c r="Y1413" s="72"/>
      <c r="AB1413" s="72"/>
      <c r="AE1413" s="72"/>
      <c r="AH1413" s="72"/>
      <c r="AK1413" s="72"/>
      <c r="AN1413" s="72"/>
      <c r="AQ1413" s="72"/>
      <c r="AT1413" s="72"/>
      <c r="AW1413" s="72"/>
      <c r="AZ1413" s="72"/>
    </row>
    <row r="1414" spans="1:52">
      <c r="A1414" s="131"/>
      <c r="B1414" s="72"/>
      <c r="D1414" s="72"/>
      <c r="G1414" s="72"/>
      <c r="J1414" s="72"/>
      <c r="M1414" s="72"/>
      <c r="P1414" s="72"/>
      <c r="S1414" s="72"/>
      <c r="V1414" s="72"/>
      <c r="Y1414" s="72"/>
      <c r="AB1414" s="72"/>
      <c r="AE1414" s="72"/>
      <c r="AH1414" s="72"/>
      <c r="AK1414" s="72"/>
      <c r="AN1414" s="72"/>
      <c r="AQ1414" s="72"/>
      <c r="AT1414" s="72"/>
      <c r="AW1414" s="72"/>
      <c r="AZ1414" s="72"/>
    </row>
    <row r="1415" spans="1:52">
      <c r="A1415" s="131"/>
      <c r="B1415" s="72"/>
      <c r="D1415" s="72"/>
      <c r="G1415" s="72"/>
      <c r="J1415" s="72"/>
      <c r="M1415" s="72"/>
      <c r="P1415" s="72"/>
      <c r="S1415" s="72"/>
      <c r="V1415" s="72"/>
      <c r="Y1415" s="72"/>
      <c r="AB1415" s="72"/>
      <c r="AE1415" s="72"/>
      <c r="AH1415" s="72"/>
      <c r="AK1415" s="72"/>
      <c r="AN1415" s="72"/>
      <c r="AQ1415" s="72"/>
      <c r="AT1415" s="72"/>
      <c r="AW1415" s="72"/>
      <c r="AZ1415" s="72"/>
    </row>
    <row r="1416" spans="1:52">
      <c r="A1416" s="131"/>
      <c r="B1416" s="72"/>
      <c r="D1416" s="72"/>
      <c r="G1416" s="72"/>
      <c r="J1416" s="72"/>
      <c r="M1416" s="72"/>
      <c r="P1416" s="72"/>
      <c r="S1416" s="72"/>
      <c r="V1416" s="72"/>
      <c r="Y1416" s="72"/>
      <c r="AB1416" s="72"/>
      <c r="AE1416" s="72"/>
      <c r="AH1416" s="72"/>
      <c r="AK1416" s="72"/>
      <c r="AN1416" s="72"/>
      <c r="AQ1416" s="72"/>
      <c r="AT1416" s="72"/>
      <c r="AW1416" s="72"/>
      <c r="AZ1416" s="72"/>
    </row>
    <row r="1417" spans="1:52">
      <c r="A1417" s="131"/>
      <c r="B1417" s="72"/>
      <c r="D1417" s="72"/>
      <c r="G1417" s="72"/>
      <c r="J1417" s="72"/>
      <c r="M1417" s="72"/>
      <c r="P1417" s="72"/>
      <c r="S1417" s="72"/>
      <c r="V1417" s="72"/>
      <c r="Y1417" s="72"/>
      <c r="AB1417" s="72"/>
      <c r="AE1417" s="72"/>
      <c r="AH1417" s="72"/>
      <c r="AK1417" s="72"/>
      <c r="AN1417" s="72"/>
      <c r="AQ1417" s="72"/>
      <c r="AT1417" s="72"/>
      <c r="AW1417" s="72"/>
      <c r="AZ1417" s="72"/>
    </row>
    <row r="1418" spans="1:52">
      <c r="A1418" s="131"/>
      <c r="B1418" s="72"/>
      <c r="D1418" s="72"/>
      <c r="G1418" s="72"/>
      <c r="J1418" s="72"/>
      <c r="M1418" s="72"/>
      <c r="P1418" s="72"/>
      <c r="S1418" s="72"/>
      <c r="V1418" s="72"/>
      <c r="Y1418" s="72"/>
      <c r="AB1418" s="72"/>
      <c r="AE1418" s="72"/>
      <c r="AH1418" s="72"/>
      <c r="AK1418" s="72"/>
      <c r="AN1418" s="72"/>
      <c r="AQ1418" s="72"/>
      <c r="AT1418" s="72"/>
      <c r="AW1418" s="72"/>
      <c r="AZ1418" s="72"/>
    </row>
    <row r="1419" spans="1:52">
      <c r="A1419" s="131"/>
      <c r="B1419" s="72"/>
      <c r="D1419" s="72"/>
      <c r="G1419" s="72"/>
      <c r="J1419" s="72"/>
      <c r="M1419" s="72"/>
      <c r="P1419" s="72"/>
      <c r="S1419" s="72"/>
      <c r="V1419" s="72"/>
      <c r="Y1419" s="72"/>
      <c r="AB1419" s="72"/>
      <c r="AE1419" s="72"/>
      <c r="AH1419" s="72"/>
      <c r="AK1419" s="72"/>
      <c r="AN1419" s="72"/>
      <c r="AQ1419" s="72"/>
      <c r="AT1419" s="72"/>
      <c r="AW1419" s="72"/>
      <c r="AZ1419" s="72"/>
    </row>
    <row r="1420" spans="1:52">
      <c r="A1420" s="131"/>
      <c r="B1420" s="72"/>
      <c r="D1420" s="72"/>
      <c r="G1420" s="72"/>
      <c r="J1420" s="72"/>
      <c r="M1420" s="72"/>
      <c r="P1420" s="72"/>
      <c r="S1420" s="72"/>
      <c r="V1420" s="72"/>
      <c r="Y1420" s="72"/>
      <c r="AB1420" s="72"/>
      <c r="AE1420" s="72"/>
      <c r="AH1420" s="72"/>
      <c r="AK1420" s="72"/>
      <c r="AN1420" s="72"/>
      <c r="AQ1420" s="72"/>
      <c r="AT1420" s="72"/>
      <c r="AW1420" s="72"/>
      <c r="AZ1420" s="72"/>
    </row>
    <row r="1421" spans="1:52">
      <c r="A1421" s="131"/>
      <c r="B1421" s="72"/>
      <c r="D1421" s="72"/>
      <c r="G1421" s="72"/>
      <c r="J1421" s="72"/>
      <c r="M1421" s="72"/>
      <c r="P1421" s="72"/>
      <c r="S1421" s="72"/>
      <c r="V1421" s="72"/>
      <c r="Y1421" s="72"/>
      <c r="AB1421" s="72"/>
      <c r="AE1421" s="72"/>
      <c r="AH1421" s="72"/>
      <c r="AK1421" s="72"/>
      <c r="AN1421" s="72"/>
      <c r="AQ1421" s="72"/>
      <c r="AT1421" s="72"/>
      <c r="AW1421" s="72"/>
      <c r="AZ1421" s="72"/>
    </row>
    <row r="1422" spans="1:52">
      <c r="A1422" s="131"/>
      <c r="B1422" s="72"/>
      <c r="D1422" s="72"/>
      <c r="G1422" s="72"/>
      <c r="J1422" s="72"/>
      <c r="M1422" s="72"/>
      <c r="P1422" s="72"/>
      <c r="S1422" s="72"/>
      <c r="V1422" s="72"/>
      <c r="Y1422" s="72"/>
      <c r="AB1422" s="72"/>
      <c r="AE1422" s="72"/>
      <c r="AH1422" s="72"/>
      <c r="AK1422" s="72"/>
      <c r="AN1422" s="72"/>
      <c r="AQ1422" s="72"/>
      <c r="AT1422" s="72"/>
      <c r="AW1422" s="72"/>
      <c r="AZ1422" s="72"/>
    </row>
    <row r="1423" spans="1:52">
      <c r="A1423" s="131"/>
      <c r="B1423" s="72"/>
      <c r="D1423" s="72"/>
      <c r="G1423" s="72"/>
      <c r="J1423" s="72"/>
      <c r="M1423" s="72"/>
      <c r="P1423" s="72"/>
      <c r="S1423" s="72"/>
      <c r="V1423" s="72"/>
      <c r="Y1423" s="72"/>
      <c r="AB1423" s="72"/>
      <c r="AE1423" s="72"/>
      <c r="AH1423" s="72"/>
      <c r="AK1423" s="72"/>
      <c r="AN1423" s="72"/>
      <c r="AQ1423" s="72"/>
      <c r="AT1423" s="72"/>
      <c r="AW1423" s="72"/>
      <c r="AZ1423" s="72"/>
    </row>
    <row r="1424" spans="1:52">
      <c r="A1424" s="131"/>
      <c r="B1424" s="72"/>
      <c r="D1424" s="72"/>
      <c r="G1424" s="72"/>
      <c r="J1424" s="72"/>
      <c r="M1424" s="72"/>
      <c r="P1424" s="72"/>
      <c r="S1424" s="72"/>
      <c r="V1424" s="72"/>
      <c r="Y1424" s="72"/>
      <c r="AB1424" s="72"/>
      <c r="AE1424" s="72"/>
      <c r="AH1424" s="72"/>
      <c r="AK1424" s="72"/>
      <c r="AN1424" s="72"/>
      <c r="AQ1424" s="72"/>
      <c r="AT1424" s="72"/>
      <c r="AW1424" s="72"/>
      <c r="AZ1424" s="72"/>
    </row>
    <row r="1425" spans="1:52">
      <c r="A1425" s="131"/>
      <c r="B1425" s="72"/>
      <c r="D1425" s="72"/>
      <c r="G1425" s="72"/>
      <c r="J1425" s="72"/>
      <c r="M1425" s="72"/>
      <c r="P1425" s="72"/>
      <c r="S1425" s="72"/>
      <c r="V1425" s="72"/>
      <c r="Y1425" s="72"/>
      <c r="AB1425" s="72"/>
      <c r="AE1425" s="72"/>
      <c r="AH1425" s="72"/>
      <c r="AK1425" s="72"/>
      <c r="AN1425" s="72"/>
      <c r="AQ1425" s="72"/>
      <c r="AT1425" s="72"/>
      <c r="AW1425" s="72"/>
      <c r="AZ1425" s="72"/>
    </row>
    <row r="1426" spans="1:52">
      <c r="A1426" s="131"/>
      <c r="B1426" s="72"/>
      <c r="D1426" s="72"/>
      <c r="G1426" s="72"/>
      <c r="J1426" s="72"/>
      <c r="M1426" s="72"/>
      <c r="P1426" s="72"/>
      <c r="S1426" s="72"/>
      <c r="V1426" s="72"/>
      <c r="Y1426" s="72"/>
      <c r="AB1426" s="72"/>
      <c r="AE1426" s="72"/>
      <c r="AH1426" s="72"/>
      <c r="AK1426" s="72"/>
      <c r="AN1426" s="72"/>
      <c r="AQ1426" s="72"/>
      <c r="AT1426" s="72"/>
      <c r="AW1426" s="72"/>
      <c r="AZ1426" s="72"/>
    </row>
    <row r="1427" spans="1:52">
      <c r="A1427" s="131"/>
      <c r="B1427" s="72"/>
      <c r="D1427" s="72"/>
      <c r="G1427" s="72"/>
      <c r="J1427" s="72"/>
      <c r="M1427" s="72"/>
      <c r="P1427" s="72"/>
      <c r="S1427" s="72"/>
      <c r="V1427" s="72"/>
      <c r="Y1427" s="72"/>
      <c r="AB1427" s="72"/>
      <c r="AE1427" s="72"/>
      <c r="AH1427" s="72"/>
      <c r="AK1427" s="72"/>
      <c r="AN1427" s="72"/>
      <c r="AQ1427" s="72"/>
      <c r="AT1427" s="72"/>
      <c r="AW1427" s="72"/>
      <c r="AZ1427" s="72"/>
    </row>
    <row r="1428" spans="1:52">
      <c r="A1428" s="131"/>
      <c r="B1428" s="72"/>
      <c r="D1428" s="72"/>
      <c r="G1428" s="72"/>
      <c r="J1428" s="72"/>
      <c r="M1428" s="72"/>
      <c r="P1428" s="72"/>
      <c r="S1428" s="72"/>
      <c r="V1428" s="72"/>
      <c r="Y1428" s="72"/>
      <c r="AB1428" s="72"/>
      <c r="AE1428" s="72"/>
      <c r="AH1428" s="72"/>
      <c r="AK1428" s="72"/>
      <c r="AN1428" s="72"/>
      <c r="AQ1428" s="72"/>
      <c r="AT1428" s="72"/>
      <c r="AW1428" s="72"/>
      <c r="AZ1428" s="72"/>
    </row>
    <row r="1429" spans="1:52">
      <c r="A1429" s="131"/>
      <c r="B1429" s="72"/>
      <c r="D1429" s="72"/>
      <c r="G1429" s="72"/>
      <c r="J1429" s="72"/>
      <c r="M1429" s="72"/>
      <c r="P1429" s="72"/>
      <c r="S1429" s="72"/>
      <c r="V1429" s="72"/>
      <c r="Y1429" s="72"/>
      <c r="AB1429" s="72"/>
      <c r="AE1429" s="72"/>
      <c r="AH1429" s="72"/>
      <c r="AK1429" s="72"/>
      <c r="AN1429" s="72"/>
      <c r="AQ1429" s="72"/>
      <c r="AT1429" s="72"/>
      <c r="AW1429" s="72"/>
      <c r="AZ1429" s="72"/>
    </row>
    <row r="1430" spans="1:52">
      <c r="A1430" s="131"/>
      <c r="B1430" s="72"/>
      <c r="D1430" s="72"/>
      <c r="G1430" s="72"/>
      <c r="J1430" s="72"/>
      <c r="M1430" s="72"/>
      <c r="P1430" s="72"/>
      <c r="S1430" s="72"/>
      <c r="V1430" s="72"/>
      <c r="Y1430" s="72"/>
      <c r="AB1430" s="72"/>
      <c r="AE1430" s="72"/>
      <c r="AH1430" s="72"/>
      <c r="AK1430" s="72"/>
      <c r="AN1430" s="72"/>
      <c r="AQ1430" s="72"/>
      <c r="AT1430" s="72"/>
      <c r="AW1430" s="72"/>
      <c r="AZ1430" s="72"/>
    </row>
    <row r="1431" spans="1:52">
      <c r="A1431" s="131"/>
      <c r="B1431" s="72"/>
      <c r="D1431" s="72"/>
      <c r="G1431" s="72"/>
      <c r="J1431" s="72"/>
      <c r="M1431" s="72"/>
      <c r="P1431" s="72"/>
      <c r="S1431" s="72"/>
      <c r="V1431" s="72"/>
      <c r="Y1431" s="72"/>
      <c r="AB1431" s="72"/>
      <c r="AE1431" s="72"/>
      <c r="AH1431" s="72"/>
      <c r="AK1431" s="72"/>
      <c r="AN1431" s="72"/>
      <c r="AQ1431" s="72"/>
      <c r="AT1431" s="72"/>
      <c r="AW1431" s="72"/>
      <c r="AZ1431" s="72"/>
    </row>
    <row r="1432" spans="1:52">
      <c r="A1432" s="131"/>
      <c r="B1432" s="72"/>
      <c r="D1432" s="72"/>
      <c r="G1432" s="72"/>
      <c r="J1432" s="72"/>
      <c r="M1432" s="72"/>
      <c r="P1432" s="72"/>
      <c r="S1432" s="72"/>
      <c r="V1432" s="72"/>
      <c r="Y1432" s="72"/>
      <c r="AB1432" s="72"/>
      <c r="AE1432" s="72"/>
      <c r="AH1432" s="72"/>
      <c r="AK1432" s="72"/>
      <c r="AN1432" s="72"/>
      <c r="AQ1432" s="72"/>
      <c r="AT1432" s="72"/>
      <c r="AW1432" s="72"/>
      <c r="AZ1432" s="72"/>
    </row>
    <row r="1433" spans="1:52">
      <c r="A1433" s="131"/>
      <c r="B1433" s="72"/>
      <c r="D1433" s="72"/>
      <c r="G1433" s="72"/>
      <c r="J1433" s="72"/>
      <c r="M1433" s="72"/>
      <c r="P1433" s="72"/>
      <c r="S1433" s="72"/>
      <c r="V1433" s="72"/>
      <c r="Y1433" s="72"/>
      <c r="AB1433" s="72"/>
      <c r="AE1433" s="72"/>
      <c r="AH1433" s="72"/>
      <c r="AK1433" s="72"/>
      <c r="AN1433" s="72"/>
      <c r="AQ1433" s="72"/>
      <c r="AT1433" s="72"/>
      <c r="AW1433" s="72"/>
      <c r="AZ1433" s="72"/>
    </row>
    <row r="1434" spans="1:52">
      <c r="A1434" s="131"/>
      <c r="B1434" s="72"/>
      <c r="D1434" s="72"/>
      <c r="G1434" s="72"/>
      <c r="J1434" s="72"/>
      <c r="M1434" s="72"/>
      <c r="P1434" s="72"/>
      <c r="S1434" s="72"/>
      <c r="V1434" s="72"/>
      <c r="Y1434" s="72"/>
      <c r="AB1434" s="72"/>
      <c r="AE1434" s="72"/>
      <c r="AH1434" s="72"/>
      <c r="AK1434" s="72"/>
      <c r="AN1434" s="72"/>
      <c r="AQ1434" s="72"/>
      <c r="AT1434" s="72"/>
      <c r="AW1434" s="72"/>
      <c r="AZ1434" s="72"/>
    </row>
    <row r="1435" spans="1:52">
      <c r="A1435" s="131"/>
      <c r="B1435" s="72"/>
      <c r="D1435" s="72"/>
      <c r="G1435" s="72"/>
      <c r="J1435" s="72"/>
      <c r="M1435" s="72"/>
      <c r="P1435" s="72"/>
      <c r="S1435" s="72"/>
      <c r="V1435" s="72"/>
      <c r="Y1435" s="72"/>
      <c r="AB1435" s="72"/>
      <c r="AE1435" s="72"/>
      <c r="AH1435" s="72"/>
      <c r="AK1435" s="72"/>
      <c r="AN1435" s="72"/>
      <c r="AQ1435" s="72"/>
      <c r="AT1435" s="72"/>
      <c r="AW1435" s="72"/>
      <c r="AZ1435" s="72"/>
    </row>
    <row r="1436" spans="1:52">
      <c r="A1436" s="131"/>
      <c r="B1436" s="72"/>
      <c r="D1436" s="72"/>
      <c r="G1436" s="72"/>
      <c r="J1436" s="72"/>
      <c r="M1436" s="72"/>
      <c r="P1436" s="72"/>
      <c r="S1436" s="72"/>
      <c r="V1436" s="72"/>
      <c r="Y1436" s="72"/>
      <c r="AB1436" s="72"/>
      <c r="AE1436" s="72"/>
      <c r="AH1436" s="72"/>
      <c r="AK1436" s="72"/>
      <c r="AN1436" s="72"/>
      <c r="AQ1436" s="72"/>
      <c r="AT1436" s="72"/>
      <c r="AW1436" s="72"/>
      <c r="AZ1436" s="72"/>
    </row>
    <row r="1437" spans="1:52">
      <c r="A1437" s="131"/>
      <c r="B1437" s="72"/>
      <c r="D1437" s="72"/>
      <c r="G1437" s="72"/>
      <c r="J1437" s="72"/>
      <c r="M1437" s="72"/>
      <c r="P1437" s="72"/>
      <c r="S1437" s="72"/>
      <c r="V1437" s="72"/>
      <c r="Y1437" s="72"/>
      <c r="AB1437" s="72"/>
      <c r="AE1437" s="72"/>
      <c r="AH1437" s="72"/>
      <c r="AK1437" s="72"/>
      <c r="AN1437" s="72"/>
      <c r="AQ1437" s="72"/>
      <c r="AT1437" s="72"/>
      <c r="AW1437" s="72"/>
      <c r="AZ1437" s="72"/>
    </row>
    <row r="1438" spans="1:52">
      <c r="A1438" s="131"/>
      <c r="B1438" s="72"/>
      <c r="D1438" s="72"/>
      <c r="G1438" s="72"/>
      <c r="J1438" s="72"/>
      <c r="M1438" s="72"/>
      <c r="P1438" s="72"/>
      <c r="S1438" s="72"/>
      <c r="V1438" s="72"/>
      <c r="Y1438" s="72"/>
      <c r="AB1438" s="72"/>
      <c r="AE1438" s="72"/>
      <c r="AH1438" s="72"/>
      <c r="AK1438" s="72"/>
      <c r="AN1438" s="72"/>
      <c r="AQ1438" s="72"/>
      <c r="AT1438" s="72"/>
      <c r="AW1438" s="72"/>
      <c r="AZ1438" s="72"/>
    </row>
    <row r="1439" spans="1:52">
      <c r="A1439" s="131"/>
      <c r="B1439" s="72"/>
      <c r="D1439" s="72"/>
      <c r="G1439" s="72"/>
      <c r="J1439" s="72"/>
      <c r="M1439" s="72"/>
      <c r="P1439" s="72"/>
      <c r="S1439" s="72"/>
      <c r="V1439" s="72"/>
      <c r="Y1439" s="72"/>
      <c r="AB1439" s="72"/>
      <c r="AE1439" s="72"/>
      <c r="AH1439" s="72"/>
      <c r="AK1439" s="72"/>
      <c r="AN1439" s="72"/>
      <c r="AQ1439" s="72"/>
      <c r="AT1439" s="72"/>
      <c r="AW1439" s="72"/>
      <c r="AZ1439" s="72"/>
    </row>
    <row r="1440" spans="1:52">
      <c r="A1440" s="131"/>
      <c r="B1440" s="72"/>
      <c r="D1440" s="72"/>
      <c r="G1440" s="72"/>
      <c r="J1440" s="72"/>
      <c r="M1440" s="72"/>
      <c r="P1440" s="72"/>
      <c r="S1440" s="72"/>
      <c r="V1440" s="72"/>
      <c r="Y1440" s="72"/>
      <c r="AB1440" s="72"/>
      <c r="AE1440" s="72"/>
      <c r="AH1440" s="72"/>
      <c r="AK1440" s="72"/>
      <c r="AN1440" s="72"/>
      <c r="AQ1440" s="72"/>
      <c r="AT1440" s="72"/>
      <c r="AW1440" s="72"/>
      <c r="AZ1440" s="72"/>
    </row>
    <row r="1441" spans="1:52">
      <c r="A1441" s="131"/>
      <c r="B1441" s="72"/>
      <c r="D1441" s="72"/>
      <c r="G1441" s="72"/>
      <c r="J1441" s="72"/>
      <c r="M1441" s="72"/>
      <c r="P1441" s="72"/>
      <c r="S1441" s="72"/>
      <c r="V1441" s="72"/>
      <c r="Y1441" s="72"/>
      <c r="AB1441" s="72"/>
      <c r="AE1441" s="72"/>
      <c r="AH1441" s="72"/>
      <c r="AK1441" s="72"/>
      <c r="AN1441" s="72"/>
      <c r="AQ1441" s="72"/>
      <c r="AT1441" s="72"/>
      <c r="AW1441" s="72"/>
      <c r="AZ1441" s="72"/>
    </row>
    <row r="1442" spans="1:52">
      <c r="A1442" s="131"/>
      <c r="B1442" s="72"/>
      <c r="D1442" s="72"/>
      <c r="G1442" s="72"/>
      <c r="J1442" s="72"/>
      <c r="M1442" s="72"/>
      <c r="P1442" s="72"/>
      <c r="S1442" s="72"/>
      <c r="V1442" s="72"/>
      <c r="Y1442" s="72"/>
      <c r="AB1442" s="72"/>
      <c r="AE1442" s="72"/>
      <c r="AH1442" s="72"/>
      <c r="AK1442" s="72"/>
      <c r="AN1442" s="72"/>
      <c r="AQ1442" s="72"/>
      <c r="AT1442" s="72"/>
      <c r="AW1442" s="72"/>
      <c r="AZ1442" s="72"/>
    </row>
    <row r="1443" spans="1:52">
      <c r="A1443" s="131"/>
      <c r="B1443" s="72"/>
      <c r="D1443" s="72"/>
      <c r="G1443" s="72"/>
      <c r="J1443" s="72"/>
      <c r="M1443" s="72"/>
      <c r="P1443" s="72"/>
      <c r="S1443" s="72"/>
      <c r="V1443" s="72"/>
      <c r="Y1443" s="72"/>
      <c r="AB1443" s="72"/>
      <c r="AE1443" s="72"/>
      <c r="AH1443" s="72"/>
      <c r="AK1443" s="72"/>
      <c r="AN1443" s="72"/>
      <c r="AQ1443" s="72"/>
      <c r="AT1443" s="72"/>
      <c r="AW1443" s="72"/>
      <c r="AZ1443" s="72"/>
    </row>
    <row r="1444" spans="1:52">
      <c r="A1444" s="131"/>
      <c r="B1444" s="72"/>
      <c r="D1444" s="72"/>
      <c r="G1444" s="72"/>
      <c r="J1444" s="72"/>
      <c r="M1444" s="72"/>
      <c r="P1444" s="72"/>
      <c r="S1444" s="72"/>
      <c r="V1444" s="72"/>
      <c r="Y1444" s="72"/>
      <c r="AB1444" s="72"/>
      <c r="AE1444" s="72"/>
      <c r="AH1444" s="72"/>
      <c r="AK1444" s="72"/>
      <c r="AN1444" s="72"/>
      <c r="AQ1444" s="72"/>
      <c r="AT1444" s="72"/>
      <c r="AW1444" s="72"/>
      <c r="AZ1444" s="72"/>
    </row>
    <row r="1445" spans="1:52">
      <c r="A1445" s="131"/>
      <c r="B1445" s="72"/>
      <c r="D1445" s="72"/>
      <c r="G1445" s="72"/>
      <c r="J1445" s="72"/>
      <c r="M1445" s="72"/>
      <c r="P1445" s="72"/>
      <c r="S1445" s="72"/>
      <c r="V1445" s="72"/>
      <c r="Y1445" s="72"/>
      <c r="AB1445" s="72"/>
      <c r="AE1445" s="72"/>
      <c r="AH1445" s="72"/>
      <c r="AK1445" s="72"/>
      <c r="AN1445" s="72"/>
      <c r="AQ1445" s="72"/>
      <c r="AT1445" s="72"/>
      <c r="AW1445" s="72"/>
      <c r="AZ1445" s="72"/>
    </row>
    <row r="1446" spans="1:52">
      <c r="A1446" s="131"/>
      <c r="B1446" s="72"/>
      <c r="D1446" s="72"/>
      <c r="G1446" s="72"/>
      <c r="J1446" s="72"/>
      <c r="M1446" s="72"/>
      <c r="P1446" s="72"/>
      <c r="S1446" s="72"/>
      <c r="V1446" s="72"/>
      <c r="Y1446" s="72"/>
      <c r="AB1446" s="72"/>
      <c r="AE1446" s="72"/>
      <c r="AH1446" s="72"/>
      <c r="AK1446" s="72"/>
      <c r="AN1446" s="72"/>
      <c r="AQ1446" s="72"/>
      <c r="AT1446" s="72"/>
      <c r="AW1446" s="72"/>
      <c r="AZ1446" s="72"/>
    </row>
    <row r="1447" spans="1:52">
      <c r="A1447" s="131"/>
      <c r="B1447" s="72"/>
      <c r="D1447" s="72"/>
      <c r="G1447" s="72"/>
      <c r="J1447" s="72"/>
      <c r="M1447" s="72"/>
      <c r="P1447" s="72"/>
      <c r="S1447" s="72"/>
      <c r="V1447" s="72"/>
      <c r="Y1447" s="72"/>
      <c r="AB1447" s="72"/>
      <c r="AE1447" s="72"/>
      <c r="AH1447" s="72"/>
      <c r="AK1447" s="72"/>
      <c r="AN1447" s="72"/>
      <c r="AQ1447" s="72"/>
      <c r="AT1447" s="72"/>
      <c r="AW1447" s="72"/>
      <c r="AZ1447" s="72"/>
    </row>
    <row r="1448" spans="1:52">
      <c r="A1448" s="131"/>
      <c r="B1448" s="72"/>
      <c r="D1448" s="72"/>
      <c r="G1448" s="72"/>
      <c r="J1448" s="72"/>
      <c r="M1448" s="72"/>
      <c r="P1448" s="72"/>
      <c r="S1448" s="72"/>
      <c r="V1448" s="72"/>
      <c r="Y1448" s="72"/>
      <c r="AB1448" s="72"/>
      <c r="AE1448" s="72"/>
      <c r="AH1448" s="72"/>
      <c r="AK1448" s="72"/>
      <c r="AN1448" s="72"/>
      <c r="AQ1448" s="72"/>
      <c r="AT1448" s="72"/>
      <c r="AW1448" s="72"/>
      <c r="AZ1448" s="72"/>
    </row>
    <row r="1449" spans="1:52">
      <c r="A1449" s="131"/>
      <c r="B1449" s="72"/>
      <c r="D1449" s="72"/>
      <c r="G1449" s="72"/>
      <c r="J1449" s="72"/>
      <c r="M1449" s="72"/>
      <c r="P1449" s="72"/>
      <c r="S1449" s="72"/>
      <c r="V1449" s="72"/>
      <c r="Y1449" s="72"/>
      <c r="AB1449" s="72"/>
      <c r="AE1449" s="72"/>
      <c r="AH1449" s="72"/>
      <c r="AK1449" s="72"/>
      <c r="AN1449" s="72"/>
      <c r="AQ1449" s="72"/>
      <c r="AT1449" s="72"/>
      <c r="AW1449" s="72"/>
      <c r="AZ1449" s="72"/>
    </row>
    <row r="1450" spans="1:52">
      <c r="A1450" s="131"/>
      <c r="B1450" s="72"/>
      <c r="D1450" s="72"/>
      <c r="G1450" s="72"/>
      <c r="J1450" s="72"/>
      <c r="M1450" s="72"/>
      <c r="P1450" s="72"/>
      <c r="S1450" s="72"/>
      <c r="V1450" s="72"/>
      <c r="Y1450" s="72"/>
      <c r="AB1450" s="72"/>
      <c r="AE1450" s="72"/>
      <c r="AH1450" s="72"/>
      <c r="AK1450" s="72"/>
      <c r="AN1450" s="72"/>
      <c r="AQ1450" s="72"/>
      <c r="AT1450" s="72"/>
      <c r="AW1450" s="72"/>
      <c r="AZ1450" s="72"/>
    </row>
    <row r="1451" spans="1:52">
      <c r="A1451" s="131"/>
      <c r="B1451" s="72"/>
      <c r="D1451" s="72"/>
      <c r="G1451" s="72"/>
      <c r="J1451" s="72"/>
      <c r="M1451" s="72"/>
      <c r="P1451" s="72"/>
      <c r="S1451" s="72"/>
      <c r="V1451" s="72"/>
      <c r="Y1451" s="72"/>
      <c r="AB1451" s="72"/>
      <c r="AE1451" s="72"/>
      <c r="AH1451" s="72"/>
      <c r="AK1451" s="72"/>
      <c r="AN1451" s="72"/>
      <c r="AQ1451" s="72"/>
      <c r="AT1451" s="72"/>
      <c r="AW1451" s="72"/>
      <c r="AZ1451" s="72"/>
    </row>
    <row r="1452" spans="1:52">
      <c r="A1452" s="131"/>
      <c r="B1452" s="72"/>
      <c r="D1452" s="72"/>
      <c r="G1452" s="72"/>
      <c r="J1452" s="72"/>
      <c r="M1452" s="72"/>
      <c r="P1452" s="72"/>
      <c r="S1452" s="72"/>
      <c r="V1452" s="72"/>
      <c r="Y1452" s="72"/>
      <c r="AB1452" s="72"/>
      <c r="AE1452" s="72"/>
      <c r="AH1452" s="72"/>
      <c r="AK1452" s="72"/>
      <c r="AN1452" s="72"/>
      <c r="AQ1452" s="72"/>
      <c r="AT1452" s="72"/>
      <c r="AW1452" s="72"/>
      <c r="AZ1452" s="72"/>
    </row>
    <row r="1453" spans="1:52">
      <c r="A1453" s="131"/>
      <c r="B1453" s="72"/>
      <c r="D1453" s="72"/>
      <c r="G1453" s="72"/>
      <c r="J1453" s="72"/>
      <c r="M1453" s="72"/>
      <c r="P1453" s="72"/>
      <c r="S1453" s="72"/>
      <c r="V1453" s="72"/>
      <c r="Y1453" s="72"/>
      <c r="AB1453" s="72"/>
      <c r="AE1453" s="72"/>
      <c r="AH1453" s="72"/>
      <c r="AK1453" s="72"/>
      <c r="AN1453" s="72"/>
      <c r="AQ1453" s="72"/>
      <c r="AT1453" s="72"/>
      <c r="AW1453" s="72"/>
      <c r="AZ1453" s="72"/>
    </row>
    <row r="1454" spans="1:52">
      <c r="A1454" s="131"/>
      <c r="B1454" s="72"/>
      <c r="D1454" s="72"/>
      <c r="G1454" s="72"/>
      <c r="J1454" s="72"/>
      <c r="M1454" s="72"/>
      <c r="P1454" s="72"/>
      <c r="S1454" s="72"/>
      <c r="V1454" s="72"/>
      <c r="Y1454" s="72"/>
      <c r="AB1454" s="72"/>
      <c r="AE1454" s="72"/>
      <c r="AH1454" s="72"/>
      <c r="AK1454" s="72"/>
      <c r="AN1454" s="72"/>
      <c r="AQ1454" s="72"/>
      <c r="AT1454" s="72"/>
      <c r="AW1454" s="72"/>
      <c r="AZ1454" s="72"/>
    </row>
    <row r="1455" spans="1:52">
      <c r="A1455" s="131"/>
      <c r="B1455" s="72"/>
      <c r="D1455" s="72"/>
      <c r="G1455" s="72"/>
      <c r="J1455" s="72"/>
      <c r="M1455" s="72"/>
      <c r="P1455" s="72"/>
      <c r="S1455" s="72"/>
      <c r="V1455" s="72"/>
      <c r="Y1455" s="72"/>
      <c r="AB1455" s="72"/>
      <c r="AE1455" s="72"/>
      <c r="AH1455" s="72"/>
      <c r="AK1455" s="72"/>
      <c r="AN1455" s="72"/>
      <c r="AQ1455" s="72"/>
      <c r="AT1455" s="72"/>
      <c r="AW1455" s="72"/>
      <c r="AZ1455" s="72"/>
    </row>
    <row r="1456" spans="1:52">
      <c r="A1456" s="131"/>
      <c r="B1456" s="72"/>
      <c r="D1456" s="72"/>
      <c r="G1456" s="72"/>
      <c r="J1456" s="72"/>
      <c r="M1456" s="72"/>
      <c r="P1456" s="72"/>
      <c r="S1456" s="72"/>
      <c r="V1456" s="72"/>
      <c r="Y1456" s="72"/>
      <c r="AB1456" s="72"/>
      <c r="AE1456" s="72"/>
      <c r="AH1456" s="72"/>
      <c r="AK1456" s="72"/>
      <c r="AN1456" s="72"/>
      <c r="AQ1456" s="72"/>
      <c r="AT1456" s="72"/>
      <c r="AW1456" s="72"/>
      <c r="AZ1456" s="72"/>
    </row>
    <row r="1457" spans="1:52">
      <c r="A1457" s="131"/>
      <c r="B1457" s="72"/>
      <c r="D1457" s="72"/>
      <c r="G1457" s="72"/>
      <c r="J1457" s="72"/>
      <c r="M1457" s="72"/>
      <c r="P1457" s="72"/>
      <c r="S1457" s="72"/>
      <c r="V1457" s="72"/>
      <c r="Y1457" s="72"/>
      <c r="AB1457" s="72"/>
      <c r="AE1457" s="72"/>
      <c r="AH1457" s="72"/>
      <c r="AK1457" s="72"/>
      <c r="AN1457" s="72"/>
      <c r="AQ1457" s="72"/>
      <c r="AT1457" s="72"/>
      <c r="AW1457" s="72"/>
      <c r="AZ1457" s="72"/>
    </row>
    <row r="1458" spans="1:52">
      <c r="A1458" s="131"/>
      <c r="B1458" s="72"/>
      <c r="D1458" s="72"/>
      <c r="G1458" s="72"/>
      <c r="J1458" s="72"/>
      <c r="M1458" s="72"/>
      <c r="P1458" s="72"/>
      <c r="S1458" s="72"/>
      <c r="V1458" s="72"/>
      <c r="Y1458" s="72"/>
      <c r="AB1458" s="72"/>
      <c r="AE1458" s="72"/>
      <c r="AH1458" s="72"/>
      <c r="AK1458" s="72"/>
      <c r="AN1458" s="72"/>
      <c r="AQ1458" s="72"/>
      <c r="AT1458" s="72"/>
      <c r="AW1458" s="72"/>
      <c r="AZ1458" s="72"/>
    </row>
    <row r="1459" spans="1:52">
      <c r="A1459" s="131"/>
      <c r="B1459" s="72"/>
      <c r="D1459" s="72"/>
      <c r="G1459" s="72"/>
      <c r="J1459" s="72"/>
      <c r="M1459" s="72"/>
      <c r="P1459" s="72"/>
      <c r="S1459" s="72"/>
      <c r="V1459" s="72"/>
      <c r="Y1459" s="72"/>
      <c r="AB1459" s="72"/>
      <c r="AE1459" s="72"/>
      <c r="AH1459" s="72"/>
      <c r="AK1459" s="72"/>
      <c r="AN1459" s="72"/>
      <c r="AQ1459" s="72"/>
      <c r="AT1459" s="72"/>
      <c r="AW1459" s="72"/>
      <c r="AZ1459" s="72"/>
    </row>
    <row r="1460" spans="1:52">
      <c r="A1460" s="131"/>
      <c r="B1460" s="72"/>
      <c r="D1460" s="72"/>
      <c r="G1460" s="72"/>
      <c r="J1460" s="72"/>
      <c r="M1460" s="72"/>
      <c r="P1460" s="72"/>
      <c r="S1460" s="72"/>
      <c r="V1460" s="72"/>
      <c r="Y1460" s="72"/>
      <c r="AB1460" s="72"/>
      <c r="AE1460" s="72"/>
      <c r="AH1460" s="72"/>
      <c r="AK1460" s="72"/>
      <c r="AN1460" s="72"/>
      <c r="AQ1460" s="72"/>
      <c r="AT1460" s="72"/>
      <c r="AW1460" s="72"/>
      <c r="AZ1460" s="72"/>
    </row>
    <row r="1461" spans="1:52">
      <c r="A1461" s="131"/>
      <c r="B1461" s="72"/>
      <c r="D1461" s="72"/>
      <c r="G1461" s="72"/>
      <c r="J1461" s="72"/>
      <c r="M1461" s="72"/>
      <c r="P1461" s="72"/>
      <c r="S1461" s="72"/>
      <c r="V1461" s="72"/>
      <c r="Y1461" s="72"/>
      <c r="AB1461" s="72"/>
      <c r="AE1461" s="72"/>
      <c r="AH1461" s="72"/>
      <c r="AK1461" s="72"/>
      <c r="AN1461" s="72"/>
      <c r="AQ1461" s="72"/>
      <c r="AT1461" s="72"/>
      <c r="AW1461" s="72"/>
      <c r="AZ1461" s="72"/>
    </row>
    <row r="1462" spans="1:52">
      <c r="A1462" s="131"/>
      <c r="B1462" s="72"/>
      <c r="D1462" s="72"/>
      <c r="G1462" s="72"/>
      <c r="J1462" s="72"/>
      <c r="M1462" s="72"/>
      <c r="P1462" s="72"/>
      <c r="S1462" s="72"/>
      <c r="V1462" s="72"/>
      <c r="Y1462" s="72"/>
      <c r="AB1462" s="72"/>
      <c r="AE1462" s="72"/>
      <c r="AH1462" s="72"/>
      <c r="AK1462" s="72"/>
      <c r="AN1462" s="72"/>
      <c r="AQ1462" s="72"/>
      <c r="AT1462" s="72"/>
      <c r="AW1462" s="72"/>
      <c r="AZ1462" s="72"/>
    </row>
    <row r="1463" spans="1:52">
      <c r="A1463" s="131"/>
      <c r="B1463" s="72"/>
      <c r="D1463" s="72"/>
      <c r="G1463" s="72"/>
      <c r="J1463" s="72"/>
      <c r="M1463" s="72"/>
      <c r="P1463" s="72"/>
      <c r="S1463" s="72"/>
      <c r="V1463" s="72"/>
      <c r="Y1463" s="72"/>
      <c r="AB1463" s="72"/>
      <c r="AE1463" s="72"/>
      <c r="AH1463" s="72"/>
      <c r="AK1463" s="72"/>
      <c r="AN1463" s="72"/>
      <c r="AQ1463" s="72"/>
      <c r="AT1463" s="72"/>
      <c r="AW1463" s="72"/>
      <c r="AZ1463" s="72"/>
    </row>
    <row r="1464" spans="1:52">
      <c r="A1464" s="131"/>
      <c r="B1464" s="72"/>
      <c r="D1464" s="72"/>
      <c r="G1464" s="72"/>
      <c r="J1464" s="72"/>
      <c r="M1464" s="72"/>
      <c r="P1464" s="72"/>
      <c r="S1464" s="72"/>
      <c r="V1464" s="72"/>
      <c r="Y1464" s="72"/>
      <c r="AB1464" s="72"/>
      <c r="AE1464" s="72"/>
      <c r="AH1464" s="72"/>
      <c r="AK1464" s="72"/>
      <c r="AN1464" s="72"/>
      <c r="AQ1464" s="72"/>
      <c r="AT1464" s="72"/>
      <c r="AW1464" s="72"/>
      <c r="AZ1464" s="72"/>
    </row>
    <row r="1465" spans="1:52">
      <c r="A1465" s="131"/>
      <c r="B1465" s="72"/>
      <c r="D1465" s="72"/>
      <c r="G1465" s="72"/>
      <c r="J1465" s="72"/>
      <c r="M1465" s="72"/>
      <c r="P1465" s="72"/>
      <c r="S1465" s="72"/>
      <c r="V1465" s="72"/>
      <c r="Y1465" s="72"/>
      <c r="AB1465" s="72"/>
      <c r="AE1465" s="72"/>
      <c r="AH1465" s="72"/>
      <c r="AK1465" s="72"/>
      <c r="AN1465" s="72"/>
      <c r="AQ1465" s="72"/>
      <c r="AT1465" s="72"/>
      <c r="AW1465" s="72"/>
      <c r="AZ1465" s="72"/>
    </row>
    <row r="1466" spans="1:52">
      <c r="A1466" s="131"/>
      <c r="B1466" s="72"/>
      <c r="D1466" s="72"/>
      <c r="G1466" s="72"/>
      <c r="J1466" s="72"/>
      <c r="M1466" s="72"/>
      <c r="P1466" s="72"/>
      <c r="S1466" s="72"/>
      <c r="V1466" s="72"/>
      <c r="Y1466" s="72"/>
      <c r="AB1466" s="72"/>
      <c r="AE1466" s="72"/>
      <c r="AH1466" s="72"/>
      <c r="AK1466" s="72"/>
      <c r="AN1466" s="72"/>
      <c r="AQ1466" s="72"/>
      <c r="AT1466" s="72"/>
      <c r="AW1466" s="72"/>
      <c r="AZ1466" s="72"/>
    </row>
    <row r="1467" spans="1:52">
      <c r="A1467" s="131"/>
      <c r="B1467" s="72"/>
      <c r="D1467" s="72"/>
      <c r="G1467" s="72"/>
      <c r="J1467" s="72"/>
      <c r="M1467" s="72"/>
      <c r="P1467" s="72"/>
      <c r="S1467" s="72"/>
      <c r="V1467" s="72"/>
      <c r="Y1467" s="72"/>
      <c r="AB1467" s="72"/>
      <c r="AE1467" s="72"/>
      <c r="AH1467" s="72"/>
      <c r="AK1467" s="72"/>
      <c r="AN1467" s="72"/>
      <c r="AQ1467" s="72"/>
      <c r="AT1467" s="72"/>
      <c r="AW1467" s="72"/>
      <c r="AZ1467" s="72"/>
    </row>
    <row r="1468" spans="1:52">
      <c r="A1468" s="131"/>
      <c r="B1468" s="72"/>
      <c r="D1468" s="72"/>
      <c r="G1468" s="72"/>
      <c r="J1468" s="72"/>
      <c r="M1468" s="72"/>
      <c r="P1468" s="72"/>
      <c r="S1468" s="72"/>
      <c r="V1468" s="72"/>
      <c r="Y1468" s="72"/>
      <c r="AB1468" s="72"/>
      <c r="AE1468" s="72"/>
      <c r="AH1468" s="72"/>
      <c r="AK1468" s="72"/>
      <c r="AN1468" s="72"/>
      <c r="AQ1468" s="72"/>
      <c r="AT1468" s="72"/>
      <c r="AW1468" s="72"/>
      <c r="AZ1468" s="72"/>
    </row>
    <row r="1469" spans="1:52">
      <c r="A1469" s="131"/>
      <c r="B1469" s="72"/>
      <c r="D1469" s="72"/>
      <c r="G1469" s="72"/>
      <c r="J1469" s="72"/>
      <c r="M1469" s="72"/>
      <c r="P1469" s="72"/>
      <c r="S1469" s="72"/>
      <c r="V1469" s="72"/>
      <c r="Y1469" s="72"/>
      <c r="AB1469" s="72"/>
      <c r="AE1469" s="72"/>
      <c r="AH1469" s="72"/>
      <c r="AK1469" s="72"/>
      <c r="AN1469" s="72"/>
      <c r="AQ1469" s="72"/>
      <c r="AT1469" s="72"/>
      <c r="AW1469" s="72"/>
      <c r="AZ1469" s="72"/>
    </row>
    <row r="1470" spans="1:52">
      <c r="A1470" s="131"/>
      <c r="B1470" s="72"/>
      <c r="D1470" s="72"/>
      <c r="G1470" s="72"/>
      <c r="J1470" s="72"/>
      <c r="M1470" s="72"/>
      <c r="P1470" s="72"/>
      <c r="S1470" s="72"/>
      <c r="V1470" s="72"/>
      <c r="Y1470" s="72"/>
      <c r="AB1470" s="72"/>
      <c r="AE1470" s="72"/>
      <c r="AH1470" s="72"/>
      <c r="AK1470" s="72"/>
      <c r="AN1470" s="72"/>
      <c r="AQ1470" s="72"/>
      <c r="AT1470" s="72"/>
      <c r="AW1470" s="72"/>
      <c r="AZ1470" s="72"/>
    </row>
    <row r="1471" spans="1:52">
      <c r="A1471" s="131"/>
      <c r="B1471" s="72"/>
      <c r="D1471" s="72"/>
      <c r="G1471" s="72"/>
      <c r="J1471" s="72"/>
      <c r="M1471" s="72"/>
      <c r="P1471" s="72"/>
      <c r="S1471" s="72"/>
      <c r="V1471" s="72"/>
      <c r="Y1471" s="72"/>
      <c r="AB1471" s="72"/>
      <c r="AE1471" s="72"/>
      <c r="AH1471" s="72"/>
      <c r="AK1471" s="72"/>
      <c r="AN1471" s="72"/>
      <c r="AQ1471" s="72"/>
      <c r="AT1471" s="72"/>
      <c r="AW1471" s="72"/>
      <c r="AZ1471" s="72"/>
    </row>
    <row r="1472" spans="1:52">
      <c r="A1472" s="131"/>
      <c r="B1472" s="72"/>
      <c r="D1472" s="72"/>
      <c r="G1472" s="72"/>
      <c r="J1472" s="72"/>
      <c r="M1472" s="72"/>
      <c r="P1472" s="72"/>
      <c r="S1472" s="72"/>
      <c r="V1472" s="72"/>
      <c r="Y1472" s="72"/>
      <c r="AB1472" s="72"/>
      <c r="AE1472" s="72"/>
      <c r="AH1472" s="72"/>
      <c r="AK1472" s="72"/>
      <c r="AN1472" s="72"/>
      <c r="AQ1472" s="72"/>
      <c r="AT1472" s="72"/>
      <c r="AW1472" s="72"/>
      <c r="AZ1472" s="72"/>
    </row>
    <row r="1473" spans="1:52">
      <c r="A1473" s="131"/>
      <c r="B1473" s="72"/>
      <c r="D1473" s="72"/>
      <c r="G1473" s="72"/>
      <c r="J1473" s="72"/>
      <c r="M1473" s="72"/>
      <c r="P1473" s="72"/>
      <c r="S1473" s="72"/>
      <c r="V1473" s="72"/>
      <c r="Y1473" s="72"/>
      <c r="AB1473" s="72"/>
      <c r="AE1473" s="72"/>
      <c r="AH1473" s="72"/>
      <c r="AK1473" s="72"/>
      <c r="AN1473" s="72"/>
      <c r="AQ1473" s="72"/>
      <c r="AT1473" s="72"/>
      <c r="AW1473" s="72"/>
      <c r="AZ1473" s="72"/>
    </row>
    <row r="1474" spans="1:52">
      <c r="A1474" s="131"/>
      <c r="B1474" s="72"/>
      <c r="D1474" s="72"/>
      <c r="G1474" s="72"/>
      <c r="J1474" s="72"/>
      <c r="M1474" s="72"/>
      <c r="P1474" s="72"/>
      <c r="S1474" s="72"/>
      <c r="V1474" s="72"/>
      <c r="Y1474" s="72"/>
      <c r="AB1474" s="72"/>
      <c r="AE1474" s="72"/>
      <c r="AH1474" s="72"/>
      <c r="AK1474" s="72"/>
      <c r="AN1474" s="72"/>
      <c r="AQ1474" s="72"/>
      <c r="AT1474" s="72"/>
      <c r="AW1474" s="72"/>
      <c r="AZ1474" s="72"/>
    </row>
    <row r="1475" spans="1:52">
      <c r="A1475" s="131"/>
      <c r="B1475" s="72"/>
      <c r="D1475" s="72"/>
      <c r="G1475" s="72"/>
      <c r="J1475" s="72"/>
      <c r="M1475" s="72"/>
      <c r="P1475" s="72"/>
      <c r="S1475" s="72"/>
      <c r="V1475" s="72"/>
      <c r="Y1475" s="72"/>
      <c r="AB1475" s="72"/>
      <c r="AE1475" s="72"/>
      <c r="AH1475" s="72"/>
      <c r="AK1475" s="72"/>
      <c r="AN1475" s="72"/>
      <c r="AQ1475" s="72"/>
      <c r="AT1475" s="72"/>
      <c r="AW1475" s="72"/>
      <c r="AZ1475" s="72"/>
    </row>
    <row r="1476" spans="1:52">
      <c r="A1476" s="131"/>
      <c r="B1476" s="72"/>
      <c r="D1476" s="72"/>
      <c r="G1476" s="72"/>
      <c r="J1476" s="72"/>
      <c r="M1476" s="72"/>
      <c r="P1476" s="72"/>
      <c r="S1476" s="72"/>
      <c r="V1476" s="72"/>
      <c r="Y1476" s="72"/>
      <c r="AB1476" s="72"/>
      <c r="AE1476" s="72"/>
      <c r="AH1476" s="72"/>
      <c r="AK1476" s="72"/>
      <c r="AN1476" s="72"/>
      <c r="AQ1476" s="72"/>
      <c r="AT1476" s="72"/>
      <c r="AW1476" s="72"/>
      <c r="AZ1476" s="72"/>
    </row>
    <row r="1477" spans="1:52">
      <c r="A1477" s="131"/>
      <c r="B1477" s="72"/>
      <c r="D1477" s="72"/>
      <c r="G1477" s="72"/>
      <c r="J1477" s="72"/>
      <c r="M1477" s="72"/>
      <c r="P1477" s="72"/>
      <c r="S1477" s="72"/>
      <c r="V1477" s="72"/>
      <c r="Y1477" s="72"/>
      <c r="AB1477" s="72"/>
      <c r="AE1477" s="72"/>
      <c r="AH1477" s="72"/>
      <c r="AK1477" s="72"/>
      <c r="AN1477" s="72"/>
      <c r="AQ1477" s="72"/>
      <c r="AT1477" s="72"/>
      <c r="AW1477" s="72"/>
      <c r="AZ1477" s="72"/>
    </row>
    <row r="1478" spans="1:52">
      <c r="A1478" s="131"/>
      <c r="B1478" s="72"/>
      <c r="D1478" s="72"/>
      <c r="G1478" s="72"/>
      <c r="J1478" s="72"/>
      <c r="M1478" s="72"/>
      <c r="P1478" s="72"/>
      <c r="S1478" s="72"/>
      <c r="V1478" s="72"/>
      <c r="Y1478" s="72"/>
      <c r="AB1478" s="72"/>
      <c r="AE1478" s="72"/>
      <c r="AH1478" s="72"/>
      <c r="AK1478" s="72"/>
      <c r="AN1478" s="72"/>
      <c r="AQ1478" s="72"/>
      <c r="AT1478" s="72"/>
      <c r="AW1478" s="72"/>
      <c r="AZ1478" s="72"/>
    </row>
    <row r="1479" spans="1:52">
      <c r="A1479" s="131"/>
      <c r="B1479" s="72"/>
      <c r="D1479" s="72"/>
      <c r="G1479" s="72"/>
      <c r="J1479" s="72"/>
      <c r="M1479" s="72"/>
      <c r="P1479" s="72"/>
      <c r="S1479" s="72"/>
      <c r="V1479" s="72"/>
      <c r="Y1479" s="72"/>
      <c r="AB1479" s="72"/>
      <c r="AE1479" s="72"/>
      <c r="AH1479" s="72"/>
      <c r="AK1479" s="72"/>
      <c r="AN1479" s="72"/>
      <c r="AQ1479" s="72"/>
      <c r="AT1479" s="72"/>
      <c r="AW1479" s="72"/>
      <c r="AZ1479" s="72"/>
    </row>
    <row r="1480" spans="1:52">
      <c r="A1480" s="131"/>
      <c r="B1480" s="72"/>
      <c r="D1480" s="72"/>
      <c r="G1480" s="72"/>
      <c r="J1480" s="72"/>
      <c r="M1480" s="72"/>
      <c r="P1480" s="72"/>
      <c r="S1480" s="72"/>
      <c r="V1480" s="72"/>
      <c r="Y1480" s="72"/>
      <c r="AB1480" s="72"/>
      <c r="AE1480" s="72"/>
      <c r="AH1480" s="72"/>
      <c r="AK1480" s="72"/>
      <c r="AN1480" s="72"/>
      <c r="AQ1480" s="72"/>
      <c r="AT1480" s="72"/>
      <c r="AW1480" s="72"/>
      <c r="AZ1480" s="72"/>
    </row>
    <row r="1481" spans="1:52">
      <c r="A1481" s="131"/>
      <c r="B1481" s="72"/>
      <c r="D1481" s="72"/>
      <c r="G1481" s="72"/>
      <c r="J1481" s="72"/>
      <c r="M1481" s="72"/>
      <c r="P1481" s="72"/>
      <c r="S1481" s="72"/>
      <c r="V1481" s="72"/>
      <c r="Y1481" s="72"/>
      <c r="AB1481" s="72"/>
      <c r="AE1481" s="72"/>
      <c r="AH1481" s="72"/>
      <c r="AK1481" s="72"/>
      <c r="AN1481" s="72"/>
      <c r="AQ1481" s="72"/>
      <c r="AT1481" s="72"/>
      <c r="AW1481" s="72"/>
      <c r="AZ1481" s="72"/>
    </row>
    <row r="1482" spans="1:52">
      <c r="A1482" s="131"/>
      <c r="B1482" s="72"/>
      <c r="D1482" s="72"/>
      <c r="G1482" s="72"/>
      <c r="J1482" s="72"/>
      <c r="M1482" s="72"/>
      <c r="P1482" s="72"/>
      <c r="S1482" s="72"/>
      <c r="V1482" s="72"/>
      <c r="Y1482" s="72"/>
      <c r="AB1482" s="72"/>
      <c r="AE1482" s="72"/>
      <c r="AH1482" s="72"/>
      <c r="AK1482" s="72"/>
      <c r="AN1482" s="72"/>
      <c r="AQ1482" s="72"/>
      <c r="AT1482" s="72"/>
      <c r="AW1482" s="72"/>
      <c r="AZ1482" s="72"/>
    </row>
    <row r="1483" spans="1:52">
      <c r="A1483" s="131"/>
      <c r="B1483" s="72"/>
      <c r="D1483" s="72"/>
      <c r="G1483" s="72"/>
      <c r="J1483" s="72"/>
      <c r="M1483" s="72"/>
      <c r="P1483" s="72"/>
      <c r="S1483" s="72"/>
      <c r="V1483" s="72"/>
      <c r="Y1483" s="72"/>
      <c r="AB1483" s="72"/>
      <c r="AE1483" s="72"/>
      <c r="AH1483" s="72"/>
      <c r="AK1483" s="72"/>
      <c r="AN1483" s="72"/>
      <c r="AQ1483" s="72"/>
      <c r="AT1483" s="72"/>
      <c r="AW1483" s="72"/>
      <c r="AZ1483" s="72"/>
    </row>
    <row r="1484" spans="1:52">
      <c r="A1484" s="131"/>
      <c r="B1484" s="72"/>
      <c r="D1484" s="72"/>
      <c r="G1484" s="72"/>
      <c r="J1484" s="72"/>
      <c r="M1484" s="72"/>
      <c r="P1484" s="72"/>
      <c r="S1484" s="72"/>
      <c r="V1484" s="72"/>
      <c r="Y1484" s="72"/>
      <c r="AB1484" s="72"/>
      <c r="AE1484" s="72"/>
      <c r="AH1484" s="72"/>
      <c r="AK1484" s="72"/>
      <c r="AN1484" s="72"/>
      <c r="AQ1484" s="72"/>
      <c r="AT1484" s="72"/>
      <c r="AW1484" s="72"/>
      <c r="AZ1484" s="72"/>
    </row>
    <row r="1485" spans="1:52">
      <c r="A1485" s="131"/>
      <c r="B1485" s="72"/>
      <c r="D1485" s="72"/>
      <c r="G1485" s="72"/>
      <c r="J1485" s="72"/>
      <c r="M1485" s="72"/>
      <c r="P1485" s="72"/>
      <c r="S1485" s="72"/>
      <c r="V1485" s="72"/>
      <c r="Y1485" s="72"/>
      <c r="AB1485" s="72"/>
      <c r="AE1485" s="72"/>
      <c r="AH1485" s="72"/>
      <c r="AK1485" s="72"/>
      <c r="AN1485" s="72"/>
      <c r="AQ1485" s="72"/>
      <c r="AT1485" s="72"/>
      <c r="AW1485" s="72"/>
      <c r="AZ1485" s="72"/>
    </row>
    <row r="1486" spans="1:52">
      <c r="A1486" s="131"/>
      <c r="B1486" s="72"/>
      <c r="D1486" s="72"/>
      <c r="G1486" s="72"/>
      <c r="J1486" s="72"/>
      <c r="M1486" s="72"/>
      <c r="P1486" s="72"/>
      <c r="S1486" s="72"/>
      <c r="V1486" s="72"/>
      <c r="Y1486" s="72"/>
      <c r="AB1486" s="72"/>
      <c r="AE1486" s="72"/>
      <c r="AH1486" s="72"/>
      <c r="AK1486" s="72"/>
      <c r="AN1486" s="72"/>
      <c r="AQ1486" s="72"/>
      <c r="AT1486" s="72"/>
      <c r="AW1486" s="72"/>
      <c r="AZ1486" s="72"/>
    </row>
    <row r="1487" spans="1:52">
      <c r="A1487" s="131"/>
      <c r="B1487" s="72"/>
      <c r="D1487" s="72"/>
      <c r="G1487" s="72"/>
      <c r="J1487" s="72"/>
      <c r="M1487" s="72"/>
      <c r="P1487" s="72"/>
      <c r="S1487" s="72"/>
      <c r="V1487" s="72"/>
      <c r="Y1487" s="72"/>
      <c r="AB1487" s="72"/>
      <c r="AE1487" s="72"/>
      <c r="AH1487" s="72"/>
      <c r="AK1487" s="72"/>
      <c r="AN1487" s="72"/>
      <c r="AQ1487" s="72"/>
      <c r="AT1487" s="72"/>
      <c r="AW1487" s="72"/>
      <c r="AZ1487" s="72"/>
    </row>
    <row r="1488" spans="1:52">
      <c r="A1488" s="131"/>
      <c r="B1488" s="72"/>
      <c r="D1488" s="72"/>
      <c r="G1488" s="72"/>
      <c r="J1488" s="72"/>
      <c r="M1488" s="72"/>
      <c r="P1488" s="72"/>
      <c r="S1488" s="72"/>
      <c r="V1488" s="72"/>
      <c r="Y1488" s="72"/>
      <c r="AB1488" s="72"/>
      <c r="AE1488" s="72"/>
      <c r="AH1488" s="72"/>
      <c r="AK1488" s="72"/>
      <c r="AN1488" s="72"/>
      <c r="AQ1488" s="72"/>
      <c r="AT1488" s="72"/>
      <c r="AW1488" s="72"/>
      <c r="AZ1488" s="72"/>
    </row>
    <row r="1489" spans="1:52">
      <c r="A1489" s="131"/>
      <c r="B1489" s="72"/>
      <c r="D1489" s="72"/>
      <c r="G1489" s="72"/>
      <c r="J1489" s="72"/>
      <c r="M1489" s="72"/>
      <c r="P1489" s="72"/>
      <c r="S1489" s="72"/>
      <c r="V1489" s="72"/>
      <c r="Y1489" s="72"/>
      <c r="AB1489" s="72"/>
      <c r="AE1489" s="72"/>
      <c r="AH1489" s="72"/>
      <c r="AK1489" s="72"/>
      <c r="AN1489" s="72"/>
      <c r="AQ1489" s="72"/>
      <c r="AT1489" s="72"/>
      <c r="AW1489" s="72"/>
      <c r="AZ1489" s="72"/>
    </row>
    <row r="1490" spans="1:52">
      <c r="A1490" s="131"/>
      <c r="B1490" s="72"/>
      <c r="D1490" s="72"/>
      <c r="G1490" s="72"/>
      <c r="J1490" s="72"/>
      <c r="M1490" s="72"/>
      <c r="P1490" s="72"/>
      <c r="S1490" s="72"/>
      <c r="V1490" s="72"/>
      <c r="Y1490" s="72"/>
      <c r="AB1490" s="72"/>
      <c r="AE1490" s="72"/>
      <c r="AH1490" s="72"/>
      <c r="AK1490" s="72"/>
      <c r="AN1490" s="72"/>
      <c r="AQ1490" s="72"/>
      <c r="AT1490" s="72"/>
      <c r="AW1490" s="72"/>
      <c r="AZ1490" s="72"/>
    </row>
    <row r="1491" spans="1:52">
      <c r="A1491" s="131"/>
      <c r="B1491" s="72"/>
      <c r="D1491" s="72"/>
      <c r="G1491" s="72"/>
      <c r="J1491" s="72"/>
      <c r="M1491" s="72"/>
      <c r="P1491" s="72"/>
      <c r="S1491" s="72"/>
      <c r="V1491" s="72"/>
      <c r="Y1491" s="72"/>
      <c r="AB1491" s="72"/>
      <c r="AE1491" s="72"/>
      <c r="AH1491" s="72"/>
      <c r="AK1491" s="72"/>
      <c r="AN1491" s="72"/>
      <c r="AQ1491" s="72"/>
      <c r="AT1491" s="72"/>
      <c r="AW1491" s="72"/>
      <c r="AZ1491" s="72"/>
    </row>
    <row r="1492" spans="1:52">
      <c r="A1492" s="131"/>
      <c r="B1492" s="72"/>
      <c r="D1492" s="72"/>
      <c r="G1492" s="72"/>
      <c r="J1492" s="72"/>
      <c r="M1492" s="72"/>
      <c r="P1492" s="72"/>
      <c r="S1492" s="72"/>
      <c r="V1492" s="72"/>
      <c r="Y1492" s="72"/>
      <c r="AB1492" s="72"/>
      <c r="AE1492" s="72"/>
      <c r="AH1492" s="72"/>
      <c r="AK1492" s="72"/>
      <c r="AN1492" s="72"/>
      <c r="AQ1492" s="72"/>
      <c r="AT1492" s="72"/>
      <c r="AW1492" s="72"/>
      <c r="AZ1492" s="72"/>
    </row>
    <row r="1493" spans="1:52">
      <c r="A1493" s="131"/>
      <c r="B1493" s="72"/>
      <c r="D1493" s="72"/>
      <c r="G1493" s="72"/>
      <c r="J1493" s="72"/>
      <c r="M1493" s="72"/>
      <c r="P1493" s="72"/>
      <c r="S1493" s="72"/>
      <c r="V1493" s="72"/>
      <c r="Y1493" s="72"/>
      <c r="AB1493" s="72"/>
      <c r="AE1493" s="72"/>
      <c r="AH1493" s="72"/>
      <c r="AK1493" s="72"/>
      <c r="AN1493" s="72"/>
      <c r="AQ1493" s="72"/>
      <c r="AT1493" s="72"/>
      <c r="AW1493" s="72"/>
      <c r="AZ1493" s="72"/>
    </row>
    <row r="1494" spans="1:52">
      <c r="A1494" s="131"/>
      <c r="B1494" s="72"/>
      <c r="D1494" s="72"/>
      <c r="G1494" s="72"/>
      <c r="J1494" s="72"/>
      <c r="M1494" s="72"/>
      <c r="P1494" s="72"/>
      <c r="S1494" s="72"/>
      <c r="V1494" s="72"/>
      <c r="Y1494" s="72"/>
      <c r="AB1494" s="72"/>
      <c r="AE1494" s="72"/>
      <c r="AH1494" s="72"/>
      <c r="AK1494" s="72"/>
      <c r="AN1494" s="72"/>
      <c r="AQ1494" s="72"/>
      <c r="AT1494" s="72"/>
      <c r="AW1494" s="72"/>
      <c r="AZ1494" s="72"/>
    </row>
    <row r="1495" spans="1:52">
      <c r="A1495" s="131"/>
      <c r="B1495" s="72"/>
      <c r="D1495" s="72"/>
      <c r="G1495" s="72"/>
      <c r="J1495" s="72"/>
      <c r="M1495" s="72"/>
      <c r="P1495" s="72"/>
      <c r="S1495" s="72"/>
      <c r="V1495" s="72"/>
      <c r="Y1495" s="72"/>
      <c r="AB1495" s="72"/>
      <c r="AE1495" s="72"/>
      <c r="AH1495" s="72"/>
      <c r="AK1495" s="72"/>
      <c r="AN1495" s="72"/>
      <c r="AQ1495" s="72"/>
      <c r="AT1495" s="72"/>
      <c r="AW1495" s="72"/>
      <c r="AZ1495" s="72"/>
    </row>
    <row r="1496" spans="1:52">
      <c r="A1496" s="131"/>
      <c r="B1496" s="72"/>
      <c r="D1496" s="72"/>
      <c r="G1496" s="72"/>
      <c r="J1496" s="72"/>
      <c r="M1496" s="72"/>
      <c r="P1496" s="72"/>
      <c r="S1496" s="72"/>
      <c r="V1496" s="72"/>
      <c r="Y1496" s="72"/>
      <c r="AB1496" s="72"/>
      <c r="AE1496" s="72"/>
      <c r="AH1496" s="72"/>
      <c r="AK1496" s="72"/>
      <c r="AN1496" s="72"/>
      <c r="AQ1496" s="72"/>
      <c r="AT1496" s="72"/>
      <c r="AW1496" s="72"/>
      <c r="AZ1496" s="72"/>
    </row>
    <row r="1497" spans="1:52">
      <c r="A1497" s="131"/>
      <c r="B1497" s="72"/>
      <c r="D1497" s="72"/>
      <c r="G1497" s="72"/>
      <c r="J1497" s="72"/>
      <c r="M1497" s="72"/>
      <c r="P1497" s="72"/>
      <c r="S1497" s="72"/>
      <c r="V1497" s="72"/>
      <c r="Y1497" s="72"/>
      <c r="AB1497" s="72"/>
      <c r="AE1497" s="72"/>
      <c r="AH1497" s="72"/>
      <c r="AK1497" s="72"/>
      <c r="AN1497" s="72"/>
      <c r="AQ1497" s="72"/>
      <c r="AT1497" s="72"/>
      <c r="AW1497" s="72"/>
      <c r="AZ1497" s="72"/>
    </row>
    <row r="1498" spans="1:52">
      <c r="A1498" s="131"/>
      <c r="B1498" s="72"/>
      <c r="D1498" s="72"/>
      <c r="G1498" s="72"/>
      <c r="J1498" s="72"/>
      <c r="M1498" s="72"/>
      <c r="P1498" s="72"/>
      <c r="S1498" s="72"/>
      <c r="V1498" s="72"/>
      <c r="Y1498" s="72"/>
      <c r="AB1498" s="72"/>
      <c r="AE1498" s="72"/>
      <c r="AH1498" s="72"/>
      <c r="AK1498" s="72"/>
      <c r="AN1498" s="72"/>
      <c r="AQ1498" s="72"/>
      <c r="AT1498" s="72"/>
      <c r="AW1498" s="72"/>
      <c r="AZ1498" s="72"/>
    </row>
    <row r="1499" spans="1:52">
      <c r="A1499" s="131"/>
      <c r="B1499" s="72"/>
      <c r="D1499" s="72"/>
      <c r="G1499" s="72"/>
      <c r="J1499" s="72"/>
      <c r="M1499" s="72"/>
      <c r="P1499" s="72"/>
      <c r="S1499" s="72"/>
      <c r="V1499" s="72"/>
      <c r="Y1499" s="72"/>
      <c r="AB1499" s="72"/>
      <c r="AE1499" s="72"/>
      <c r="AH1499" s="72"/>
      <c r="AK1499" s="72"/>
      <c r="AN1499" s="72"/>
      <c r="AQ1499" s="72"/>
      <c r="AT1499" s="72"/>
      <c r="AW1499" s="72"/>
      <c r="AZ1499" s="72"/>
    </row>
    <row r="1500" spans="1:52">
      <c r="A1500" s="131"/>
      <c r="B1500" s="72"/>
      <c r="D1500" s="72"/>
      <c r="G1500" s="72"/>
      <c r="J1500" s="72"/>
      <c r="M1500" s="72"/>
      <c r="P1500" s="72"/>
      <c r="S1500" s="72"/>
      <c r="V1500" s="72"/>
      <c r="Y1500" s="72"/>
      <c r="AB1500" s="72"/>
      <c r="AE1500" s="72"/>
      <c r="AH1500" s="72"/>
      <c r="AK1500" s="72"/>
      <c r="AN1500" s="72"/>
      <c r="AQ1500" s="72"/>
      <c r="AT1500" s="72"/>
      <c r="AW1500" s="72"/>
      <c r="AZ1500" s="72"/>
    </row>
    <row r="1501" spans="1:52">
      <c r="A1501" s="131"/>
      <c r="B1501" s="72"/>
      <c r="D1501" s="72"/>
      <c r="G1501" s="72"/>
      <c r="J1501" s="72"/>
      <c r="M1501" s="72"/>
      <c r="P1501" s="72"/>
      <c r="S1501" s="72"/>
      <c r="V1501" s="72"/>
      <c r="Y1501" s="72"/>
      <c r="AB1501" s="72"/>
      <c r="AE1501" s="72"/>
      <c r="AH1501" s="72"/>
      <c r="AK1501" s="72"/>
      <c r="AN1501" s="72"/>
      <c r="AQ1501" s="72"/>
      <c r="AT1501" s="72"/>
      <c r="AW1501" s="72"/>
      <c r="AZ1501" s="72"/>
    </row>
    <row r="1502" spans="1:52">
      <c r="A1502" s="131"/>
      <c r="B1502" s="72"/>
      <c r="D1502" s="72"/>
      <c r="G1502" s="72"/>
      <c r="J1502" s="72"/>
      <c r="M1502" s="72"/>
      <c r="P1502" s="72"/>
      <c r="S1502" s="72"/>
      <c r="V1502" s="72"/>
      <c r="Y1502" s="72"/>
      <c r="AB1502" s="72"/>
      <c r="AE1502" s="72"/>
      <c r="AH1502" s="72"/>
      <c r="AK1502" s="72"/>
      <c r="AN1502" s="72"/>
      <c r="AQ1502" s="72"/>
      <c r="AT1502" s="72"/>
      <c r="AW1502" s="72"/>
      <c r="AZ1502" s="72"/>
    </row>
    <row r="1503" spans="1:52">
      <c r="A1503" s="131"/>
      <c r="B1503" s="72"/>
      <c r="D1503" s="72"/>
      <c r="G1503" s="72"/>
      <c r="J1503" s="72"/>
      <c r="M1503" s="72"/>
      <c r="P1503" s="72"/>
      <c r="S1503" s="72"/>
      <c r="V1503" s="72"/>
      <c r="Y1503" s="72"/>
      <c r="AB1503" s="72"/>
      <c r="AE1503" s="72"/>
      <c r="AH1503" s="72"/>
      <c r="AK1503" s="72"/>
      <c r="AN1503" s="72"/>
      <c r="AQ1503" s="72"/>
      <c r="AT1503" s="72"/>
      <c r="AW1503" s="72"/>
      <c r="AZ1503" s="72"/>
    </row>
    <row r="1504" spans="1:52">
      <c r="A1504" s="131"/>
      <c r="B1504" s="72"/>
      <c r="D1504" s="72"/>
      <c r="G1504" s="72"/>
      <c r="J1504" s="72"/>
      <c r="M1504" s="72"/>
      <c r="P1504" s="72"/>
      <c r="S1504" s="72"/>
      <c r="V1504" s="72"/>
      <c r="Y1504" s="72"/>
      <c r="AB1504" s="72"/>
      <c r="AE1504" s="72"/>
      <c r="AH1504" s="72"/>
      <c r="AK1504" s="72"/>
      <c r="AN1504" s="72"/>
      <c r="AQ1504" s="72"/>
      <c r="AT1504" s="72"/>
      <c r="AW1504" s="72"/>
      <c r="AZ1504" s="72"/>
    </row>
    <row r="1505" spans="1:52">
      <c r="A1505" s="131"/>
      <c r="B1505" s="72"/>
      <c r="D1505" s="72"/>
      <c r="G1505" s="72"/>
      <c r="J1505" s="72"/>
      <c r="M1505" s="72"/>
      <c r="P1505" s="72"/>
      <c r="S1505" s="72"/>
      <c r="V1505" s="72"/>
      <c r="Y1505" s="72"/>
      <c r="AB1505" s="72"/>
      <c r="AE1505" s="72"/>
      <c r="AH1505" s="72"/>
      <c r="AK1505" s="72"/>
      <c r="AN1505" s="72"/>
      <c r="AQ1505" s="72"/>
      <c r="AT1505" s="72"/>
      <c r="AW1505" s="72"/>
      <c r="AZ1505" s="72"/>
    </row>
    <row r="1506" spans="1:52">
      <c r="A1506" s="131"/>
      <c r="B1506" s="72"/>
      <c r="D1506" s="72"/>
      <c r="G1506" s="72"/>
      <c r="J1506" s="72"/>
      <c r="M1506" s="72"/>
      <c r="P1506" s="72"/>
      <c r="S1506" s="72"/>
      <c r="V1506" s="72"/>
      <c r="Y1506" s="72"/>
      <c r="AB1506" s="72"/>
      <c r="AE1506" s="72"/>
      <c r="AH1506" s="72"/>
      <c r="AK1506" s="72"/>
      <c r="AN1506" s="72"/>
      <c r="AQ1506" s="72"/>
      <c r="AT1506" s="72"/>
      <c r="AW1506" s="72"/>
      <c r="AZ1506" s="72"/>
    </row>
    <row r="1507" spans="1:52">
      <c r="A1507" s="131"/>
      <c r="B1507" s="72"/>
      <c r="D1507" s="72"/>
      <c r="G1507" s="72"/>
      <c r="J1507" s="72"/>
      <c r="M1507" s="72"/>
      <c r="P1507" s="72"/>
      <c r="S1507" s="72"/>
      <c r="V1507" s="72"/>
      <c r="Y1507" s="72"/>
      <c r="AB1507" s="72"/>
      <c r="AE1507" s="72"/>
      <c r="AH1507" s="72"/>
      <c r="AK1507" s="72"/>
      <c r="AN1507" s="72"/>
      <c r="AQ1507" s="72"/>
      <c r="AT1507" s="72"/>
      <c r="AW1507" s="72"/>
      <c r="AZ1507" s="72"/>
    </row>
    <row r="1508" spans="1:52">
      <c r="A1508" s="131"/>
      <c r="B1508" s="72"/>
      <c r="D1508" s="72"/>
      <c r="G1508" s="72"/>
      <c r="J1508" s="72"/>
      <c r="M1508" s="72"/>
      <c r="P1508" s="72"/>
      <c r="S1508" s="72"/>
      <c r="V1508" s="72"/>
      <c r="Y1508" s="72"/>
      <c r="AB1508" s="72"/>
      <c r="AE1508" s="72"/>
      <c r="AH1508" s="72"/>
      <c r="AK1508" s="72"/>
      <c r="AN1508" s="72"/>
      <c r="AQ1508" s="72"/>
      <c r="AT1508" s="72"/>
      <c r="AW1508" s="72"/>
      <c r="AZ1508" s="72"/>
    </row>
    <row r="1509" spans="1:52">
      <c r="A1509" s="131"/>
      <c r="B1509" s="72"/>
      <c r="D1509" s="72"/>
      <c r="G1509" s="72"/>
      <c r="J1509" s="72"/>
      <c r="M1509" s="72"/>
      <c r="P1509" s="72"/>
      <c r="S1509" s="72"/>
      <c r="V1509" s="72"/>
      <c r="Y1509" s="72"/>
      <c r="AB1509" s="72"/>
      <c r="AE1509" s="72"/>
      <c r="AH1509" s="72"/>
      <c r="AK1509" s="72"/>
      <c r="AN1509" s="72"/>
      <c r="AQ1509" s="72"/>
      <c r="AT1509" s="72"/>
      <c r="AW1509" s="72"/>
      <c r="AZ1509" s="72"/>
    </row>
    <row r="1510" spans="1:52">
      <c r="A1510" s="131"/>
      <c r="B1510" s="72"/>
      <c r="D1510" s="72"/>
      <c r="G1510" s="72"/>
      <c r="J1510" s="72"/>
      <c r="M1510" s="72"/>
      <c r="P1510" s="72"/>
      <c r="S1510" s="72"/>
      <c r="V1510" s="72"/>
      <c r="Y1510" s="72"/>
      <c r="AB1510" s="72"/>
      <c r="AE1510" s="72"/>
      <c r="AH1510" s="72"/>
      <c r="AK1510" s="72"/>
      <c r="AN1510" s="72"/>
      <c r="AQ1510" s="72"/>
      <c r="AT1510" s="72"/>
      <c r="AW1510" s="72"/>
      <c r="AZ1510" s="72"/>
    </row>
    <row r="1511" spans="1:52">
      <c r="A1511" s="131"/>
      <c r="B1511" s="72"/>
      <c r="D1511" s="72"/>
      <c r="G1511" s="72"/>
      <c r="J1511" s="72"/>
      <c r="M1511" s="72"/>
      <c r="P1511" s="72"/>
      <c r="S1511" s="72"/>
      <c r="V1511" s="72"/>
      <c r="Y1511" s="72"/>
      <c r="AB1511" s="72"/>
      <c r="AE1511" s="72"/>
      <c r="AH1511" s="72"/>
      <c r="AK1511" s="72"/>
      <c r="AN1511" s="72"/>
      <c r="AQ1511" s="72"/>
      <c r="AT1511" s="72"/>
      <c r="AW1511" s="72"/>
      <c r="AZ1511" s="72"/>
    </row>
    <row r="1512" spans="1:52">
      <c r="A1512" s="131"/>
      <c r="B1512" s="72"/>
      <c r="D1512" s="72"/>
      <c r="G1512" s="72"/>
      <c r="J1512" s="72"/>
      <c r="M1512" s="72"/>
      <c r="P1512" s="72"/>
      <c r="S1512" s="72"/>
      <c r="V1512" s="72"/>
      <c r="Y1512" s="72"/>
      <c r="AB1512" s="72"/>
      <c r="AE1512" s="72"/>
      <c r="AH1512" s="72"/>
      <c r="AK1512" s="72"/>
      <c r="AN1512" s="72"/>
      <c r="AQ1512" s="72"/>
      <c r="AT1512" s="72"/>
      <c r="AW1512" s="72"/>
      <c r="AZ1512" s="72"/>
    </row>
    <row r="1513" spans="1:52">
      <c r="A1513" s="131"/>
      <c r="B1513" s="72"/>
      <c r="D1513" s="72"/>
      <c r="G1513" s="72"/>
      <c r="J1513" s="72"/>
      <c r="M1513" s="72"/>
      <c r="P1513" s="72"/>
      <c r="S1513" s="72"/>
      <c r="V1513" s="72"/>
      <c r="Y1513" s="72"/>
      <c r="AB1513" s="72"/>
      <c r="AE1513" s="72"/>
      <c r="AH1513" s="72"/>
      <c r="AK1513" s="72"/>
      <c r="AN1513" s="72"/>
      <c r="AQ1513" s="72"/>
      <c r="AT1513" s="72"/>
      <c r="AW1513" s="72"/>
      <c r="AZ1513" s="72"/>
    </row>
    <row r="1514" spans="1:52">
      <c r="A1514" s="131"/>
      <c r="B1514" s="72"/>
      <c r="D1514" s="72"/>
      <c r="G1514" s="72"/>
      <c r="J1514" s="72"/>
      <c r="M1514" s="72"/>
      <c r="P1514" s="72"/>
      <c r="S1514" s="72"/>
      <c r="V1514" s="72"/>
      <c r="Y1514" s="72"/>
      <c r="AB1514" s="72"/>
      <c r="AE1514" s="72"/>
      <c r="AH1514" s="72"/>
      <c r="AK1514" s="72"/>
      <c r="AN1514" s="72"/>
      <c r="AQ1514" s="72"/>
      <c r="AT1514" s="72"/>
      <c r="AW1514" s="72"/>
      <c r="AZ1514" s="72"/>
    </row>
    <row r="1515" spans="1:52">
      <c r="A1515" s="131"/>
      <c r="B1515" s="72"/>
      <c r="D1515" s="72"/>
      <c r="G1515" s="72"/>
      <c r="J1515" s="72"/>
      <c r="M1515" s="72"/>
      <c r="P1515" s="72"/>
      <c r="S1515" s="72"/>
      <c r="V1515" s="72"/>
      <c r="Y1515" s="72"/>
      <c r="AB1515" s="72"/>
      <c r="AE1515" s="72"/>
      <c r="AH1515" s="72"/>
      <c r="AK1515" s="72"/>
      <c r="AN1515" s="72"/>
      <c r="AQ1515" s="72"/>
      <c r="AT1515" s="72"/>
      <c r="AW1515" s="72"/>
      <c r="AZ1515" s="72"/>
    </row>
    <row r="1516" spans="1:52">
      <c r="A1516" s="131"/>
      <c r="B1516" s="72"/>
      <c r="D1516" s="72"/>
      <c r="G1516" s="72"/>
      <c r="J1516" s="72"/>
      <c r="M1516" s="72"/>
      <c r="P1516" s="72"/>
      <c r="S1516" s="72"/>
      <c r="V1516" s="72"/>
      <c r="Y1516" s="72"/>
      <c r="AB1516" s="72"/>
      <c r="AE1516" s="72"/>
      <c r="AH1516" s="72"/>
      <c r="AK1516" s="72"/>
      <c r="AN1516" s="72"/>
      <c r="AQ1516" s="72"/>
      <c r="AT1516" s="72"/>
      <c r="AW1516" s="72"/>
      <c r="AZ1516" s="72"/>
    </row>
    <row r="1517" spans="1:52">
      <c r="A1517" s="131"/>
      <c r="B1517" s="72"/>
      <c r="D1517" s="72"/>
      <c r="G1517" s="72"/>
      <c r="J1517" s="72"/>
      <c r="M1517" s="72"/>
      <c r="P1517" s="72"/>
      <c r="S1517" s="72"/>
      <c r="V1517" s="72"/>
      <c r="Y1517" s="72"/>
      <c r="AB1517" s="72"/>
      <c r="AE1517" s="72"/>
      <c r="AH1517" s="72"/>
      <c r="AK1517" s="72"/>
      <c r="AN1517" s="72"/>
      <c r="AQ1517" s="72"/>
      <c r="AT1517" s="72"/>
      <c r="AW1517" s="72"/>
      <c r="AZ1517" s="72"/>
    </row>
    <row r="1518" spans="1:52">
      <c r="A1518" s="131"/>
      <c r="B1518" s="72"/>
      <c r="D1518" s="72"/>
      <c r="G1518" s="72"/>
      <c r="J1518" s="72"/>
      <c r="M1518" s="72"/>
      <c r="P1518" s="72"/>
      <c r="S1518" s="72"/>
      <c r="V1518" s="72"/>
      <c r="Y1518" s="72"/>
      <c r="AB1518" s="72"/>
      <c r="AE1518" s="72"/>
      <c r="AH1518" s="72"/>
      <c r="AK1518" s="72"/>
      <c r="AN1518" s="72"/>
      <c r="AQ1518" s="72"/>
      <c r="AT1518" s="72"/>
      <c r="AW1518" s="72"/>
      <c r="AZ1518" s="72"/>
    </row>
    <row r="1519" spans="1:52">
      <c r="A1519" s="131"/>
      <c r="B1519" s="72"/>
      <c r="D1519" s="72"/>
      <c r="G1519" s="72"/>
      <c r="J1519" s="72"/>
      <c r="M1519" s="72"/>
      <c r="P1519" s="72"/>
      <c r="S1519" s="72"/>
      <c r="V1519" s="72"/>
      <c r="Y1519" s="72"/>
      <c r="AB1519" s="72"/>
      <c r="AE1519" s="72"/>
      <c r="AH1519" s="72"/>
      <c r="AK1519" s="72"/>
      <c r="AN1519" s="72"/>
      <c r="AQ1519" s="72"/>
      <c r="AT1519" s="72"/>
      <c r="AW1519" s="72"/>
      <c r="AZ1519" s="72"/>
    </row>
    <row r="1520" spans="1:52">
      <c r="A1520" s="131"/>
      <c r="B1520" s="72"/>
      <c r="D1520" s="72"/>
      <c r="G1520" s="72"/>
      <c r="J1520" s="72"/>
      <c r="M1520" s="72"/>
      <c r="P1520" s="72"/>
      <c r="S1520" s="72"/>
      <c r="V1520" s="72"/>
      <c r="Y1520" s="72"/>
      <c r="AB1520" s="72"/>
      <c r="AE1520" s="72"/>
      <c r="AH1520" s="72"/>
      <c r="AK1520" s="72"/>
      <c r="AN1520" s="72"/>
      <c r="AQ1520" s="72"/>
      <c r="AT1520" s="72"/>
      <c r="AW1520" s="72"/>
      <c r="AZ1520" s="72"/>
    </row>
    <row r="1521" spans="1:52">
      <c r="A1521" s="131"/>
      <c r="B1521" s="72"/>
      <c r="D1521" s="72"/>
      <c r="G1521" s="72"/>
      <c r="J1521" s="72"/>
      <c r="M1521" s="72"/>
      <c r="P1521" s="72"/>
      <c r="S1521" s="72"/>
      <c r="V1521" s="72"/>
      <c r="Y1521" s="72"/>
      <c r="AB1521" s="72"/>
      <c r="AE1521" s="72"/>
      <c r="AH1521" s="72"/>
      <c r="AK1521" s="72"/>
      <c r="AN1521" s="72"/>
      <c r="AQ1521" s="72"/>
      <c r="AT1521" s="72"/>
      <c r="AW1521" s="72"/>
      <c r="AZ1521" s="72"/>
    </row>
    <row r="1522" spans="1:52">
      <c r="A1522" s="131"/>
      <c r="B1522" s="72"/>
      <c r="D1522" s="72"/>
      <c r="G1522" s="72"/>
      <c r="J1522" s="72"/>
      <c r="M1522" s="72"/>
      <c r="P1522" s="72"/>
      <c r="S1522" s="72"/>
      <c r="V1522" s="72"/>
      <c r="Y1522" s="72"/>
      <c r="AB1522" s="72"/>
      <c r="AE1522" s="72"/>
      <c r="AH1522" s="72"/>
      <c r="AK1522" s="72"/>
      <c r="AN1522" s="72"/>
      <c r="AQ1522" s="72"/>
      <c r="AT1522" s="72"/>
      <c r="AW1522" s="72"/>
      <c r="AZ1522" s="72"/>
    </row>
    <row r="1523" spans="1:52">
      <c r="A1523" s="131"/>
      <c r="B1523" s="72"/>
      <c r="D1523" s="72"/>
      <c r="G1523" s="72"/>
      <c r="J1523" s="72"/>
      <c r="M1523" s="72"/>
      <c r="P1523" s="72"/>
      <c r="S1523" s="72"/>
      <c r="V1523" s="72"/>
      <c r="Y1523" s="72"/>
      <c r="AB1523" s="72"/>
      <c r="AE1523" s="72"/>
      <c r="AH1523" s="72"/>
      <c r="AK1523" s="72"/>
      <c r="AN1523" s="72"/>
      <c r="AQ1523" s="72"/>
      <c r="AT1523" s="72"/>
      <c r="AW1523" s="72"/>
      <c r="AZ1523" s="72"/>
    </row>
    <row r="1524" spans="1:52">
      <c r="A1524" s="131"/>
      <c r="B1524" s="72"/>
      <c r="D1524" s="72"/>
      <c r="G1524" s="72"/>
      <c r="J1524" s="72"/>
      <c r="M1524" s="72"/>
      <c r="P1524" s="72"/>
      <c r="S1524" s="72"/>
      <c r="V1524" s="72"/>
      <c r="Y1524" s="72"/>
      <c r="AB1524" s="72"/>
      <c r="AE1524" s="72"/>
      <c r="AH1524" s="72"/>
      <c r="AK1524" s="72"/>
      <c r="AN1524" s="72"/>
      <c r="AQ1524" s="72"/>
      <c r="AT1524" s="72"/>
      <c r="AW1524" s="72"/>
      <c r="AZ1524" s="72"/>
    </row>
    <row r="1525" spans="1:52">
      <c r="A1525" s="131"/>
      <c r="B1525" s="72"/>
      <c r="D1525" s="72"/>
      <c r="G1525" s="72"/>
      <c r="J1525" s="72"/>
      <c r="M1525" s="72"/>
      <c r="P1525" s="72"/>
      <c r="S1525" s="72"/>
      <c r="V1525" s="72"/>
      <c r="Y1525" s="72"/>
      <c r="AB1525" s="72"/>
      <c r="AE1525" s="72"/>
      <c r="AH1525" s="72"/>
      <c r="AK1525" s="72"/>
      <c r="AN1525" s="72"/>
      <c r="AQ1525" s="72"/>
      <c r="AT1525" s="72"/>
      <c r="AW1525" s="72"/>
      <c r="AZ1525" s="72"/>
    </row>
    <row r="1526" spans="1:52">
      <c r="A1526" s="131"/>
      <c r="B1526" s="72"/>
      <c r="D1526" s="72"/>
      <c r="G1526" s="72"/>
      <c r="J1526" s="72"/>
      <c r="M1526" s="72"/>
      <c r="P1526" s="72"/>
      <c r="S1526" s="72"/>
      <c r="V1526" s="72"/>
      <c r="Y1526" s="72"/>
      <c r="AB1526" s="72"/>
      <c r="AE1526" s="72"/>
      <c r="AH1526" s="72"/>
      <c r="AK1526" s="72"/>
      <c r="AN1526" s="72"/>
      <c r="AQ1526" s="72"/>
      <c r="AT1526" s="72"/>
      <c r="AW1526" s="72"/>
      <c r="AZ1526" s="72"/>
    </row>
    <row r="1527" spans="1:52">
      <c r="A1527" s="131"/>
      <c r="B1527" s="72"/>
      <c r="D1527" s="72"/>
      <c r="G1527" s="72"/>
      <c r="J1527" s="72"/>
      <c r="M1527" s="72"/>
      <c r="P1527" s="72"/>
      <c r="S1527" s="72"/>
      <c r="V1527" s="72"/>
      <c r="Y1527" s="72"/>
      <c r="AB1527" s="72"/>
      <c r="AE1527" s="72"/>
      <c r="AH1527" s="72"/>
      <c r="AK1527" s="72"/>
      <c r="AN1527" s="72"/>
      <c r="AQ1527" s="72"/>
      <c r="AT1527" s="72"/>
      <c r="AW1527" s="72"/>
      <c r="AZ1527" s="72"/>
    </row>
    <row r="1528" spans="1:52">
      <c r="A1528" s="131"/>
      <c r="B1528" s="72"/>
      <c r="D1528" s="72"/>
      <c r="G1528" s="72"/>
      <c r="J1528" s="72"/>
      <c r="M1528" s="72"/>
      <c r="P1528" s="72"/>
      <c r="S1528" s="72"/>
      <c r="V1528" s="72"/>
      <c r="Y1528" s="72"/>
      <c r="AB1528" s="72"/>
      <c r="AE1528" s="72"/>
      <c r="AH1528" s="72"/>
      <c r="AK1528" s="72"/>
      <c r="AN1528" s="72"/>
      <c r="AQ1528" s="72"/>
      <c r="AT1528" s="72"/>
      <c r="AW1528" s="72"/>
      <c r="AZ1528" s="72"/>
    </row>
    <row r="1529" spans="1:52">
      <c r="A1529" s="131"/>
      <c r="B1529" s="72"/>
      <c r="D1529" s="72"/>
      <c r="G1529" s="72"/>
      <c r="J1529" s="72"/>
      <c r="M1529" s="72"/>
      <c r="P1529" s="72"/>
      <c r="S1529" s="72"/>
      <c r="V1529" s="72"/>
      <c r="Y1529" s="72"/>
      <c r="AB1529" s="72"/>
      <c r="AE1529" s="72"/>
      <c r="AH1529" s="72"/>
      <c r="AK1529" s="72"/>
      <c r="AN1529" s="72"/>
      <c r="AQ1529" s="72"/>
      <c r="AT1529" s="72"/>
      <c r="AW1529" s="72"/>
      <c r="AZ1529" s="72"/>
    </row>
    <row r="1530" spans="1:52">
      <c r="A1530" s="131"/>
      <c r="B1530" s="72"/>
      <c r="D1530" s="72"/>
      <c r="G1530" s="72"/>
      <c r="J1530" s="72"/>
      <c r="M1530" s="72"/>
      <c r="P1530" s="72"/>
      <c r="S1530" s="72"/>
      <c r="V1530" s="72"/>
      <c r="Y1530" s="72"/>
      <c r="AB1530" s="72"/>
      <c r="AE1530" s="72"/>
      <c r="AH1530" s="72"/>
      <c r="AK1530" s="72"/>
      <c r="AN1530" s="72"/>
      <c r="AQ1530" s="72"/>
      <c r="AT1530" s="72"/>
      <c r="AW1530" s="72"/>
      <c r="AZ1530" s="72"/>
    </row>
    <row r="1531" spans="1:52">
      <c r="A1531" s="131"/>
      <c r="B1531" s="72"/>
      <c r="D1531" s="72"/>
      <c r="G1531" s="72"/>
      <c r="J1531" s="72"/>
      <c r="M1531" s="72"/>
      <c r="P1531" s="72"/>
      <c r="S1531" s="72"/>
      <c r="V1531" s="72"/>
      <c r="Y1531" s="72"/>
      <c r="AB1531" s="72"/>
      <c r="AE1531" s="72"/>
      <c r="AH1531" s="72"/>
      <c r="AK1531" s="72"/>
      <c r="AN1531" s="72"/>
      <c r="AQ1531" s="72"/>
      <c r="AT1531" s="72"/>
      <c r="AW1531" s="72"/>
      <c r="AZ1531" s="72"/>
    </row>
    <row r="1532" spans="1:52">
      <c r="A1532" s="131"/>
      <c r="B1532" s="72"/>
      <c r="D1532" s="72"/>
      <c r="G1532" s="72"/>
      <c r="J1532" s="72"/>
      <c r="M1532" s="72"/>
      <c r="P1532" s="72"/>
      <c r="S1532" s="72"/>
      <c r="V1532" s="72"/>
      <c r="Y1532" s="72"/>
      <c r="AB1532" s="72"/>
      <c r="AE1532" s="72"/>
      <c r="AH1532" s="72"/>
      <c r="AK1532" s="72"/>
      <c r="AN1532" s="72"/>
      <c r="AQ1532" s="72"/>
      <c r="AT1532" s="72"/>
      <c r="AW1532" s="72"/>
      <c r="AZ1532" s="72"/>
    </row>
    <row r="1533" spans="1:52">
      <c r="A1533" s="131"/>
      <c r="B1533" s="72"/>
      <c r="D1533" s="72"/>
      <c r="G1533" s="72"/>
      <c r="J1533" s="72"/>
      <c r="M1533" s="72"/>
      <c r="P1533" s="72"/>
      <c r="S1533" s="72"/>
      <c r="V1533" s="72"/>
      <c r="Y1533" s="72"/>
      <c r="AB1533" s="72"/>
      <c r="AE1533" s="72"/>
      <c r="AH1533" s="72"/>
      <c r="AK1533" s="72"/>
      <c r="AN1533" s="72"/>
      <c r="AQ1533" s="72"/>
      <c r="AT1533" s="72"/>
      <c r="AW1533" s="72"/>
      <c r="AZ1533" s="72"/>
    </row>
    <row r="1534" spans="1:52">
      <c r="A1534" s="131"/>
      <c r="B1534" s="72"/>
      <c r="D1534" s="72"/>
      <c r="G1534" s="72"/>
      <c r="J1534" s="72"/>
      <c r="M1534" s="72"/>
      <c r="P1534" s="72"/>
      <c r="S1534" s="72"/>
      <c r="V1534" s="72"/>
      <c r="Y1534" s="72"/>
      <c r="AB1534" s="72"/>
      <c r="AE1534" s="72"/>
      <c r="AH1534" s="72"/>
      <c r="AK1534" s="72"/>
      <c r="AN1534" s="72"/>
      <c r="AQ1534" s="72"/>
      <c r="AT1534" s="72"/>
      <c r="AW1534" s="72"/>
      <c r="AZ1534" s="72"/>
    </row>
    <row r="1535" spans="1:52">
      <c r="A1535" s="131"/>
      <c r="B1535" s="72"/>
      <c r="D1535" s="72"/>
      <c r="G1535" s="72"/>
      <c r="J1535" s="72"/>
      <c r="M1535" s="72"/>
      <c r="P1535" s="72"/>
      <c r="S1535" s="72"/>
      <c r="V1535" s="72"/>
      <c r="Y1535" s="72"/>
      <c r="AB1535" s="72"/>
      <c r="AE1535" s="72"/>
      <c r="AH1535" s="72"/>
      <c r="AK1535" s="72"/>
      <c r="AN1535" s="72"/>
      <c r="AQ1535" s="72"/>
      <c r="AT1535" s="72"/>
      <c r="AW1535" s="72"/>
      <c r="AZ1535" s="72"/>
    </row>
    <row r="1536" spans="1:52">
      <c r="A1536" s="131"/>
      <c r="B1536" s="72"/>
      <c r="D1536" s="72"/>
      <c r="G1536" s="72"/>
      <c r="J1536" s="72"/>
      <c r="M1536" s="72"/>
      <c r="P1536" s="72"/>
      <c r="S1536" s="72"/>
      <c r="V1536" s="72"/>
      <c r="Y1536" s="72"/>
      <c r="AB1536" s="72"/>
      <c r="AE1536" s="72"/>
      <c r="AH1536" s="72"/>
      <c r="AK1536" s="72"/>
      <c r="AN1536" s="72"/>
      <c r="AQ1536" s="72"/>
      <c r="AT1536" s="72"/>
      <c r="AW1536" s="72"/>
      <c r="AZ1536" s="72"/>
    </row>
    <row r="1537" spans="1:52">
      <c r="A1537" s="131"/>
      <c r="B1537" s="72"/>
      <c r="D1537" s="72"/>
      <c r="G1537" s="72"/>
      <c r="J1537" s="72"/>
      <c r="M1537" s="72"/>
      <c r="P1537" s="72"/>
      <c r="S1537" s="72"/>
      <c r="V1537" s="72"/>
      <c r="Y1537" s="72"/>
      <c r="AB1537" s="72"/>
      <c r="AE1537" s="72"/>
      <c r="AH1537" s="72"/>
      <c r="AK1537" s="72"/>
      <c r="AN1537" s="72"/>
      <c r="AQ1537" s="72"/>
      <c r="AT1537" s="72"/>
      <c r="AW1537" s="72"/>
      <c r="AZ1537" s="72"/>
    </row>
    <row r="1538" spans="1:52">
      <c r="A1538" s="131"/>
      <c r="B1538" s="72"/>
      <c r="D1538" s="72"/>
      <c r="G1538" s="72"/>
      <c r="J1538" s="72"/>
      <c r="M1538" s="72"/>
      <c r="P1538" s="72"/>
      <c r="S1538" s="72"/>
      <c r="V1538" s="72"/>
      <c r="Y1538" s="72"/>
      <c r="AB1538" s="72"/>
      <c r="AE1538" s="72"/>
      <c r="AH1538" s="72"/>
      <c r="AK1538" s="72"/>
      <c r="AN1538" s="72"/>
      <c r="AQ1538" s="72"/>
      <c r="AT1538" s="72"/>
      <c r="AW1538" s="72"/>
      <c r="AZ1538" s="72"/>
    </row>
    <row r="1539" spans="1:52">
      <c r="A1539" s="131"/>
      <c r="B1539" s="72"/>
      <c r="D1539" s="72"/>
      <c r="G1539" s="72"/>
      <c r="J1539" s="72"/>
      <c r="M1539" s="72"/>
      <c r="P1539" s="72"/>
      <c r="S1539" s="72"/>
      <c r="V1539" s="72"/>
      <c r="Y1539" s="72"/>
      <c r="AB1539" s="72"/>
      <c r="AE1539" s="72"/>
      <c r="AH1539" s="72"/>
      <c r="AK1539" s="72"/>
      <c r="AN1539" s="72"/>
      <c r="AQ1539" s="72"/>
      <c r="AT1539" s="72"/>
      <c r="AW1539" s="72"/>
      <c r="AZ1539" s="72"/>
    </row>
    <row r="1540" spans="1:52">
      <c r="A1540" s="131"/>
      <c r="B1540" s="72"/>
      <c r="D1540" s="72"/>
      <c r="G1540" s="72"/>
      <c r="J1540" s="72"/>
      <c r="M1540" s="72"/>
      <c r="P1540" s="72"/>
      <c r="S1540" s="72"/>
      <c r="V1540" s="72"/>
      <c r="Y1540" s="72"/>
      <c r="AB1540" s="72"/>
      <c r="AE1540" s="72"/>
      <c r="AH1540" s="72"/>
      <c r="AK1540" s="72"/>
      <c r="AN1540" s="72"/>
      <c r="AQ1540" s="72"/>
      <c r="AT1540" s="72"/>
      <c r="AW1540" s="72"/>
      <c r="AZ1540" s="72"/>
    </row>
    <row r="1541" spans="1:52">
      <c r="A1541" s="131"/>
      <c r="B1541" s="72"/>
      <c r="D1541" s="72"/>
      <c r="G1541" s="72"/>
      <c r="J1541" s="72"/>
      <c r="M1541" s="72"/>
      <c r="P1541" s="72"/>
      <c r="S1541" s="72"/>
      <c r="V1541" s="72"/>
      <c r="Y1541" s="72"/>
      <c r="AB1541" s="72"/>
      <c r="AE1541" s="72"/>
      <c r="AH1541" s="72"/>
      <c r="AK1541" s="72"/>
      <c r="AN1541" s="72"/>
      <c r="AQ1541" s="72"/>
      <c r="AT1541" s="72"/>
      <c r="AW1541" s="72"/>
      <c r="AZ1541" s="72"/>
    </row>
    <row r="1542" spans="1:52">
      <c r="A1542" s="131"/>
      <c r="B1542" s="72"/>
      <c r="D1542" s="72"/>
      <c r="G1542" s="72"/>
      <c r="J1542" s="72"/>
      <c r="M1542" s="72"/>
      <c r="P1542" s="72"/>
      <c r="S1542" s="72"/>
      <c r="V1542" s="72"/>
      <c r="Y1542" s="72"/>
      <c r="AB1542" s="72"/>
      <c r="AE1542" s="72"/>
      <c r="AH1542" s="72"/>
      <c r="AK1542" s="72"/>
      <c r="AN1542" s="72"/>
      <c r="AQ1542" s="72"/>
      <c r="AT1542" s="72"/>
      <c r="AW1542" s="72"/>
      <c r="AZ1542" s="72"/>
    </row>
    <row r="1543" spans="1:52">
      <c r="A1543" s="131"/>
      <c r="B1543" s="72"/>
      <c r="D1543" s="72"/>
      <c r="G1543" s="72"/>
      <c r="J1543" s="72"/>
      <c r="M1543" s="72"/>
      <c r="P1543" s="72"/>
      <c r="S1543" s="72"/>
      <c r="V1543" s="72"/>
      <c r="Y1543" s="72"/>
      <c r="AB1543" s="72"/>
      <c r="AE1543" s="72"/>
      <c r="AH1543" s="72"/>
      <c r="AK1543" s="72"/>
      <c r="AN1543" s="72"/>
      <c r="AQ1543" s="72"/>
      <c r="AT1543" s="72"/>
      <c r="AW1543" s="72"/>
      <c r="AZ1543" s="72"/>
    </row>
    <row r="1544" spans="1:52">
      <c r="A1544" s="131"/>
      <c r="B1544" s="72"/>
      <c r="D1544" s="72"/>
      <c r="G1544" s="72"/>
      <c r="J1544" s="72"/>
      <c r="M1544" s="72"/>
      <c r="P1544" s="72"/>
      <c r="S1544" s="72"/>
      <c r="V1544" s="72"/>
      <c r="Y1544" s="72"/>
      <c r="AB1544" s="72"/>
      <c r="AE1544" s="72"/>
      <c r="AH1544" s="72"/>
      <c r="AK1544" s="72"/>
      <c r="AN1544" s="72"/>
      <c r="AQ1544" s="72"/>
      <c r="AT1544" s="72"/>
      <c r="AW1544" s="72"/>
      <c r="AZ1544" s="72"/>
    </row>
    <row r="1545" spans="1:52">
      <c r="A1545" s="131"/>
      <c r="B1545" s="72"/>
      <c r="D1545" s="72"/>
      <c r="G1545" s="72"/>
      <c r="J1545" s="72"/>
      <c r="M1545" s="72"/>
      <c r="P1545" s="72"/>
      <c r="S1545" s="72"/>
      <c r="V1545" s="72"/>
      <c r="Y1545" s="72"/>
      <c r="AB1545" s="72"/>
      <c r="AE1545" s="72"/>
      <c r="AH1545" s="72"/>
      <c r="AK1545" s="72"/>
      <c r="AN1545" s="72"/>
      <c r="AQ1545" s="72"/>
      <c r="AT1545" s="72"/>
      <c r="AW1545" s="72"/>
      <c r="AZ1545" s="72"/>
    </row>
    <row r="1546" spans="1:52">
      <c r="A1546" s="131"/>
      <c r="B1546" s="72"/>
      <c r="D1546" s="72"/>
      <c r="G1546" s="72"/>
      <c r="J1546" s="72"/>
      <c r="M1546" s="72"/>
      <c r="P1546" s="72"/>
      <c r="S1546" s="72"/>
      <c r="V1546" s="72"/>
      <c r="Y1546" s="72"/>
      <c r="AB1546" s="72"/>
      <c r="AE1546" s="72"/>
      <c r="AH1546" s="72"/>
      <c r="AK1546" s="72"/>
      <c r="AN1546" s="72"/>
      <c r="AQ1546" s="72"/>
      <c r="AT1546" s="72"/>
      <c r="AW1546" s="72"/>
      <c r="AZ1546" s="72"/>
    </row>
    <row r="1547" spans="1:52">
      <c r="A1547" s="131"/>
      <c r="B1547" s="72"/>
      <c r="D1547" s="72"/>
      <c r="G1547" s="72"/>
      <c r="J1547" s="72"/>
      <c r="M1547" s="72"/>
      <c r="P1547" s="72"/>
      <c r="S1547" s="72"/>
      <c r="V1547" s="72"/>
      <c r="Y1547" s="72"/>
      <c r="AB1547" s="72"/>
      <c r="AE1547" s="72"/>
      <c r="AH1547" s="72"/>
      <c r="AK1547" s="72"/>
      <c r="AN1547" s="72"/>
      <c r="AQ1547" s="72"/>
      <c r="AT1547" s="72"/>
      <c r="AW1547" s="72"/>
      <c r="AZ1547" s="72"/>
    </row>
    <row r="1548" spans="1:52">
      <c r="A1548" s="131"/>
      <c r="B1548" s="72"/>
      <c r="D1548" s="72"/>
      <c r="G1548" s="72"/>
      <c r="J1548" s="72"/>
      <c r="M1548" s="72"/>
      <c r="P1548" s="72"/>
      <c r="S1548" s="72"/>
      <c r="V1548" s="72"/>
      <c r="Y1548" s="72"/>
      <c r="AB1548" s="72"/>
      <c r="AE1548" s="72"/>
      <c r="AH1548" s="72"/>
      <c r="AK1548" s="72"/>
      <c r="AN1548" s="72"/>
      <c r="AQ1548" s="72"/>
      <c r="AT1548" s="72"/>
      <c r="AW1548" s="72"/>
      <c r="AZ1548" s="72"/>
    </row>
    <row r="1549" spans="1:52">
      <c r="A1549" s="131"/>
      <c r="B1549" s="72"/>
      <c r="D1549" s="72"/>
      <c r="G1549" s="72"/>
      <c r="J1549" s="72"/>
      <c r="M1549" s="72"/>
      <c r="P1549" s="72"/>
      <c r="S1549" s="72"/>
      <c r="V1549" s="72"/>
      <c r="Y1549" s="72"/>
      <c r="AB1549" s="72"/>
      <c r="AE1549" s="72"/>
      <c r="AH1549" s="72"/>
      <c r="AK1549" s="72"/>
      <c r="AN1549" s="72"/>
      <c r="AQ1549" s="72"/>
      <c r="AT1549" s="72"/>
      <c r="AW1549" s="72"/>
      <c r="AZ1549" s="72"/>
    </row>
    <row r="1550" spans="1:52">
      <c r="A1550" s="131"/>
      <c r="B1550" s="72"/>
      <c r="D1550" s="72"/>
      <c r="G1550" s="72"/>
      <c r="J1550" s="72"/>
      <c r="M1550" s="72"/>
      <c r="P1550" s="72"/>
      <c r="S1550" s="72"/>
      <c r="V1550" s="72"/>
      <c r="Y1550" s="72"/>
      <c r="AB1550" s="72"/>
      <c r="AE1550" s="72"/>
      <c r="AH1550" s="72"/>
      <c r="AK1550" s="72"/>
      <c r="AN1550" s="72"/>
      <c r="AQ1550" s="72"/>
      <c r="AT1550" s="72"/>
      <c r="AW1550" s="72"/>
      <c r="AZ1550" s="72"/>
    </row>
    <row r="1551" spans="1:52">
      <c r="A1551" s="131"/>
      <c r="B1551" s="72"/>
      <c r="D1551" s="72"/>
      <c r="G1551" s="72"/>
      <c r="J1551" s="72"/>
      <c r="M1551" s="72"/>
      <c r="P1551" s="72"/>
      <c r="S1551" s="72"/>
      <c r="V1551" s="72"/>
      <c r="Y1551" s="72"/>
      <c r="AB1551" s="72"/>
      <c r="AE1551" s="72"/>
      <c r="AH1551" s="72"/>
      <c r="AK1551" s="72"/>
      <c r="AN1551" s="72"/>
      <c r="AQ1551" s="72"/>
      <c r="AT1551" s="72"/>
      <c r="AW1551" s="72"/>
      <c r="AZ1551" s="72"/>
    </row>
    <row r="1552" spans="1:52">
      <c r="A1552" s="131"/>
      <c r="B1552" s="72"/>
      <c r="D1552" s="72"/>
      <c r="G1552" s="72"/>
      <c r="J1552" s="72"/>
      <c r="M1552" s="72"/>
      <c r="P1552" s="72"/>
      <c r="S1552" s="72"/>
      <c r="V1552" s="72"/>
      <c r="Y1552" s="72"/>
      <c r="AB1552" s="72"/>
      <c r="AE1552" s="72"/>
      <c r="AH1552" s="72"/>
      <c r="AK1552" s="72"/>
      <c r="AN1552" s="72"/>
      <c r="AQ1552" s="72"/>
      <c r="AT1552" s="72"/>
      <c r="AW1552" s="72"/>
      <c r="AZ1552" s="72"/>
    </row>
    <row r="1553" spans="1:52">
      <c r="A1553" s="131"/>
      <c r="B1553" s="72"/>
      <c r="D1553" s="72"/>
      <c r="G1553" s="72"/>
      <c r="J1553" s="72"/>
      <c r="M1553" s="72"/>
      <c r="P1553" s="72"/>
      <c r="S1553" s="72"/>
      <c r="V1553" s="72"/>
      <c r="Y1553" s="72"/>
      <c r="AB1553" s="72"/>
      <c r="AE1553" s="72"/>
      <c r="AH1553" s="72"/>
      <c r="AK1553" s="72"/>
      <c r="AN1553" s="72"/>
      <c r="AQ1553" s="72"/>
      <c r="AT1553" s="72"/>
      <c r="AW1553" s="72"/>
      <c r="AZ1553" s="72"/>
    </row>
    <row r="1554" spans="1:52">
      <c r="A1554" s="131"/>
      <c r="B1554" s="72"/>
      <c r="D1554" s="72"/>
      <c r="G1554" s="72"/>
      <c r="J1554" s="72"/>
      <c r="M1554" s="72"/>
      <c r="P1554" s="72"/>
      <c r="S1554" s="72"/>
      <c r="V1554" s="72"/>
      <c r="Y1554" s="72"/>
      <c r="AB1554" s="72"/>
      <c r="AE1554" s="72"/>
      <c r="AH1554" s="72"/>
      <c r="AK1554" s="72"/>
      <c r="AN1554" s="72"/>
      <c r="AQ1554" s="72"/>
      <c r="AT1554" s="72"/>
      <c r="AW1554" s="72"/>
      <c r="AZ1554" s="72"/>
    </row>
    <row r="1555" spans="1:52">
      <c r="A1555" s="131"/>
      <c r="B1555" s="72"/>
      <c r="D1555" s="72"/>
      <c r="G1555" s="72"/>
      <c r="J1555" s="72"/>
      <c r="M1555" s="72"/>
      <c r="P1555" s="72"/>
      <c r="S1555" s="72"/>
      <c r="V1555" s="72"/>
      <c r="Y1555" s="72"/>
      <c r="AB1555" s="72"/>
      <c r="AE1555" s="72"/>
      <c r="AH1555" s="72"/>
      <c r="AK1555" s="72"/>
      <c r="AN1555" s="72"/>
      <c r="AQ1555" s="72"/>
      <c r="AT1555" s="72"/>
      <c r="AW1555" s="72"/>
      <c r="AZ1555" s="72"/>
    </row>
    <row r="1556" spans="1:52">
      <c r="A1556" s="131"/>
      <c r="B1556" s="72"/>
      <c r="D1556" s="72"/>
      <c r="G1556" s="72"/>
      <c r="J1556" s="72"/>
      <c r="M1556" s="72"/>
      <c r="P1556" s="72"/>
      <c r="S1556" s="72"/>
      <c r="V1556" s="72"/>
      <c r="Y1556" s="72"/>
      <c r="AB1556" s="72"/>
      <c r="AE1556" s="72"/>
      <c r="AH1556" s="72"/>
      <c r="AK1556" s="72"/>
      <c r="AN1556" s="72"/>
      <c r="AQ1556" s="72"/>
      <c r="AT1556" s="72"/>
      <c r="AW1556" s="72"/>
      <c r="AZ1556" s="72"/>
    </row>
    <row r="1557" spans="1:52">
      <c r="A1557" s="131"/>
      <c r="B1557" s="72"/>
      <c r="D1557" s="72"/>
      <c r="G1557" s="72"/>
      <c r="J1557" s="72"/>
      <c r="M1557" s="72"/>
      <c r="P1557" s="72"/>
      <c r="S1557" s="72"/>
      <c r="V1557" s="72"/>
      <c r="Y1557" s="72"/>
      <c r="AB1557" s="72"/>
      <c r="AE1557" s="72"/>
      <c r="AH1557" s="72"/>
      <c r="AK1557" s="72"/>
      <c r="AN1557" s="72"/>
      <c r="AQ1557" s="72"/>
      <c r="AT1557" s="72"/>
      <c r="AW1557" s="72"/>
      <c r="AZ1557" s="72"/>
    </row>
    <row r="1558" spans="1:52">
      <c r="A1558" s="131"/>
      <c r="B1558" s="72"/>
      <c r="D1558" s="72"/>
      <c r="G1558" s="72"/>
      <c r="J1558" s="72"/>
      <c r="M1558" s="72"/>
      <c r="P1558" s="72"/>
      <c r="S1558" s="72"/>
      <c r="V1558" s="72"/>
      <c r="Y1558" s="72"/>
      <c r="AB1558" s="72"/>
      <c r="AE1558" s="72"/>
      <c r="AH1558" s="72"/>
      <c r="AK1558" s="72"/>
      <c r="AN1558" s="72"/>
      <c r="AQ1558" s="72"/>
      <c r="AT1558" s="72"/>
      <c r="AW1558" s="72"/>
      <c r="AZ1558" s="72"/>
    </row>
    <row r="1559" spans="1:52">
      <c r="A1559" s="131"/>
      <c r="B1559" s="72"/>
      <c r="D1559" s="72"/>
      <c r="G1559" s="72"/>
      <c r="J1559" s="72"/>
      <c r="M1559" s="72"/>
      <c r="P1559" s="72"/>
      <c r="S1559" s="72"/>
      <c r="V1559" s="72"/>
      <c r="Y1559" s="72"/>
      <c r="AB1559" s="72"/>
      <c r="AE1559" s="72"/>
      <c r="AH1559" s="72"/>
      <c r="AK1559" s="72"/>
      <c r="AN1559" s="72"/>
      <c r="AQ1559" s="72"/>
      <c r="AT1559" s="72"/>
      <c r="AW1559" s="72"/>
      <c r="AZ1559" s="72"/>
    </row>
    <row r="1560" spans="1:52">
      <c r="A1560" s="131"/>
      <c r="B1560" s="72"/>
      <c r="D1560" s="72"/>
      <c r="G1560" s="72"/>
      <c r="J1560" s="72"/>
      <c r="M1560" s="72"/>
      <c r="P1560" s="72"/>
      <c r="S1560" s="72"/>
      <c r="V1560" s="72"/>
      <c r="Y1560" s="72"/>
      <c r="AB1560" s="72"/>
      <c r="AE1560" s="72"/>
      <c r="AH1560" s="72"/>
      <c r="AK1560" s="72"/>
      <c r="AN1560" s="72"/>
      <c r="AQ1560" s="72"/>
      <c r="AT1560" s="72"/>
      <c r="AW1560" s="72"/>
      <c r="AZ1560" s="72"/>
    </row>
    <row r="1561" spans="1:52">
      <c r="A1561" s="131"/>
      <c r="B1561" s="72"/>
      <c r="D1561" s="72"/>
      <c r="G1561" s="72"/>
      <c r="J1561" s="72"/>
      <c r="M1561" s="72"/>
      <c r="P1561" s="72"/>
      <c r="S1561" s="72"/>
      <c r="V1561" s="72"/>
      <c r="Y1561" s="72"/>
      <c r="AB1561" s="72"/>
      <c r="AE1561" s="72"/>
      <c r="AH1561" s="72"/>
      <c r="AK1561" s="72"/>
      <c r="AN1561" s="72"/>
      <c r="AQ1561" s="72"/>
      <c r="AT1561" s="72"/>
      <c r="AW1561" s="72"/>
      <c r="AZ1561" s="72"/>
    </row>
    <row r="1562" spans="1:52">
      <c r="A1562" s="131"/>
      <c r="B1562" s="72"/>
      <c r="D1562" s="72"/>
      <c r="G1562" s="72"/>
      <c r="J1562" s="72"/>
      <c r="M1562" s="72"/>
      <c r="P1562" s="72"/>
      <c r="S1562" s="72"/>
      <c r="V1562" s="72"/>
      <c r="Y1562" s="72"/>
      <c r="AB1562" s="72"/>
      <c r="AE1562" s="72"/>
      <c r="AH1562" s="72"/>
      <c r="AK1562" s="72"/>
      <c r="AN1562" s="72"/>
      <c r="AQ1562" s="72"/>
      <c r="AT1562" s="72"/>
      <c r="AW1562" s="72"/>
      <c r="AZ1562" s="72"/>
    </row>
    <row r="1563" spans="1:52">
      <c r="A1563" s="131"/>
      <c r="B1563" s="72"/>
      <c r="D1563" s="72"/>
      <c r="G1563" s="72"/>
      <c r="J1563" s="72"/>
      <c r="M1563" s="72"/>
      <c r="P1563" s="72"/>
      <c r="S1563" s="72"/>
      <c r="V1563" s="72"/>
      <c r="Y1563" s="72"/>
      <c r="AB1563" s="72"/>
      <c r="AE1563" s="72"/>
      <c r="AH1563" s="72"/>
      <c r="AK1563" s="72"/>
      <c r="AN1563" s="72"/>
      <c r="AQ1563" s="72"/>
      <c r="AT1563" s="72"/>
      <c r="AW1563" s="72"/>
      <c r="AZ1563" s="72"/>
    </row>
    <row r="1564" spans="1:52">
      <c r="A1564" s="131"/>
      <c r="B1564" s="72"/>
      <c r="D1564" s="72"/>
      <c r="G1564" s="72"/>
      <c r="J1564" s="72"/>
      <c r="M1564" s="72"/>
      <c r="P1564" s="72"/>
      <c r="S1564" s="72"/>
      <c r="V1564" s="72"/>
      <c r="Y1564" s="72"/>
      <c r="AB1564" s="72"/>
      <c r="AE1564" s="72"/>
      <c r="AH1564" s="72"/>
      <c r="AK1564" s="72"/>
      <c r="AN1564" s="72"/>
      <c r="AQ1564" s="72"/>
      <c r="AT1564" s="72"/>
      <c r="AW1564" s="72"/>
      <c r="AZ1564" s="72"/>
    </row>
    <row r="1565" spans="1:52">
      <c r="A1565" s="131"/>
      <c r="B1565" s="72"/>
      <c r="D1565" s="72"/>
      <c r="G1565" s="72"/>
      <c r="J1565" s="72"/>
      <c r="M1565" s="72"/>
      <c r="P1565" s="72"/>
      <c r="S1565" s="72"/>
      <c r="V1565" s="72"/>
      <c r="Y1565" s="72"/>
      <c r="AB1565" s="72"/>
      <c r="AE1565" s="72"/>
      <c r="AH1565" s="72"/>
      <c r="AK1565" s="72"/>
      <c r="AN1565" s="72"/>
      <c r="AQ1565" s="72"/>
      <c r="AT1565" s="72"/>
      <c r="AW1565" s="72"/>
      <c r="AZ1565" s="72"/>
    </row>
    <row r="1566" spans="1:52">
      <c r="A1566" s="131"/>
      <c r="B1566" s="72"/>
      <c r="D1566" s="72"/>
      <c r="G1566" s="72"/>
      <c r="J1566" s="72"/>
      <c r="M1566" s="72"/>
      <c r="P1566" s="72"/>
      <c r="S1566" s="72"/>
      <c r="V1566" s="72"/>
      <c r="Y1566" s="72"/>
      <c r="AB1566" s="72"/>
      <c r="AE1566" s="72"/>
      <c r="AH1566" s="72"/>
      <c r="AK1566" s="72"/>
      <c r="AN1566" s="72"/>
      <c r="AQ1566" s="72"/>
      <c r="AT1566" s="72"/>
      <c r="AW1566" s="72"/>
      <c r="AZ1566" s="72"/>
    </row>
    <row r="1567" spans="1:52">
      <c r="A1567" s="131"/>
      <c r="B1567" s="72"/>
      <c r="D1567" s="72"/>
      <c r="G1567" s="72"/>
      <c r="J1567" s="72"/>
      <c r="M1567" s="72"/>
      <c r="P1567" s="72"/>
      <c r="S1567" s="72"/>
      <c r="V1567" s="72"/>
      <c r="Y1567" s="72"/>
      <c r="AB1567" s="72"/>
      <c r="AE1567" s="72"/>
      <c r="AH1567" s="72"/>
      <c r="AK1567" s="72"/>
      <c r="AN1567" s="72"/>
      <c r="AQ1567" s="72"/>
      <c r="AT1567" s="72"/>
      <c r="AW1567" s="72"/>
      <c r="AZ1567" s="72"/>
    </row>
    <row r="1568" spans="1:52">
      <c r="A1568" s="131"/>
      <c r="B1568" s="72"/>
      <c r="D1568" s="72"/>
      <c r="G1568" s="72"/>
      <c r="J1568" s="72"/>
      <c r="M1568" s="72"/>
      <c r="P1568" s="72"/>
      <c r="S1568" s="72"/>
      <c r="V1568" s="72"/>
      <c r="Y1568" s="72"/>
      <c r="AB1568" s="72"/>
      <c r="AE1568" s="72"/>
      <c r="AH1568" s="72"/>
      <c r="AK1568" s="72"/>
      <c r="AN1568" s="72"/>
      <c r="AQ1568" s="72"/>
      <c r="AT1568" s="72"/>
      <c r="AW1568" s="72"/>
      <c r="AZ1568" s="72"/>
    </row>
    <row r="1569" spans="1:52">
      <c r="A1569" s="131"/>
      <c r="B1569" s="72"/>
      <c r="D1569" s="72"/>
      <c r="G1569" s="72"/>
      <c r="J1569" s="72"/>
      <c r="M1569" s="72"/>
      <c r="P1569" s="72"/>
      <c r="S1569" s="72"/>
      <c r="V1569" s="72"/>
      <c r="Y1569" s="72"/>
      <c r="AB1569" s="72"/>
      <c r="AE1569" s="72"/>
      <c r="AH1569" s="72"/>
      <c r="AK1569" s="72"/>
      <c r="AN1569" s="72"/>
      <c r="AQ1569" s="72"/>
      <c r="AT1569" s="72"/>
      <c r="AW1569" s="72"/>
      <c r="AZ1569" s="72"/>
    </row>
    <row r="1570" spans="1:52">
      <c r="A1570" s="131"/>
      <c r="B1570" s="72"/>
      <c r="D1570" s="72"/>
      <c r="G1570" s="72"/>
      <c r="J1570" s="72"/>
      <c r="M1570" s="72"/>
      <c r="P1570" s="72"/>
      <c r="S1570" s="72"/>
      <c r="V1570" s="72"/>
      <c r="Y1570" s="72"/>
      <c r="AB1570" s="72"/>
      <c r="AE1570" s="72"/>
      <c r="AH1570" s="72"/>
      <c r="AK1570" s="72"/>
      <c r="AN1570" s="72"/>
      <c r="AQ1570" s="72"/>
      <c r="AT1570" s="72"/>
      <c r="AW1570" s="72"/>
      <c r="AZ1570" s="72"/>
    </row>
    <row r="1571" spans="1:52">
      <c r="A1571" s="131"/>
      <c r="B1571" s="72"/>
      <c r="D1571" s="72"/>
      <c r="G1571" s="72"/>
      <c r="J1571" s="72"/>
      <c r="M1571" s="72"/>
      <c r="P1571" s="72"/>
      <c r="S1571" s="72"/>
      <c r="V1571" s="72"/>
      <c r="Y1571" s="72"/>
      <c r="AB1571" s="72"/>
      <c r="AE1571" s="72"/>
      <c r="AH1571" s="72"/>
      <c r="AK1571" s="72"/>
      <c r="AN1571" s="72"/>
      <c r="AQ1571" s="72"/>
      <c r="AT1571" s="72"/>
      <c r="AW1571" s="72"/>
      <c r="AZ1571" s="72"/>
    </row>
    <row r="1572" spans="1:52">
      <c r="A1572" s="131"/>
      <c r="B1572" s="72"/>
      <c r="D1572" s="72"/>
      <c r="G1572" s="72"/>
      <c r="J1572" s="72"/>
      <c r="M1572" s="72"/>
      <c r="P1572" s="72"/>
      <c r="S1572" s="72"/>
      <c r="V1572" s="72"/>
      <c r="Y1572" s="72"/>
      <c r="AB1572" s="72"/>
      <c r="AE1572" s="72"/>
      <c r="AH1572" s="72"/>
      <c r="AK1572" s="72"/>
      <c r="AN1572" s="72"/>
      <c r="AQ1572" s="72"/>
      <c r="AT1572" s="72"/>
      <c r="AW1572" s="72"/>
      <c r="AZ1572" s="72"/>
    </row>
    <row r="1573" spans="1:52">
      <c r="A1573" s="131"/>
      <c r="B1573" s="72"/>
      <c r="D1573" s="72"/>
      <c r="G1573" s="72"/>
      <c r="J1573" s="72"/>
      <c r="M1573" s="72"/>
      <c r="P1573" s="72"/>
      <c r="S1573" s="72"/>
      <c r="V1573" s="72"/>
      <c r="Y1573" s="72"/>
      <c r="AB1573" s="72"/>
      <c r="AE1573" s="72"/>
      <c r="AH1573" s="72"/>
      <c r="AK1573" s="72"/>
      <c r="AN1573" s="72"/>
      <c r="AQ1573" s="72"/>
      <c r="AT1573" s="72"/>
      <c r="AW1573" s="72"/>
      <c r="AZ1573" s="72"/>
    </row>
    <row r="1574" spans="1:52">
      <c r="A1574" s="131"/>
      <c r="B1574" s="72"/>
      <c r="D1574" s="72"/>
      <c r="G1574" s="72"/>
      <c r="J1574" s="72"/>
      <c r="M1574" s="72"/>
      <c r="P1574" s="72"/>
      <c r="S1574" s="72"/>
      <c r="V1574" s="72"/>
      <c r="Y1574" s="72"/>
      <c r="AB1574" s="72"/>
      <c r="AE1574" s="72"/>
      <c r="AH1574" s="72"/>
      <c r="AK1574" s="72"/>
      <c r="AN1574" s="72"/>
      <c r="AQ1574" s="72"/>
      <c r="AT1574" s="72"/>
      <c r="AW1574" s="72"/>
      <c r="AZ1574" s="72"/>
    </row>
    <row r="1575" spans="1:52">
      <c r="A1575" s="131"/>
      <c r="B1575" s="72"/>
      <c r="D1575" s="72"/>
      <c r="G1575" s="72"/>
      <c r="J1575" s="72"/>
      <c r="M1575" s="72"/>
      <c r="P1575" s="72"/>
      <c r="S1575" s="72"/>
      <c r="V1575" s="72"/>
      <c r="Y1575" s="72"/>
      <c r="AB1575" s="72"/>
      <c r="AE1575" s="72"/>
      <c r="AH1575" s="72"/>
      <c r="AK1575" s="72"/>
      <c r="AN1575" s="72"/>
      <c r="AQ1575" s="72"/>
      <c r="AT1575" s="72"/>
      <c r="AW1575" s="72"/>
      <c r="AZ1575" s="72"/>
    </row>
    <row r="1576" spans="1:52">
      <c r="A1576" s="131"/>
      <c r="B1576" s="72"/>
      <c r="D1576" s="72"/>
      <c r="G1576" s="72"/>
      <c r="J1576" s="72"/>
      <c r="M1576" s="72"/>
      <c r="P1576" s="72"/>
      <c r="S1576" s="72"/>
      <c r="V1576" s="72"/>
      <c r="Y1576" s="72"/>
      <c r="AB1576" s="72"/>
      <c r="AE1576" s="72"/>
      <c r="AH1576" s="72"/>
      <c r="AK1576" s="72"/>
      <c r="AN1576" s="72"/>
      <c r="AQ1576" s="72"/>
      <c r="AT1576" s="72"/>
      <c r="AW1576" s="72"/>
      <c r="AZ1576" s="72"/>
    </row>
    <row r="1577" spans="1:52">
      <c r="A1577" s="131"/>
      <c r="B1577" s="72"/>
      <c r="D1577" s="72"/>
      <c r="G1577" s="72"/>
      <c r="J1577" s="72"/>
      <c r="M1577" s="72"/>
      <c r="P1577" s="72"/>
      <c r="S1577" s="72"/>
      <c r="V1577" s="72"/>
      <c r="Y1577" s="72"/>
      <c r="AB1577" s="72"/>
      <c r="AE1577" s="72"/>
      <c r="AH1577" s="72"/>
      <c r="AK1577" s="72"/>
      <c r="AN1577" s="72"/>
      <c r="AQ1577" s="72"/>
      <c r="AT1577" s="72"/>
      <c r="AW1577" s="72"/>
      <c r="AZ1577" s="72"/>
    </row>
    <row r="1578" spans="1:52">
      <c r="A1578" s="131"/>
      <c r="B1578" s="72"/>
      <c r="D1578" s="72"/>
      <c r="G1578" s="72"/>
      <c r="J1578" s="72"/>
      <c r="M1578" s="72"/>
      <c r="P1578" s="72"/>
      <c r="S1578" s="72"/>
      <c r="V1578" s="72"/>
      <c r="Y1578" s="72"/>
      <c r="AB1578" s="72"/>
      <c r="AE1578" s="72"/>
      <c r="AH1578" s="72"/>
      <c r="AK1578" s="72"/>
      <c r="AN1578" s="72"/>
      <c r="AQ1578" s="72"/>
      <c r="AT1578" s="72"/>
      <c r="AW1578" s="72"/>
      <c r="AZ1578" s="72"/>
    </row>
    <row r="1579" spans="1:52">
      <c r="A1579" s="131"/>
      <c r="B1579" s="72"/>
      <c r="D1579" s="72"/>
      <c r="G1579" s="72"/>
      <c r="J1579" s="72"/>
      <c r="M1579" s="72"/>
      <c r="P1579" s="72"/>
      <c r="S1579" s="72"/>
      <c r="V1579" s="72"/>
      <c r="Y1579" s="72"/>
      <c r="AB1579" s="72"/>
      <c r="AE1579" s="72"/>
      <c r="AH1579" s="72"/>
      <c r="AK1579" s="72"/>
      <c r="AN1579" s="72"/>
      <c r="AQ1579" s="72"/>
      <c r="AT1579" s="72"/>
      <c r="AW1579" s="72"/>
      <c r="AZ1579" s="72"/>
    </row>
    <row r="1580" spans="1:52">
      <c r="A1580" s="131"/>
      <c r="B1580" s="72"/>
      <c r="D1580" s="72"/>
      <c r="G1580" s="72"/>
      <c r="J1580" s="72"/>
      <c r="M1580" s="72"/>
      <c r="P1580" s="72"/>
      <c r="S1580" s="72"/>
      <c r="V1580" s="72"/>
      <c r="Y1580" s="72"/>
      <c r="AB1580" s="72"/>
      <c r="AE1580" s="72"/>
      <c r="AH1580" s="72"/>
      <c r="AK1580" s="72"/>
      <c r="AN1580" s="72"/>
      <c r="AQ1580" s="72"/>
      <c r="AT1580" s="72"/>
      <c r="AW1580" s="72"/>
      <c r="AZ1580" s="72"/>
    </row>
    <row r="1581" spans="1:52">
      <c r="A1581" s="131"/>
      <c r="B1581" s="72"/>
      <c r="D1581" s="72"/>
      <c r="G1581" s="72"/>
      <c r="J1581" s="72"/>
      <c r="M1581" s="72"/>
      <c r="P1581" s="72"/>
      <c r="S1581" s="72"/>
      <c r="V1581" s="72"/>
      <c r="Y1581" s="72"/>
      <c r="AB1581" s="72"/>
      <c r="AE1581" s="72"/>
      <c r="AH1581" s="72"/>
      <c r="AK1581" s="72"/>
      <c r="AN1581" s="72"/>
      <c r="AQ1581" s="72"/>
      <c r="AT1581" s="72"/>
      <c r="AW1581" s="72"/>
      <c r="AZ1581" s="72"/>
    </row>
    <row r="1582" spans="1:52">
      <c r="A1582" s="131"/>
      <c r="B1582" s="72"/>
      <c r="D1582" s="72"/>
      <c r="G1582" s="72"/>
      <c r="J1582" s="72"/>
      <c r="M1582" s="72"/>
      <c r="P1582" s="72"/>
      <c r="S1582" s="72"/>
      <c r="V1582" s="72"/>
      <c r="Y1582" s="72"/>
      <c r="AB1582" s="72"/>
      <c r="AE1582" s="72"/>
      <c r="AH1582" s="72"/>
      <c r="AK1582" s="72"/>
      <c r="AN1582" s="72"/>
      <c r="AQ1582" s="72"/>
      <c r="AT1582" s="72"/>
      <c r="AW1582" s="72"/>
      <c r="AZ1582" s="72"/>
    </row>
    <row r="1583" spans="1:52">
      <c r="A1583" s="131"/>
      <c r="B1583" s="72"/>
      <c r="D1583" s="72"/>
      <c r="G1583" s="72"/>
      <c r="J1583" s="72"/>
      <c r="M1583" s="72"/>
      <c r="P1583" s="72"/>
      <c r="S1583" s="72"/>
      <c r="V1583" s="72"/>
      <c r="Y1583" s="72"/>
      <c r="AB1583" s="72"/>
      <c r="AE1583" s="72"/>
      <c r="AH1583" s="72"/>
      <c r="AK1583" s="72"/>
      <c r="AN1583" s="72"/>
      <c r="AQ1583" s="72"/>
      <c r="AT1583" s="72"/>
      <c r="AW1583" s="72"/>
      <c r="AZ1583" s="72"/>
    </row>
    <row r="1584" spans="1:52">
      <c r="A1584" s="131"/>
      <c r="B1584" s="72"/>
      <c r="D1584" s="72"/>
      <c r="G1584" s="72"/>
      <c r="J1584" s="72"/>
      <c r="M1584" s="72"/>
      <c r="P1584" s="72"/>
      <c r="S1584" s="72"/>
      <c r="V1584" s="72"/>
      <c r="Y1584" s="72"/>
      <c r="AB1584" s="72"/>
      <c r="AE1584" s="72"/>
      <c r="AH1584" s="72"/>
      <c r="AK1584" s="72"/>
      <c r="AN1584" s="72"/>
      <c r="AQ1584" s="72"/>
      <c r="AT1584" s="72"/>
      <c r="AW1584" s="72"/>
      <c r="AZ1584" s="72"/>
    </row>
    <row r="1585" spans="1:52">
      <c r="A1585" s="131"/>
      <c r="B1585" s="72"/>
      <c r="D1585" s="72"/>
      <c r="G1585" s="72"/>
      <c r="J1585" s="72"/>
      <c r="M1585" s="72"/>
      <c r="P1585" s="72"/>
      <c r="S1585" s="72"/>
      <c r="V1585" s="72"/>
      <c r="Y1585" s="72"/>
      <c r="AB1585" s="72"/>
      <c r="AE1585" s="72"/>
      <c r="AH1585" s="72"/>
      <c r="AK1585" s="72"/>
      <c r="AN1585" s="72"/>
      <c r="AQ1585" s="72"/>
      <c r="AT1585" s="72"/>
      <c r="AW1585" s="72"/>
      <c r="AZ1585" s="72"/>
    </row>
    <row r="1586" spans="1:52">
      <c r="A1586" s="131"/>
      <c r="B1586" s="72"/>
      <c r="D1586" s="72"/>
      <c r="G1586" s="72"/>
      <c r="J1586" s="72"/>
      <c r="M1586" s="72"/>
      <c r="P1586" s="72"/>
      <c r="S1586" s="72"/>
      <c r="V1586" s="72"/>
      <c r="Y1586" s="72"/>
      <c r="AB1586" s="72"/>
      <c r="AE1586" s="72"/>
      <c r="AH1586" s="72"/>
      <c r="AK1586" s="72"/>
      <c r="AN1586" s="72"/>
      <c r="AQ1586" s="72"/>
      <c r="AT1586" s="72"/>
      <c r="AW1586" s="72"/>
      <c r="AZ1586" s="72"/>
    </row>
    <row r="1587" spans="1:52">
      <c r="A1587" s="131"/>
      <c r="B1587" s="72"/>
      <c r="D1587" s="72"/>
      <c r="G1587" s="72"/>
      <c r="J1587" s="72"/>
      <c r="M1587" s="72"/>
      <c r="P1587" s="72"/>
      <c r="S1587" s="72"/>
      <c r="V1587" s="72"/>
      <c r="Y1587" s="72"/>
      <c r="AB1587" s="72"/>
      <c r="AE1587" s="72"/>
      <c r="AH1587" s="72"/>
      <c r="AK1587" s="72"/>
      <c r="AN1587" s="72"/>
      <c r="AQ1587" s="72"/>
      <c r="AT1587" s="72"/>
      <c r="AW1587" s="72"/>
      <c r="AZ1587" s="72"/>
    </row>
    <row r="1588" spans="1:52">
      <c r="A1588" s="131"/>
      <c r="B1588" s="72"/>
      <c r="D1588" s="72"/>
      <c r="G1588" s="72"/>
      <c r="J1588" s="72"/>
      <c r="M1588" s="72"/>
      <c r="P1588" s="72"/>
      <c r="S1588" s="72"/>
      <c r="V1588" s="72"/>
      <c r="Y1588" s="72"/>
      <c r="AB1588" s="72"/>
      <c r="AE1588" s="72"/>
      <c r="AH1588" s="72"/>
      <c r="AK1588" s="72"/>
      <c r="AN1588" s="72"/>
      <c r="AQ1588" s="72"/>
      <c r="AT1588" s="72"/>
      <c r="AW1588" s="72"/>
      <c r="AZ1588" s="72"/>
    </row>
    <row r="1589" spans="1:52">
      <c r="A1589" s="131"/>
      <c r="B1589" s="72"/>
      <c r="D1589" s="72"/>
      <c r="G1589" s="72"/>
      <c r="J1589" s="72"/>
      <c r="M1589" s="72"/>
      <c r="P1589" s="72"/>
      <c r="S1589" s="72"/>
      <c r="V1589" s="72"/>
      <c r="Y1589" s="72"/>
      <c r="AB1589" s="72"/>
      <c r="AE1589" s="72"/>
      <c r="AH1589" s="72"/>
      <c r="AK1589" s="72"/>
      <c r="AN1589" s="72"/>
      <c r="AQ1589" s="72"/>
      <c r="AT1589" s="72"/>
      <c r="AW1589" s="72"/>
      <c r="AZ1589" s="72"/>
    </row>
    <row r="1590" spans="1:52">
      <c r="A1590" s="131"/>
      <c r="B1590" s="72"/>
      <c r="D1590" s="72"/>
      <c r="G1590" s="72"/>
      <c r="J1590" s="72"/>
      <c r="M1590" s="72"/>
      <c r="P1590" s="72"/>
      <c r="S1590" s="72"/>
      <c r="V1590" s="72"/>
      <c r="Y1590" s="72"/>
      <c r="AB1590" s="72"/>
      <c r="AE1590" s="72"/>
      <c r="AH1590" s="72"/>
      <c r="AK1590" s="72"/>
      <c r="AN1590" s="72"/>
      <c r="AQ1590" s="72"/>
      <c r="AT1590" s="72"/>
      <c r="AW1590" s="72"/>
      <c r="AZ1590" s="72"/>
    </row>
    <row r="1591" spans="1:52">
      <c r="A1591" s="131"/>
      <c r="B1591" s="72"/>
      <c r="D1591" s="72"/>
      <c r="G1591" s="72"/>
      <c r="J1591" s="72"/>
      <c r="M1591" s="72"/>
      <c r="P1591" s="72"/>
      <c r="S1591" s="72"/>
      <c r="V1591" s="72"/>
      <c r="Y1591" s="72"/>
      <c r="AB1591" s="72"/>
      <c r="AE1591" s="72"/>
      <c r="AH1591" s="72"/>
      <c r="AK1591" s="72"/>
      <c r="AN1591" s="72"/>
      <c r="AQ1591" s="72"/>
      <c r="AT1591" s="72"/>
      <c r="AW1591" s="72"/>
      <c r="AZ1591" s="72"/>
    </row>
    <row r="1592" spans="1:52">
      <c r="A1592" s="131"/>
      <c r="B1592" s="72"/>
      <c r="D1592" s="72"/>
      <c r="G1592" s="72"/>
      <c r="J1592" s="72"/>
      <c r="M1592" s="72"/>
      <c r="P1592" s="72"/>
      <c r="S1592" s="72"/>
      <c r="V1592" s="72"/>
      <c r="Y1592" s="72"/>
      <c r="AB1592" s="72"/>
      <c r="AE1592" s="72"/>
      <c r="AH1592" s="72"/>
      <c r="AK1592" s="72"/>
      <c r="AN1592" s="72"/>
      <c r="AQ1592" s="72"/>
      <c r="AT1592" s="72"/>
      <c r="AW1592" s="72"/>
      <c r="AZ1592" s="72"/>
    </row>
    <row r="1593" spans="1:52">
      <c r="A1593" s="131"/>
      <c r="B1593" s="72"/>
      <c r="D1593" s="72"/>
      <c r="G1593" s="72"/>
      <c r="J1593" s="72"/>
      <c r="M1593" s="72"/>
      <c r="P1593" s="72"/>
      <c r="S1593" s="72"/>
      <c r="V1593" s="72"/>
      <c r="Y1593" s="72"/>
      <c r="AB1593" s="72"/>
      <c r="AE1593" s="72"/>
      <c r="AH1593" s="72"/>
      <c r="AK1593" s="72"/>
      <c r="AN1593" s="72"/>
      <c r="AQ1593" s="72"/>
      <c r="AT1593" s="72"/>
      <c r="AW1593" s="72"/>
      <c r="AZ1593" s="72"/>
    </row>
    <row r="1594" spans="1:52">
      <c r="A1594" s="131"/>
      <c r="B1594" s="72"/>
      <c r="D1594" s="72"/>
      <c r="G1594" s="72"/>
      <c r="J1594" s="72"/>
      <c r="M1594" s="72"/>
      <c r="P1594" s="72"/>
      <c r="S1594" s="72"/>
      <c r="V1594" s="72"/>
      <c r="Y1594" s="72"/>
      <c r="AB1594" s="72"/>
      <c r="AE1594" s="72"/>
      <c r="AH1594" s="72"/>
      <c r="AK1594" s="72"/>
      <c r="AN1594" s="72"/>
      <c r="AQ1594" s="72"/>
      <c r="AT1594" s="72"/>
      <c r="AW1594" s="72"/>
      <c r="AZ1594" s="72"/>
    </row>
    <row r="1595" spans="1:52">
      <c r="A1595" s="131"/>
      <c r="B1595" s="72"/>
      <c r="D1595" s="72"/>
      <c r="G1595" s="72"/>
      <c r="J1595" s="72"/>
      <c r="M1595" s="72"/>
      <c r="P1595" s="72"/>
      <c r="S1595" s="72"/>
      <c r="V1595" s="72"/>
      <c r="Y1595" s="72"/>
      <c r="AB1595" s="72"/>
      <c r="AE1595" s="72"/>
      <c r="AH1595" s="72"/>
      <c r="AK1595" s="72"/>
      <c r="AN1595" s="72"/>
      <c r="AQ1595" s="72"/>
      <c r="AT1595" s="72"/>
      <c r="AW1595" s="72"/>
      <c r="AZ1595" s="72"/>
    </row>
    <row r="1596" spans="1:52">
      <c r="A1596" s="131"/>
      <c r="B1596" s="72"/>
      <c r="D1596" s="72"/>
      <c r="G1596" s="72"/>
      <c r="J1596" s="72"/>
      <c r="M1596" s="72"/>
      <c r="P1596" s="72"/>
      <c r="S1596" s="72"/>
      <c r="V1596" s="72"/>
      <c r="Y1596" s="72"/>
      <c r="AB1596" s="72"/>
      <c r="AE1596" s="72"/>
      <c r="AH1596" s="72"/>
      <c r="AK1596" s="72"/>
      <c r="AN1596" s="72"/>
      <c r="AQ1596" s="72"/>
      <c r="AT1596" s="72"/>
      <c r="AW1596" s="72"/>
      <c r="AZ1596" s="72"/>
    </row>
    <row r="1597" spans="1:52">
      <c r="A1597" s="131"/>
      <c r="B1597" s="72"/>
      <c r="D1597" s="72"/>
      <c r="G1597" s="72"/>
      <c r="J1597" s="72"/>
      <c r="M1597" s="72"/>
      <c r="P1597" s="72"/>
      <c r="S1597" s="72"/>
      <c r="V1597" s="72"/>
      <c r="Y1597" s="72"/>
      <c r="AB1597" s="72"/>
      <c r="AE1597" s="72"/>
      <c r="AH1597" s="72"/>
      <c r="AK1597" s="72"/>
      <c r="AN1597" s="72"/>
      <c r="AQ1597" s="72"/>
      <c r="AT1597" s="72"/>
      <c r="AW1597" s="72"/>
      <c r="AZ1597" s="72"/>
    </row>
    <row r="1598" spans="1:52">
      <c r="A1598" s="131"/>
      <c r="B1598" s="72"/>
      <c r="D1598" s="72"/>
      <c r="G1598" s="72"/>
      <c r="J1598" s="72"/>
      <c r="M1598" s="72"/>
      <c r="P1598" s="72"/>
      <c r="S1598" s="72"/>
      <c r="V1598" s="72"/>
      <c r="Y1598" s="72"/>
      <c r="AB1598" s="72"/>
      <c r="AE1598" s="72"/>
      <c r="AH1598" s="72"/>
      <c r="AK1598" s="72"/>
      <c r="AN1598" s="72"/>
      <c r="AQ1598" s="72"/>
      <c r="AT1598" s="72"/>
      <c r="AW1598" s="72"/>
      <c r="AZ1598" s="72"/>
    </row>
    <row r="1599" spans="1:52">
      <c r="A1599" s="131"/>
      <c r="B1599" s="72"/>
      <c r="D1599" s="72"/>
      <c r="G1599" s="72"/>
      <c r="J1599" s="72"/>
      <c r="M1599" s="72"/>
      <c r="P1599" s="72"/>
      <c r="S1599" s="72"/>
      <c r="V1599" s="72"/>
      <c r="Y1599" s="72"/>
      <c r="AB1599" s="72"/>
      <c r="AE1599" s="72"/>
      <c r="AH1599" s="72"/>
      <c r="AK1599" s="72"/>
      <c r="AN1599" s="72"/>
      <c r="AQ1599" s="72"/>
      <c r="AT1599" s="72"/>
      <c r="AW1599" s="72"/>
      <c r="AZ1599" s="72"/>
    </row>
    <row r="1600" spans="1:52">
      <c r="A1600" s="131"/>
      <c r="B1600" s="72"/>
      <c r="D1600" s="72"/>
      <c r="G1600" s="72"/>
      <c r="J1600" s="72"/>
      <c r="M1600" s="72"/>
      <c r="P1600" s="72"/>
      <c r="S1600" s="72"/>
      <c r="V1600" s="72"/>
      <c r="Y1600" s="72"/>
      <c r="AB1600" s="72"/>
      <c r="AE1600" s="72"/>
      <c r="AH1600" s="72"/>
      <c r="AK1600" s="72"/>
      <c r="AN1600" s="72"/>
      <c r="AQ1600" s="72"/>
      <c r="AT1600" s="72"/>
      <c r="AW1600" s="72"/>
      <c r="AZ1600" s="72"/>
    </row>
    <row r="1601" spans="1:52">
      <c r="A1601" s="131"/>
      <c r="B1601" s="72"/>
      <c r="D1601" s="72"/>
      <c r="G1601" s="72"/>
      <c r="J1601" s="72"/>
      <c r="M1601" s="72"/>
      <c r="P1601" s="72"/>
      <c r="S1601" s="72"/>
      <c r="V1601" s="72"/>
      <c r="Y1601" s="72"/>
      <c r="AB1601" s="72"/>
      <c r="AE1601" s="72"/>
      <c r="AH1601" s="72"/>
      <c r="AK1601" s="72"/>
      <c r="AN1601" s="72"/>
      <c r="AQ1601" s="72"/>
      <c r="AT1601" s="72"/>
      <c r="AW1601" s="72"/>
      <c r="AZ1601" s="72"/>
    </row>
    <row r="1602" spans="1:52">
      <c r="A1602" s="131"/>
      <c r="B1602" s="72"/>
      <c r="D1602" s="72"/>
      <c r="G1602" s="72"/>
      <c r="J1602" s="72"/>
      <c r="M1602" s="72"/>
      <c r="P1602" s="72"/>
      <c r="S1602" s="72"/>
      <c r="V1602" s="72"/>
      <c r="Y1602" s="72"/>
      <c r="AB1602" s="72"/>
      <c r="AE1602" s="72"/>
      <c r="AH1602" s="72"/>
      <c r="AK1602" s="72"/>
      <c r="AN1602" s="72"/>
      <c r="AQ1602" s="72"/>
      <c r="AT1602" s="72"/>
      <c r="AW1602" s="72"/>
      <c r="AZ1602" s="72"/>
    </row>
    <row r="1603" spans="1:52">
      <c r="A1603" s="131"/>
      <c r="B1603" s="72"/>
      <c r="D1603" s="72"/>
      <c r="G1603" s="72"/>
      <c r="J1603" s="72"/>
      <c r="M1603" s="72"/>
      <c r="P1603" s="72"/>
      <c r="S1603" s="72"/>
      <c r="V1603" s="72"/>
      <c r="Y1603" s="72"/>
      <c r="AB1603" s="72"/>
      <c r="AE1603" s="72"/>
      <c r="AH1603" s="72"/>
      <c r="AK1603" s="72"/>
      <c r="AN1603" s="72"/>
      <c r="AQ1603" s="72"/>
      <c r="AT1603" s="72"/>
      <c r="AW1603" s="72"/>
      <c r="AZ1603" s="72"/>
    </row>
    <row r="1604" spans="1:52">
      <c r="A1604" s="131"/>
      <c r="B1604" s="72"/>
      <c r="D1604" s="72"/>
      <c r="G1604" s="72"/>
      <c r="J1604" s="72"/>
      <c r="M1604" s="72"/>
      <c r="P1604" s="72"/>
      <c r="S1604" s="72"/>
      <c r="V1604" s="72"/>
      <c r="Y1604" s="72"/>
      <c r="AB1604" s="72"/>
      <c r="AE1604" s="72"/>
      <c r="AH1604" s="72"/>
      <c r="AK1604" s="72"/>
      <c r="AN1604" s="72"/>
      <c r="AQ1604" s="72"/>
      <c r="AT1604" s="72"/>
      <c r="AW1604" s="72"/>
      <c r="AZ1604" s="72"/>
    </row>
    <row r="1605" spans="1:52">
      <c r="A1605" s="131"/>
      <c r="B1605" s="72"/>
      <c r="D1605" s="72"/>
      <c r="G1605" s="72"/>
      <c r="J1605" s="72"/>
      <c r="M1605" s="72"/>
      <c r="P1605" s="72"/>
      <c r="S1605" s="72"/>
      <c r="V1605" s="72"/>
      <c r="Y1605" s="72"/>
      <c r="AB1605" s="72"/>
      <c r="AE1605" s="72"/>
      <c r="AH1605" s="72"/>
      <c r="AK1605" s="72"/>
      <c r="AN1605" s="72"/>
      <c r="AQ1605" s="72"/>
      <c r="AT1605" s="72"/>
      <c r="AW1605" s="72"/>
      <c r="AZ1605" s="72"/>
    </row>
    <row r="1606" spans="1:52">
      <c r="A1606" s="131"/>
      <c r="B1606" s="72"/>
      <c r="D1606" s="72"/>
      <c r="G1606" s="72"/>
      <c r="J1606" s="72"/>
      <c r="M1606" s="72"/>
      <c r="P1606" s="72"/>
      <c r="S1606" s="72"/>
      <c r="V1606" s="72"/>
      <c r="Y1606" s="72"/>
      <c r="AB1606" s="72"/>
      <c r="AE1606" s="72"/>
      <c r="AH1606" s="72"/>
      <c r="AK1606" s="72"/>
      <c r="AN1606" s="72"/>
      <c r="AQ1606" s="72"/>
      <c r="AT1606" s="72"/>
      <c r="AW1606" s="72"/>
      <c r="AZ1606" s="72"/>
    </row>
    <row r="1607" spans="1:52">
      <c r="A1607" s="131"/>
      <c r="B1607" s="72"/>
      <c r="D1607" s="72"/>
      <c r="G1607" s="72"/>
      <c r="J1607" s="72"/>
      <c r="M1607" s="72"/>
      <c r="P1607" s="72"/>
      <c r="S1607" s="72"/>
      <c r="V1607" s="72"/>
      <c r="Y1607" s="72"/>
      <c r="AB1607" s="72"/>
      <c r="AE1607" s="72"/>
      <c r="AH1607" s="72"/>
      <c r="AK1607" s="72"/>
      <c r="AN1607" s="72"/>
      <c r="AQ1607" s="72"/>
      <c r="AT1607" s="72"/>
      <c r="AW1607" s="72"/>
      <c r="AZ1607" s="72"/>
    </row>
    <row r="1608" spans="1:52">
      <c r="A1608" s="131"/>
      <c r="B1608" s="72"/>
      <c r="D1608" s="72"/>
      <c r="G1608" s="72"/>
      <c r="J1608" s="72"/>
      <c r="M1608" s="72"/>
      <c r="P1608" s="72"/>
      <c r="S1608" s="72"/>
      <c r="V1608" s="72"/>
      <c r="Y1608" s="72"/>
      <c r="AB1608" s="72"/>
      <c r="AE1608" s="72"/>
      <c r="AH1608" s="72"/>
      <c r="AK1608" s="72"/>
      <c r="AN1608" s="72"/>
      <c r="AQ1608" s="72"/>
      <c r="AT1608" s="72"/>
      <c r="AW1608" s="72"/>
      <c r="AZ1608" s="72"/>
    </row>
    <row r="1609" spans="1:52">
      <c r="A1609" s="131"/>
      <c r="B1609" s="72"/>
      <c r="D1609" s="72"/>
      <c r="G1609" s="72"/>
      <c r="J1609" s="72"/>
      <c r="M1609" s="72"/>
      <c r="P1609" s="72"/>
      <c r="S1609" s="72"/>
      <c r="V1609" s="72"/>
      <c r="Y1609" s="72"/>
      <c r="AB1609" s="72"/>
      <c r="AE1609" s="72"/>
      <c r="AH1609" s="72"/>
      <c r="AK1609" s="72"/>
      <c r="AN1609" s="72"/>
      <c r="AQ1609" s="72"/>
      <c r="AT1609" s="72"/>
      <c r="AW1609" s="72"/>
      <c r="AZ1609" s="72"/>
    </row>
    <row r="1610" spans="1:52">
      <c r="A1610" s="131"/>
      <c r="B1610" s="72"/>
      <c r="D1610" s="72"/>
      <c r="G1610" s="72"/>
      <c r="J1610" s="72"/>
      <c r="M1610" s="72"/>
      <c r="P1610" s="72"/>
      <c r="S1610" s="72"/>
      <c r="V1610" s="72"/>
      <c r="Y1610" s="72"/>
      <c r="AB1610" s="72"/>
      <c r="AE1610" s="72"/>
      <c r="AH1610" s="72"/>
      <c r="AK1610" s="72"/>
      <c r="AN1610" s="72"/>
      <c r="AQ1610" s="72"/>
      <c r="AT1610" s="72"/>
      <c r="AW1610" s="72"/>
      <c r="AZ1610" s="72"/>
    </row>
    <row r="1611" spans="1:52">
      <c r="A1611" s="131"/>
      <c r="B1611" s="72"/>
      <c r="D1611" s="72"/>
      <c r="G1611" s="72"/>
      <c r="J1611" s="72"/>
      <c r="M1611" s="72"/>
      <c r="P1611" s="72"/>
      <c r="S1611" s="72"/>
      <c r="V1611" s="72"/>
      <c r="Y1611" s="72"/>
      <c r="AB1611" s="72"/>
      <c r="AE1611" s="72"/>
      <c r="AH1611" s="72"/>
      <c r="AK1611" s="72"/>
      <c r="AN1611" s="72"/>
      <c r="AQ1611" s="72"/>
      <c r="AT1611" s="72"/>
      <c r="AW1611" s="72"/>
      <c r="AZ1611" s="72"/>
    </row>
    <row r="1612" spans="1:52">
      <c r="A1612" s="131"/>
      <c r="B1612" s="72"/>
      <c r="D1612" s="72"/>
      <c r="G1612" s="72"/>
      <c r="J1612" s="72"/>
      <c r="M1612" s="72"/>
      <c r="P1612" s="72"/>
      <c r="S1612" s="72"/>
      <c r="V1612" s="72"/>
      <c r="Y1612" s="72"/>
      <c r="AB1612" s="72"/>
      <c r="AE1612" s="72"/>
      <c r="AH1612" s="72"/>
      <c r="AK1612" s="72"/>
      <c r="AN1612" s="72"/>
      <c r="AQ1612" s="72"/>
      <c r="AT1612" s="72"/>
      <c r="AW1612" s="72"/>
      <c r="AZ1612" s="72"/>
    </row>
    <row r="1613" spans="1:52">
      <c r="A1613" s="131"/>
      <c r="B1613" s="72"/>
      <c r="D1613" s="72"/>
      <c r="G1613" s="72"/>
      <c r="J1613" s="72"/>
      <c r="M1613" s="72"/>
      <c r="P1613" s="72"/>
      <c r="S1613" s="72"/>
      <c r="V1613" s="72"/>
      <c r="Y1613" s="72"/>
      <c r="AB1613" s="72"/>
      <c r="AE1613" s="72"/>
      <c r="AH1613" s="72"/>
      <c r="AK1613" s="72"/>
      <c r="AN1613" s="72"/>
      <c r="AQ1613" s="72"/>
      <c r="AT1613" s="72"/>
      <c r="AW1613" s="72"/>
      <c r="AZ1613" s="72"/>
    </row>
    <row r="1614" spans="1:52">
      <c r="A1614" s="131"/>
      <c r="B1614" s="72"/>
      <c r="D1614" s="72"/>
      <c r="G1614" s="72"/>
      <c r="J1614" s="72"/>
      <c r="M1614" s="72"/>
      <c r="P1614" s="72"/>
      <c r="S1614" s="72"/>
      <c r="V1614" s="72"/>
      <c r="Y1614" s="72"/>
      <c r="AB1614" s="72"/>
      <c r="AE1614" s="72"/>
      <c r="AH1614" s="72"/>
      <c r="AK1614" s="72"/>
      <c r="AN1614" s="72"/>
      <c r="AQ1614" s="72"/>
      <c r="AT1614" s="72"/>
      <c r="AW1614" s="72"/>
      <c r="AZ1614" s="72"/>
    </row>
    <row r="1615" spans="1:52">
      <c r="A1615" s="131"/>
      <c r="B1615" s="72"/>
      <c r="D1615" s="72"/>
      <c r="G1615" s="72"/>
      <c r="J1615" s="72"/>
      <c r="M1615" s="72"/>
      <c r="P1615" s="72"/>
      <c r="S1615" s="72"/>
      <c r="V1615" s="72"/>
      <c r="Y1615" s="72"/>
      <c r="AB1615" s="72"/>
      <c r="AE1615" s="72"/>
      <c r="AH1615" s="72"/>
      <c r="AK1615" s="72"/>
      <c r="AN1615" s="72"/>
      <c r="AQ1615" s="72"/>
      <c r="AT1615" s="72"/>
      <c r="AW1615" s="72"/>
      <c r="AZ1615" s="72"/>
    </row>
    <row r="1616" spans="1:52">
      <c r="A1616" s="131"/>
      <c r="B1616" s="72"/>
      <c r="D1616" s="72"/>
      <c r="G1616" s="72"/>
      <c r="J1616" s="72"/>
      <c r="M1616" s="72"/>
      <c r="P1616" s="72"/>
      <c r="S1616" s="72"/>
      <c r="V1616" s="72"/>
      <c r="Y1616" s="72"/>
      <c r="AB1616" s="72"/>
      <c r="AE1616" s="72"/>
      <c r="AH1616" s="72"/>
      <c r="AK1616" s="72"/>
      <c r="AN1616" s="72"/>
      <c r="AQ1616" s="72"/>
      <c r="AT1616" s="72"/>
      <c r="AW1616" s="72"/>
      <c r="AZ1616" s="72"/>
    </row>
    <row r="1617" spans="1:52">
      <c r="A1617" s="131"/>
      <c r="B1617" s="72"/>
      <c r="D1617" s="72"/>
      <c r="G1617" s="72"/>
      <c r="J1617" s="72"/>
      <c r="M1617" s="72"/>
      <c r="P1617" s="72"/>
      <c r="S1617" s="72"/>
      <c r="V1617" s="72"/>
      <c r="Y1617" s="72"/>
      <c r="AB1617" s="72"/>
      <c r="AE1617" s="72"/>
      <c r="AH1617" s="72"/>
      <c r="AK1617" s="72"/>
      <c r="AN1617" s="72"/>
      <c r="AQ1617" s="72"/>
      <c r="AT1617" s="72"/>
      <c r="AW1617" s="72"/>
      <c r="AZ1617" s="72"/>
    </row>
    <row r="1618" spans="1:52">
      <c r="A1618" s="131"/>
      <c r="B1618" s="72"/>
      <c r="D1618" s="72"/>
      <c r="G1618" s="72"/>
      <c r="J1618" s="72"/>
      <c r="M1618" s="72"/>
      <c r="P1618" s="72"/>
      <c r="S1618" s="72"/>
      <c r="V1618" s="72"/>
      <c r="Y1618" s="72"/>
      <c r="AB1618" s="72"/>
      <c r="AE1618" s="72"/>
      <c r="AH1618" s="72"/>
      <c r="AK1618" s="72"/>
      <c r="AN1618" s="72"/>
      <c r="AQ1618" s="72"/>
      <c r="AT1618" s="72"/>
      <c r="AW1618" s="72"/>
      <c r="AZ1618" s="72"/>
    </row>
    <row r="1619" spans="1:52">
      <c r="A1619" s="131"/>
      <c r="B1619" s="72"/>
      <c r="D1619" s="72"/>
      <c r="G1619" s="72"/>
      <c r="J1619" s="72"/>
      <c r="M1619" s="72"/>
      <c r="P1619" s="72"/>
      <c r="S1619" s="72"/>
      <c r="V1619" s="72"/>
      <c r="Y1619" s="72"/>
      <c r="AB1619" s="72"/>
      <c r="AE1619" s="72"/>
      <c r="AH1619" s="72"/>
      <c r="AK1619" s="72"/>
      <c r="AN1619" s="72"/>
      <c r="AQ1619" s="72"/>
      <c r="AT1619" s="72"/>
      <c r="AW1619" s="72"/>
      <c r="AZ1619" s="72"/>
    </row>
    <row r="1620" spans="1:52">
      <c r="A1620" s="131"/>
      <c r="B1620" s="72"/>
      <c r="D1620" s="72"/>
      <c r="G1620" s="72"/>
      <c r="J1620" s="72"/>
      <c r="M1620" s="72"/>
      <c r="P1620" s="72"/>
      <c r="S1620" s="72"/>
      <c r="V1620" s="72"/>
      <c r="Y1620" s="72"/>
      <c r="AB1620" s="72"/>
      <c r="AE1620" s="72"/>
      <c r="AH1620" s="72"/>
      <c r="AK1620" s="72"/>
      <c r="AN1620" s="72"/>
      <c r="AQ1620" s="72"/>
      <c r="AT1620" s="72"/>
      <c r="AW1620" s="72"/>
      <c r="AZ1620" s="72"/>
    </row>
    <row r="1621" spans="1:52">
      <c r="A1621" s="131"/>
      <c r="B1621" s="72"/>
      <c r="D1621" s="72"/>
      <c r="G1621" s="72"/>
      <c r="J1621" s="72"/>
      <c r="M1621" s="72"/>
      <c r="P1621" s="72"/>
      <c r="S1621" s="72"/>
      <c r="V1621" s="72"/>
      <c r="Y1621" s="72"/>
      <c r="AB1621" s="72"/>
      <c r="AE1621" s="72"/>
      <c r="AH1621" s="72"/>
      <c r="AK1621" s="72"/>
      <c r="AN1621" s="72"/>
      <c r="AQ1621" s="72"/>
      <c r="AT1621" s="72"/>
      <c r="AW1621" s="72"/>
      <c r="AZ1621" s="72"/>
    </row>
    <row r="1622" spans="1:52">
      <c r="A1622" s="131"/>
      <c r="B1622" s="72"/>
      <c r="D1622" s="72"/>
      <c r="G1622" s="72"/>
      <c r="J1622" s="72"/>
      <c r="M1622" s="72"/>
      <c r="P1622" s="72"/>
      <c r="S1622" s="72"/>
      <c r="V1622" s="72"/>
      <c r="Y1622" s="72"/>
      <c r="AB1622" s="72"/>
      <c r="AE1622" s="72"/>
      <c r="AH1622" s="72"/>
      <c r="AK1622" s="72"/>
      <c r="AN1622" s="72"/>
      <c r="AQ1622" s="72"/>
      <c r="AT1622" s="72"/>
      <c r="AW1622" s="72"/>
      <c r="AZ1622" s="72"/>
    </row>
    <row r="1623" spans="1:52">
      <c r="A1623" s="131"/>
      <c r="B1623" s="72"/>
      <c r="D1623" s="72"/>
      <c r="G1623" s="72"/>
      <c r="J1623" s="72"/>
      <c r="M1623" s="72"/>
      <c r="P1623" s="72"/>
      <c r="S1623" s="72"/>
      <c r="V1623" s="72"/>
      <c r="Y1623" s="72"/>
      <c r="AB1623" s="72"/>
      <c r="AE1623" s="72"/>
      <c r="AH1623" s="72"/>
      <c r="AK1623" s="72"/>
      <c r="AN1623" s="72"/>
      <c r="AQ1623" s="72"/>
      <c r="AT1623" s="72"/>
      <c r="AW1623" s="72"/>
      <c r="AZ1623" s="72"/>
    </row>
    <row r="1624" spans="1:52">
      <c r="A1624" s="131"/>
      <c r="B1624" s="72"/>
      <c r="D1624" s="72"/>
      <c r="G1624" s="72"/>
      <c r="J1624" s="72"/>
      <c r="M1624" s="72"/>
      <c r="P1624" s="72"/>
      <c r="S1624" s="72"/>
      <c r="V1624" s="72"/>
      <c r="Y1624" s="72"/>
      <c r="AB1624" s="72"/>
      <c r="AE1624" s="72"/>
      <c r="AH1624" s="72"/>
      <c r="AK1624" s="72"/>
      <c r="AN1624" s="72"/>
      <c r="AQ1624" s="72"/>
      <c r="AT1624" s="72"/>
      <c r="AW1624" s="72"/>
      <c r="AZ1624" s="72"/>
    </row>
    <row r="1625" spans="1:52">
      <c r="A1625" s="131"/>
      <c r="B1625" s="72"/>
      <c r="D1625" s="72"/>
      <c r="G1625" s="72"/>
      <c r="J1625" s="72"/>
      <c r="M1625" s="72"/>
      <c r="P1625" s="72"/>
      <c r="S1625" s="72"/>
      <c r="V1625" s="72"/>
      <c r="Y1625" s="72"/>
      <c r="AB1625" s="72"/>
      <c r="AE1625" s="72"/>
      <c r="AH1625" s="72"/>
      <c r="AK1625" s="72"/>
      <c r="AN1625" s="72"/>
      <c r="AQ1625" s="72"/>
      <c r="AT1625" s="72"/>
      <c r="AW1625" s="72"/>
      <c r="AZ1625" s="72"/>
    </row>
    <row r="1626" spans="1:52">
      <c r="A1626" s="131"/>
      <c r="B1626" s="72"/>
      <c r="D1626" s="72"/>
      <c r="G1626" s="72"/>
      <c r="J1626" s="72"/>
      <c r="M1626" s="72"/>
      <c r="P1626" s="72"/>
      <c r="S1626" s="72"/>
      <c r="V1626" s="72"/>
      <c r="Y1626" s="72"/>
      <c r="AB1626" s="72"/>
      <c r="AE1626" s="72"/>
      <c r="AH1626" s="72"/>
      <c r="AK1626" s="72"/>
      <c r="AN1626" s="72"/>
      <c r="AQ1626" s="72"/>
      <c r="AT1626" s="72"/>
      <c r="AW1626" s="72"/>
      <c r="AZ1626" s="72"/>
    </row>
    <row r="1627" spans="1:52">
      <c r="A1627" s="131"/>
      <c r="B1627" s="72"/>
      <c r="D1627" s="72"/>
      <c r="G1627" s="72"/>
      <c r="J1627" s="72"/>
      <c r="M1627" s="72"/>
      <c r="P1627" s="72"/>
      <c r="S1627" s="72"/>
      <c r="V1627" s="72"/>
      <c r="Y1627" s="72"/>
      <c r="AB1627" s="72"/>
      <c r="AE1627" s="72"/>
      <c r="AH1627" s="72"/>
      <c r="AK1627" s="72"/>
      <c r="AN1627" s="72"/>
      <c r="AQ1627" s="72"/>
      <c r="AT1627" s="72"/>
      <c r="AW1627" s="72"/>
      <c r="AZ1627" s="72"/>
    </row>
    <row r="1628" spans="1:52">
      <c r="A1628" s="131"/>
      <c r="B1628" s="72"/>
      <c r="D1628" s="72"/>
      <c r="G1628" s="72"/>
      <c r="J1628" s="72"/>
      <c r="M1628" s="72"/>
      <c r="P1628" s="72"/>
      <c r="S1628" s="72"/>
      <c r="V1628" s="72"/>
      <c r="Y1628" s="72"/>
      <c r="AB1628" s="72"/>
      <c r="AE1628" s="72"/>
      <c r="AH1628" s="72"/>
      <c r="AK1628" s="72"/>
      <c r="AN1628" s="72"/>
      <c r="AQ1628" s="72"/>
      <c r="AT1628" s="72"/>
      <c r="AW1628" s="72"/>
      <c r="AZ1628" s="72"/>
    </row>
    <row r="1629" spans="1:52">
      <c r="A1629" s="131"/>
      <c r="B1629" s="72"/>
      <c r="D1629" s="72"/>
      <c r="G1629" s="72"/>
      <c r="J1629" s="72"/>
      <c r="M1629" s="72"/>
      <c r="P1629" s="72"/>
      <c r="S1629" s="72"/>
      <c r="V1629" s="72"/>
      <c r="Y1629" s="72"/>
      <c r="AB1629" s="72"/>
      <c r="AE1629" s="72"/>
      <c r="AH1629" s="72"/>
      <c r="AK1629" s="72"/>
      <c r="AN1629" s="72"/>
      <c r="AQ1629" s="72"/>
      <c r="AT1629" s="72"/>
      <c r="AW1629" s="72"/>
      <c r="AZ1629" s="72"/>
    </row>
    <row r="1630" spans="1:52">
      <c r="A1630" s="131"/>
      <c r="B1630" s="72"/>
      <c r="D1630" s="72"/>
      <c r="G1630" s="72"/>
      <c r="J1630" s="72"/>
      <c r="M1630" s="72"/>
      <c r="P1630" s="72"/>
      <c r="S1630" s="72"/>
      <c r="V1630" s="72"/>
      <c r="Y1630" s="72"/>
      <c r="AB1630" s="72"/>
      <c r="AE1630" s="72"/>
      <c r="AH1630" s="72"/>
      <c r="AK1630" s="72"/>
      <c r="AN1630" s="72"/>
      <c r="AQ1630" s="72"/>
      <c r="AT1630" s="72"/>
      <c r="AW1630" s="72"/>
      <c r="AZ1630" s="72"/>
    </row>
    <row r="1631" spans="1:52">
      <c r="A1631" s="131"/>
      <c r="B1631" s="72"/>
      <c r="D1631" s="72"/>
      <c r="G1631" s="72"/>
      <c r="J1631" s="72"/>
      <c r="M1631" s="72"/>
      <c r="P1631" s="72"/>
      <c r="S1631" s="72"/>
      <c r="V1631" s="72"/>
      <c r="Y1631" s="72"/>
      <c r="AB1631" s="72"/>
      <c r="AE1631" s="72"/>
      <c r="AH1631" s="72"/>
      <c r="AK1631" s="72"/>
      <c r="AN1631" s="72"/>
      <c r="AQ1631" s="72"/>
      <c r="AT1631" s="72"/>
      <c r="AW1631" s="72"/>
      <c r="AZ1631" s="72"/>
    </row>
    <row r="1632" spans="1:52">
      <c r="A1632" s="131"/>
      <c r="B1632" s="72"/>
      <c r="D1632" s="72"/>
      <c r="G1632" s="72"/>
      <c r="J1632" s="72"/>
      <c r="M1632" s="72"/>
      <c r="P1632" s="72"/>
      <c r="S1632" s="72"/>
      <c r="V1632" s="72"/>
      <c r="Y1632" s="72"/>
      <c r="AB1632" s="72"/>
      <c r="AE1632" s="72"/>
      <c r="AH1632" s="72"/>
      <c r="AK1632" s="72"/>
      <c r="AN1632" s="72"/>
      <c r="AQ1632" s="72"/>
      <c r="AT1632" s="72"/>
      <c r="AW1632" s="72"/>
      <c r="AZ1632" s="72"/>
    </row>
    <row r="1633" spans="1:52">
      <c r="A1633" s="131"/>
      <c r="B1633" s="72"/>
      <c r="D1633" s="72"/>
      <c r="G1633" s="72"/>
      <c r="J1633" s="72"/>
      <c r="M1633" s="72"/>
      <c r="P1633" s="72"/>
      <c r="S1633" s="72"/>
      <c r="V1633" s="72"/>
      <c r="Y1633" s="72"/>
      <c r="AB1633" s="72"/>
      <c r="AE1633" s="72"/>
      <c r="AH1633" s="72"/>
      <c r="AK1633" s="72"/>
      <c r="AN1633" s="72"/>
      <c r="AQ1633" s="72"/>
      <c r="AT1633" s="72"/>
      <c r="AW1633" s="72"/>
      <c r="AZ1633" s="72"/>
    </row>
    <row r="1634" spans="1:52">
      <c r="A1634" s="131"/>
      <c r="B1634" s="72"/>
      <c r="D1634" s="72"/>
      <c r="G1634" s="72"/>
      <c r="J1634" s="72"/>
      <c r="M1634" s="72"/>
      <c r="P1634" s="72"/>
      <c r="S1634" s="72"/>
      <c r="V1634" s="72"/>
      <c r="Y1634" s="72"/>
      <c r="AB1634" s="72"/>
      <c r="AE1634" s="72"/>
      <c r="AH1634" s="72"/>
      <c r="AK1634" s="72"/>
      <c r="AN1634" s="72"/>
      <c r="AQ1634" s="72"/>
      <c r="AT1634" s="72"/>
      <c r="AW1634" s="72"/>
      <c r="AZ1634" s="72"/>
    </row>
    <row r="1635" spans="1:52">
      <c r="A1635" s="131"/>
      <c r="B1635" s="72"/>
      <c r="D1635" s="72"/>
      <c r="G1635" s="72"/>
      <c r="J1635" s="72"/>
      <c r="M1635" s="72"/>
      <c r="P1635" s="72"/>
      <c r="S1635" s="72"/>
      <c r="V1635" s="72"/>
      <c r="Y1635" s="72"/>
      <c r="AB1635" s="72"/>
      <c r="AE1635" s="72"/>
      <c r="AH1635" s="72"/>
      <c r="AK1635" s="72"/>
      <c r="AN1635" s="72"/>
      <c r="AQ1635" s="72"/>
      <c r="AT1635" s="72"/>
      <c r="AW1635" s="72"/>
      <c r="AZ1635" s="72"/>
    </row>
    <row r="1636" spans="1:52">
      <c r="A1636" s="131"/>
      <c r="B1636" s="72"/>
      <c r="D1636" s="72"/>
      <c r="G1636" s="72"/>
      <c r="J1636" s="72"/>
      <c r="M1636" s="72"/>
      <c r="P1636" s="72"/>
      <c r="S1636" s="72"/>
      <c r="V1636" s="72"/>
      <c r="Y1636" s="72"/>
      <c r="AB1636" s="72"/>
      <c r="AE1636" s="72"/>
      <c r="AH1636" s="72"/>
      <c r="AK1636" s="72"/>
      <c r="AN1636" s="72"/>
      <c r="AQ1636" s="72"/>
      <c r="AT1636" s="72"/>
      <c r="AW1636" s="72"/>
      <c r="AZ1636" s="72"/>
    </row>
    <row r="1637" spans="1:52">
      <c r="A1637" s="131"/>
      <c r="B1637" s="72"/>
      <c r="D1637" s="72"/>
      <c r="G1637" s="72"/>
      <c r="J1637" s="72"/>
      <c r="M1637" s="72"/>
      <c r="P1637" s="72"/>
      <c r="S1637" s="72"/>
      <c r="V1637" s="72"/>
      <c r="Y1637" s="72"/>
      <c r="AB1637" s="72"/>
      <c r="AE1637" s="72"/>
      <c r="AH1637" s="72"/>
      <c r="AK1637" s="72"/>
      <c r="AN1637" s="72"/>
      <c r="AQ1637" s="72"/>
      <c r="AT1637" s="72"/>
      <c r="AW1637" s="72"/>
      <c r="AZ1637" s="72"/>
    </row>
    <row r="1638" spans="1:52">
      <c r="A1638" s="131"/>
      <c r="B1638" s="72"/>
      <c r="D1638" s="72"/>
      <c r="G1638" s="72"/>
      <c r="J1638" s="72"/>
      <c r="M1638" s="72"/>
      <c r="P1638" s="72"/>
      <c r="S1638" s="72"/>
      <c r="V1638" s="72"/>
      <c r="Y1638" s="72"/>
      <c r="AB1638" s="72"/>
      <c r="AE1638" s="72"/>
      <c r="AH1638" s="72"/>
      <c r="AK1638" s="72"/>
      <c r="AN1638" s="72"/>
      <c r="AQ1638" s="72"/>
      <c r="AT1638" s="72"/>
      <c r="AW1638" s="72"/>
      <c r="AZ1638" s="72"/>
    </row>
    <row r="1639" spans="1:52">
      <c r="A1639" s="131"/>
      <c r="B1639" s="72"/>
      <c r="D1639" s="72"/>
      <c r="G1639" s="72"/>
      <c r="J1639" s="72"/>
      <c r="M1639" s="72"/>
      <c r="P1639" s="72"/>
      <c r="S1639" s="72"/>
      <c r="V1639" s="72"/>
      <c r="Y1639" s="72"/>
      <c r="AB1639" s="72"/>
      <c r="AE1639" s="72"/>
      <c r="AH1639" s="72"/>
      <c r="AK1639" s="72"/>
      <c r="AN1639" s="72"/>
      <c r="AQ1639" s="72"/>
      <c r="AT1639" s="72"/>
      <c r="AW1639" s="72"/>
      <c r="AZ1639" s="72"/>
    </row>
    <row r="1640" spans="1:52">
      <c r="A1640" s="131"/>
      <c r="B1640" s="72"/>
      <c r="D1640" s="72"/>
      <c r="G1640" s="72"/>
      <c r="J1640" s="72"/>
      <c r="M1640" s="72"/>
      <c r="P1640" s="72"/>
      <c r="S1640" s="72"/>
      <c r="V1640" s="72"/>
      <c r="Y1640" s="72"/>
      <c r="AB1640" s="72"/>
      <c r="AE1640" s="72"/>
      <c r="AH1640" s="72"/>
      <c r="AK1640" s="72"/>
      <c r="AN1640" s="72"/>
      <c r="AQ1640" s="72"/>
      <c r="AT1640" s="72"/>
      <c r="AW1640" s="72"/>
      <c r="AZ1640" s="72"/>
    </row>
    <row r="1641" spans="1:52">
      <c r="A1641" s="131"/>
      <c r="B1641" s="72"/>
      <c r="D1641" s="72"/>
      <c r="G1641" s="72"/>
      <c r="J1641" s="72"/>
      <c r="M1641" s="72"/>
      <c r="P1641" s="72"/>
      <c r="S1641" s="72"/>
      <c r="V1641" s="72"/>
      <c r="Y1641" s="72"/>
      <c r="AB1641" s="72"/>
      <c r="AE1641" s="72"/>
      <c r="AH1641" s="72"/>
      <c r="AK1641" s="72"/>
      <c r="AN1641" s="72"/>
      <c r="AQ1641" s="72"/>
      <c r="AT1641" s="72"/>
      <c r="AW1641" s="72"/>
      <c r="AZ1641" s="72"/>
    </row>
    <row r="1642" spans="1:52">
      <c r="A1642" s="131"/>
      <c r="B1642" s="72"/>
      <c r="D1642" s="72"/>
      <c r="G1642" s="72"/>
      <c r="J1642" s="72"/>
      <c r="M1642" s="72"/>
      <c r="P1642" s="72"/>
      <c r="S1642" s="72"/>
      <c r="V1642" s="72"/>
      <c r="Y1642" s="72"/>
      <c r="AB1642" s="72"/>
      <c r="AE1642" s="72"/>
      <c r="AH1642" s="72"/>
      <c r="AK1642" s="72"/>
      <c r="AN1642" s="72"/>
      <c r="AQ1642" s="72"/>
      <c r="AT1642" s="72"/>
      <c r="AW1642" s="72"/>
      <c r="AZ1642" s="72"/>
    </row>
    <row r="1643" spans="1:52">
      <c r="A1643" s="131"/>
      <c r="B1643" s="72"/>
      <c r="D1643" s="72"/>
      <c r="G1643" s="72"/>
      <c r="J1643" s="72"/>
      <c r="M1643" s="72"/>
      <c r="P1643" s="72"/>
      <c r="S1643" s="72"/>
      <c r="V1643" s="72"/>
      <c r="Y1643" s="72"/>
      <c r="AB1643" s="72"/>
      <c r="AE1643" s="72"/>
      <c r="AH1643" s="72"/>
      <c r="AK1643" s="72"/>
      <c r="AN1643" s="72"/>
      <c r="AQ1643" s="72"/>
      <c r="AT1643" s="72"/>
      <c r="AW1643" s="72"/>
      <c r="AZ1643" s="72"/>
    </row>
    <row r="1644" spans="1:52">
      <c r="A1644" s="131"/>
      <c r="B1644" s="72"/>
      <c r="D1644" s="72"/>
      <c r="G1644" s="72"/>
      <c r="J1644" s="72"/>
      <c r="M1644" s="72"/>
      <c r="P1644" s="72"/>
      <c r="S1644" s="72"/>
      <c r="V1644" s="72"/>
      <c r="Y1644" s="72"/>
      <c r="AB1644" s="72"/>
      <c r="AE1644" s="72"/>
      <c r="AH1644" s="72"/>
      <c r="AK1644" s="72"/>
      <c r="AN1644" s="72"/>
      <c r="AQ1644" s="72"/>
      <c r="AT1644" s="72"/>
      <c r="AW1644" s="72"/>
      <c r="AZ1644" s="72"/>
    </row>
    <row r="1645" spans="1:52">
      <c r="A1645" s="131"/>
      <c r="B1645" s="72"/>
      <c r="D1645" s="72"/>
      <c r="G1645" s="72"/>
      <c r="J1645" s="72"/>
      <c r="M1645" s="72"/>
      <c r="P1645" s="72"/>
      <c r="S1645" s="72"/>
      <c r="V1645" s="72"/>
      <c r="Y1645" s="72"/>
      <c r="AB1645" s="72"/>
      <c r="AE1645" s="72"/>
      <c r="AH1645" s="72"/>
      <c r="AK1645" s="72"/>
      <c r="AN1645" s="72"/>
      <c r="AQ1645" s="72"/>
      <c r="AT1645" s="72"/>
      <c r="AW1645" s="72"/>
      <c r="AZ1645" s="72"/>
    </row>
    <row r="1646" spans="1:52">
      <c r="A1646" s="131"/>
      <c r="B1646" s="72"/>
      <c r="D1646" s="72"/>
      <c r="G1646" s="72"/>
      <c r="J1646" s="72"/>
      <c r="M1646" s="72"/>
      <c r="P1646" s="72"/>
      <c r="S1646" s="72"/>
      <c r="V1646" s="72"/>
      <c r="Y1646" s="72"/>
      <c r="AB1646" s="72"/>
      <c r="AE1646" s="72"/>
      <c r="AH1646" s="72"/>
      <c r="AK1646" s="72"/>
      <c r="AN1646" s="72"/>
      <c r="AQ1646" s="72"/>
      <c r="AT1646" s="72"/>
      <c r="AW1646" s="72"/>
      <c r="AZ1646" s="72"/>
    </row>
    <row r="1647" spans="1:52">
      <c r="A1647" s="131"/>
      <c r="B1647" s="72"/>
      <c r="D1647" s="72"/>
      <c r="G1647" s="72"/>
      <c r="J1647" s="72"/>
      <c r="M1647" s="72"/>
      <c r="P1647" s="72"/>
      <c r="S1647" s="72"/>
      <c r="V1647" s="72"/>
      <c r="Y1647" s="72"/>
      <c r="AB1647" s="72"/>
      <c r="AE1647" s="72"/>
      <c r="AH1647" s="72"/>
      <c r="AK1647" s="72"/>
      <c r="AN1647" s="72"/>
      <c r="AQ1647" s="72"/>
      <c r="AT1647" s="72"/>
      <c r="AW1647" s="72"/>
      <c r="AZ1647" s="72"/>
    </row>
    <row r="1648" spans="1:52">
      <c r="A1648" s="131"/>
      <c r="B1648" s="72"/>
      <c r="D1648" s="72"/>
      <c r="G1648" s="72"/>
      <c r="J1648" s="72"/>
      <c r="M1648" s="72"/>
      <c r="P1648" s="72"/>
      <c r="S1648" s="72"/>
      <c r="V1648" s="72"/>
      <c r="Y1648" s="72"/>
      <c r="AB1648" s="72"/>
      <c r="AE1648" s="72"/>
      <c r="AH1648" s="72"/>
      <c r="AK1648" s="72"/>
      <c r="AN1648" s="72"/>
      <c r="AQ1648" s="72"/>
      <c r="AT1648" s="72"/>
      <c r="AW1648" s="72"/>
      <c r="AZ1648" s="72"/>
    </row>
    <row r="1649" spans="1:52">
      <c r="A1649" s="131"/>
      <c r="B1649" s="72"/>
      <c r="D1649" s="72"/>
      <c r="G1649" s="72"/>
      <c r="J1649" s="72"/>
      <c r="M1649" s="72"/>
      <c r="P1649" s="72"/>
      <c r="S1649" s="72"/>
      <c r="V1649" s="72"/>
      <c r="Y1649" s="72"/>
      <c r="AB1649" s="72"/>
      <c r="AE1649" s="72"/>
      <c r="AH1649" s="72"/>
      <c r="AK1649" s="72"/>
      <c r="AN1649" s="72"/>
      <c r="AQ1649" s="72"/>
      <c r="AT1649" s="72"/>
      <c r="AW1649" s="72"/>
      <c r="AZ1649" s="72"/>
    </row>
    <row r="1650" spans="1:52">
      <c r="A1650" s="131"/>
      <c r="B1650" s="72"/>
      <c r="D1650" s="72"/>
      <c r="G1650" s="72"/>
      <c r="J1650" s="72"/>
      <c r="M1650" s="72"/>
      <c r="P1650" s="72"/>
      <c r="S1650" s="72"/>
      <c r="V1650" s="72"/>
      <c r="Y1650" s="72"/>
      <c r="AB1650" s="72"/>
      <c r="AE1650" s="72"/>
      <c r="AH1650" s="72"/>
      <c r="AK1650" s="72"/>
      <c r="AN1650" s="72"/>
      <c r="AQ1650" s="72"/>
      <c r="AT1650" s="72"/>
      <c r="AW1650" s="72"/>
      <c r="AZ1650" s="72"/>
    </row>
    <row r="1651" spans="1:52">
      <c r="A1651" s="131"/>
      <c r="B1651" s="72"/>
      <c r="D1651" s="72"/>
      <c r="G1651" s="72"/>
      <c r="J1651" s="72"/>
      <c r="M1651" s="72"/>
      <c r="P1651" s="72"/>
      <c r="S1651" s="72"/>
      <c r="V1651" s="72"/>
      <c r="Y1651" s="72"/>
      <c r="AB1651" s="72"/>
      <c r="AE1651" s="72"/>
      <c r="AH1651" s="72"/>
      <c r="AK1651" s="72"/>
      <c r="AN1651" s="72"/>
      <c r="AQ1651" s="72"/>
      <c r="AT1651" s="72"/>
      <c r="AW1651" s="72"/>
      <c r="AZ1651" s="72"/>
    </row>
    <row r="1652" spans="1:52">
      <c r="A1652" s="131"/>
      <c r="B1652" s="72"/>
      <c r="D1652" s="72"/>
      <c r="G1652" s="72"/>
      <c r="J1652" s="72"/>
      <c r="M1652" s="72"/>
      <c r="P1652" s="72"/>
      <c r="S1652" s="72"/>
      <c r="V1652" s="72"/>
      <c r="Y1652" s="72"/>
      <c r="AB1652" s="72"/>
      <c r="AE1652" s="72"/>
      <c r="AH1652" s="72"/>
      <c r="AK1652" s="72"/>
      <c r="AN1652" s="72"/>
      <c r="AQ1652" s="72"/>
      <c r="AT1652" s="72"/>
      <c r="AW1652" s="72"/>
      <c r="AZ1652" s="72"/>
    </row>
    <row r="1653" spans="1:52">
      <c r="A1653" s="131"/>
      <c r="B1653" s="72"/>
      <c r="D1653" s="72"/>
      <c r="G1653" s="72"/>
      <c r="J1653" s="72"/>
      <c r="M1653" s="72"/>
      <c r="P1653" s="72"/>
      <c r="S1653" s="72"/>
      <c r="V1653" s="72"/>
      <c r="Y1653" s="72"/>
      <c r="AB1653" s="72"/>
      <c r="AE1653" s="72"/>
      <c r="AH1653" s="72"/>
      <c r="AK1653" s="72"/>
      <c r="AN1653" s="72"/>
      <c r="AQ1653" s="72"/>
      <c r="AT1653" s="72"/>
      <c r="AW1653" s="72"/>
      <c r="AZ1653" s="72"/>
    </row>
    <row r="1654" spans="1:52">
      <c r="A1654" s="131"/>
      <c r="B1654" s="72"/>
      <c r="D1654" s="72"/>
      <c r="G1654" s="72"/>
      <c r="J1654" s="72"/>
      <c r="M1654" s="72"/>
      <c r="P1654" s="72"/>
      <c r="S1654" s="72"/>
      <c r="V1654" s="72"/>
      <c r="Y1654" s="72"/>
      <c r="AB1654" s="72"/>
      <c r="AE1654" s="72"/>
      <c r="AH1654" s="72"/>
      <c r="AK1654" s="72"/>
      <c r="AN1654" s="72"/>
      <c r="AQ1654" s="72"/>
      <c r="AT1654" s="72"/>
      <c r="AW1654" s="72"/>
      <c r="AZ1654" s="72"/>
    </row>
    <row r="1655" spans="1:52">
      <c r="A1655" s="131"/>
      <c r="B1655" s="72"/>
      <c r="D1655" s="72"/>
      <c r="G1655" s="72"/>
      <c r="J1655" s="72"/>
      <c r="M1655" s="72"/>
      <c r="P1655" s="72"/>
      <c r="S1655" s="72"/>
      <c r="V1655" s="72"/>
      <c r="Y1655" s="72"/>
      <c r="AB1655" s="72"/>
      <c r="AE1655" s="72"/>
      <c r="AH1655" s="72"/>
      <c r="AK1655" s="72"/>
      <c r="AN1655" s="72"/>
      <c r="AQ1655" s="72"/>
      <c r="AT1655" s="72"/>
      <c r="AW1655" s="72"/>
      <c r="AZ1655" s="72"/>
    </row>
    <row r="1656" spans="1:52">
      <c r="A1656" s="131"/>
      <c r="B1656" s="72"/>
      <c r="D1656" s="72"/>
      <c r="G1656" s="72"/>
      <c r="J1656" s="72"/>
      <c r="M1656" s="72"/>
      <c r="P1656" s="72"/>
      <c r="S1656" s="72"/>
      <c r="V1656" s="72"/>
      <c r="Y1656" s="72"/>
      <c r="AB1656" s="72"/>
      <c r="AE1656" s="72"/>
      <c r="AH1656" s="72"/>
      <c r="AK1656" s="72"/>
      <c r="AN1656" s="72"/>
      <c r="AQ1656" s="72"/>
      <c r="AT1656" s="72"/>
      <c r="AW1656" s="72"/>
      <c r="AZ1656" s="72"/>
    </row>
    <row r="1657" spans="1:52">
      <c r="A1657" s="131"/>
      <c r="B1657" s="72"/>
      <c r="D1657" s="72"/>
      <c r="G1657" s="72"/>
      <c r="J1657" s="72"/>
      <c r="M1657" s="72"/>
      <c r="P1657" s="72"/>
      <c r="S1657" s="72"/>
      <c r="V1657" s="72"/>
      <c r="Y1657" s="72"/>
      <c r="AB1657" s="72"/>
      <c r="AE1657" s="72"/>
      <c r="AH1657" s="72"/>
      <c r="AK1657" s="72"/>
      <c r="AN1657" s="72"/>
      <c r="AQ1657" s="72"/>
      <c r="AT1657" s="72"/>
      <c r="AW1657" s="72"/>
      <c r="AZ1657" s="72"/>
    </row>
    <row r="1658" spans="1:52">
      <c r="A1658" s="131"/>
      <c r="B1658" s="72"/>
      <c r="D1658" s="72"/>
      <c r="G1658" s="72"/>
      <c r="J1658" s="72"/>
      <c r="M1658" s="72"/>
      <c r="P1658" s="72"/>
      <c r="S1658" s="72"/>
      <c r="V1658" s="72"/>
      <c r="Y1658" s="72"/>
      <c r="AB1658" s="72"/>
      <c r="AE1658" s="72"/>
      <c r="AH1658" s="72"/>
      <c r="AK1658" s="72"/>
      <c r="AN1658" s="72"/>
      <c r="AQ1658" s="72"/>
      <c r="AT1658" s="72"/>
      <c r="AW1658" s="72"/>
      <c r="AZ1658" s="72"/>
    </row>
    <row r="1659" spans="1:52">
      <c r="A1659" s="131"/>
      <c r="B1659" s="72"/>
      <c r="D1659" s="72"/>
      <c r="G1659" s="72"/>
      <c r="J1659" s="72"/>
      <c r="M1659" s="72"/>
      <c r="P1659" s="72"/>
      <c r="S1659" s="72"/>
      <c r="V1659" s="72"/>
      <c r="Y1659" s="72"/>
      <c r="AB1659" s="72"/>
      <c r="AE1659" s="72"/>
      <c r="AH1659" s="72"/>
      <c r="AK1659" s="72"/>
      <c r="AN1659" s="72"/>
      <c r="AQ1659" s="72"/>
      <c r="AT1659" s="72"/>
      <c r="AW1659" s="72"/>
      <c r="AZ1659" s="72"/>
    </row>
    <row r="1660" spans="1:52">
      <c r="A1660" s="131"/>
      <c r="B1660" s="72"/>
      <c r="D1660" s="72"/>
      <c r="G1660" s="72"/>
      <c r="J1660" s="72"/>
      <c r="M1660" s="72"/>
      <c r="P1660" s="72"/>
      <c r="S1660" s="72"/>
      <c r="V1660" s="72"/>
      <c r="Y1660" s="72"/>
      <c r="AB1660" s="72"/>
      <c r="AE1660" s="72"/>
      <c r="AH1660" s="72"/>
      <c r="AK1660" s="72"/>
      <c r="AN1660" s="72"/>
      <c r="AQ1660" s="72"/>
      <c r="AT1660" s="72"/>
      <c r="AW1660" s="72"/>
      <c r="AZ1660" s="72"/>
    </row>
    <row r="1661" spans="1:52">
      <c r="A1661" s="131"/>
      <c r="B1661" s="72"/>
      <c r="D1661" s="72"/>
      <c r="G1661" s="72"/>
      <c r="J1661" s="72"/>
      <c r="M1661" s="72"/>
      <c r="P1661" s="72"/>
      <c r="S1661" s="72"/>
      <c r="V1661" s="72"/>
      <c r="Y1661" s="72"/>
      <c r="AB1661" s="72"/>
      <c r="AE1661" s="72"/>
      <c r="AH1661" s="72"/>
      <c r="AK1661" s="72"/>
      <c r="AN1661" s="72"/>
      <c r="AQ1661" s="72"/>
      <c r="AT1661" s="72"/>
      <c r="AW1661" s="72"/>
      <c r="AZ1661" s="72"/>
    </row>
    <row r="1662" spans="1:52">
      <c r="A1662" s="131"/>
      <c r="B1662" s="72"/>
      <c r="D1662" s="72"/>
      <c r="G1662" s="72"/>
      <c r="J1662" s="72"/>
      <c r="M1662" s="72"/>
      <c r="P1662" s="72"/>
      <c r="S1662" s="72"/>
      <c r="V1662" s="72"/>
      <c r="Y1662" s="72"/>
      <c r="AB1662" s="72"/>
      <c r="AE1662" s="72"/>
      <c r="AH1662" s="72"/>
      <c r="AK1662" s="72"/>
      <c r="AN1662" s="72"/>
      <c r="AQ1662" s="72"/>
      <c r="AT1662" s="72"/>
      <c r="AW1662" s="72"/>
      <c r="AZ1662" s="72"/>
    </row>
    <row r="1663" spans="1:52">
      <c r="A1663" s="131"/>
      <c r="B1663" s="72"/>
      <c r="D1663" s="72"/>
      <c r="G1663" s="72"/>
      <c r="J1663" s="72"/>
      <c r="M1663" s="72"/>
      <c r="P1663" s="72"/>
      <c r="S1663" s="72"/>
      <c r="V1663" s="72"/>
      <c r="Y1663" s="72"/>
      <c r="AB1663" s="72"/>
      <c r="AE1663" s="72"/>
      <c r="AH1663" s="72"/>
      <c r="AK1663" s="72"/>
      <c r="AN1663" s="72"/>
      <c r="AQ1663" s="72"/>
      <c r="AT1663" s="72"/>
      <c r="AW1663" s="72"/>
      <c r="AZ1663" s="72"/>
    </row>
    <row r="1664" spans="1:52">
      <c r="A1664" s="131"/>
      <c r="B1664" s="72"/>
      <c r="D1664" s="72"/>
      <c r="G1664" s="72"/>
      <c r="J1664" s="72"/>
      <c r="M1664" s="72"/>
      <c r="P1664" s="72"/>
      <c r="S1664" s="72"/>
      <c r="V1664" s="72"/>
      <c r="Y1664" s="72"/>
      <c r="AB1664" s="72"/>
      <c r="AE1664" s="72"/>
      <c r="AH1664" s="72"/>
      <c r="AK1664" s="72"/>
      <c r="AN1664" s="72"/>
      <c r="AQ1664" s="72"/>
      <c r="AT1664" s="72"/>
      <c r="AW1664" s="72"/>
      <c r="AZ1664" s="72"/>
    </row>
    <row r="1665" spans="1:52">
      <c r="A1665" s="131"/>
      <c r="B1665" s="72"/>
      <c r="D1665" s="72"/>
      <c r="G1665" s="72"/>
      <c r="J1665" s="72"/>
      <c r="M1665" s="72"/>
      <c r="P1665" s="72"/>
      <c r="S1665" s="72"/>
      <c r="V1665" s="72"/>
      <c r="Y1665" s="72"/>
      <c r="AB1665" s="72"/>
      <c r="AE1665" s="72"/>
      <c r="AH1665" s="72"/>
      <c r="AK1665" s="72"/>
      <c r="AN1665" s="72"/>
      <c r="AQ1665" s="72"/>
      <c r="AT1665" s="72"/>
      <c r="AW1665" s="72"/>
      <c r="AZ1665" s="72"/>
    </row>
    <row r="1666" spans="1:52">
      <c r="A1666" s="131"/>
      <c r="B1666" s="72"/>
      <c r="D1666" s="72"/>
      <c r="G1666" s="72"/>
      <c r="J1666" s="72"/>
      <c r="M1666" s="72"/>
      <c r="P1666" s="72"/>
      <c r="S1666" s="72"/>
      <c r="V1666" s="72"/>
      <c r="Y1666" s="72"/>
      <c r="AB1666" s="72"/>
      <c r="AE1666" s="72"/>
      <c r="AH1666" s="72"/>
      <c r="AK1666" s="72"/>
      <c r="AN1666" s="72"/>
      <c r="AQ1666" s="72"/>
      <c r="AT1666" s="72"/>
      <c r="AW1666" s="72"/>
      <c r="AZ1666" s="72"/>
    </row>
    <row r="1667" spans="1:52">
      <c r="A1667" s="131"/>
      <c r="B1667" s="72"/>
      <c r="D1667" s="72"/>
      <c r="G1667" s="72"/>
      <c r="J1667" s="72"/>
      <c r="M1667" s="72"/>
      <c r="P1667" s="72"/>
      <c r="S1667" s="72"/>
      <c r="V1667" s="72"/>
      <c r="Y1667" s="72"/>
      <c r="AB1667" s="72"/>
      <c r="AE1667" s="72"/>
      <c r="AH1667" s="72"/>
      <c r="AK1667" s="72"/>
      <c r="AN1667" s="72"/>
      <c r="AQ1667" s="72"/>
      <c r="AT1667" s="72"/>
      <c r="AW1667" s="72"/>
      <c r="AZ1667" s="72"/>
    </row>
    <row r="1668" spans="1:52">
      <c r="A1668" s="131"/>
      <c r="B1668" s="72"/>
      <c r="D1668" s="72"/>
      <c r="G1668" s="72"/>
      <c r="J1668" s="72"/>
      <c r="M1668" s="72"/>
      <c r="P1668" s="72"/>
      <c r="S1668" s="72"/>
      <c r="V1668" s="72"/>
      <c r="Y1668" s="72"/>
      <c r="AB1668" s="72"/>
      <c r="AE1668" s="72"/>
      <c r="AH1668" s="72"/>
      <c r="AK1668" s="72"/>
      <c r="AN1668" s="72"/>
      <c r="AQ1668" s="72"/>
      <c r="AT1668" s="72"/>
      <c r="AW1668" s="72"/>
      <c r="AZ1668" s="72"/>
    </row>
    <row r="1669" spans="1:52">
      <c r="A1669" s="131"/>
      <c r="B1669" s="72"/>
      <c r="D1669" s="72"/>
      <c r="G1669" s="72"/>
      <c r="J1669" s="72"/>
      <c r="M1669" s="72"/>
      <c r="P1669" s="72"/>
      <c r="S1669" s="72"/>
      <c r="V1669" s="72"/>
      <c r="Y1669" s="72"/>
      <c r="AB1669" s="72"/>
      <c r="AE1669" s="72"/>
      <c r="AH1669" s="72"/>
      <c r="AK1669" s="72"/>
      <c r="AN1669" s="72"/>
      <c r="AQ1669" s="72"/>
      <c r="AT1669" s="72"/>
      <c r="AW1669" s="72"/>
      <c r="AZ1669" s="72"/>
    </row>
    <row r="1670" spans="1:52">
      <c r="A1670" s="131"/>
      <c r="B1670" s="72"/>
      <c r="D1670" s="72"/>
      <c r="G1670" s="72"/>
      <c r="J1670" s="72"/>
      <c r="M1670" s="72"/>
      <c r="P1670" s="72"/>
      <c r="S1670" s="72"/>
      <c r="V1670" s="72"/>
      <c r="Y1670" s="72"/>
      <c r="AB1670" s="72"/>
      <c r="AE1670" s="72"/>
      <c r="AH1670" s="72"/>
      <c r="AK1670" s="72"/>
      <c r="AN1670" s="72"/>
      <c r="AQ1670" s="72"/>
      <c r="AT1670" s="72"/>
      <c r="AW1670" s="72"/>
      <c r="AZ1670" s="72"/>
    </row>
    <row r="1671" spans="1:52">
      <c r="A1671" s="131"/>
      <c r="B1671" s="72"/>
      <c r="D1671" s="72"/>
      <c r="G1671" s="72"/>
      <c r="J1671" s="72"/>
      <c r="M1671" s="72"/>
      <c r="P1671" s="72"/>
      <c r="S1671" s="72"/>
      <c r="V1671" s="72"/>
      <c r="Y1671" s="72"/>
      <c r="AB1671" s="72"/>
      <c r="AE1671" s="72"/>
      <c r="AH1671" s="72"/>
      <c r="AK1671" s="72"/>
      <c r="AN1671" s="72"/>
      <c r="AQ1671" s="72"/>
      <c r="AT1671" s="72"/>
      <c r="AW1671" s="72"/>
      <c r="AZ1671" s="72"/>
    </row>
    <row r="1672" spans="1:52">
      <c r="A1672" s="131"/>
      <c r="B1672" s="72"/>
      <c r="D1672" s="72"/>
      <c r="G1672" s="72"/>
      <c r="J1672" s="72"/>
      <c r="M1672" s="72"/>
      <c r="P1672" s="72"/>
      <c r="S1672" s="72"/>
      <c r="V1672" s="72"/>
      <c r="Y1672" s="72"/>
      <c r="AB1672" s="72"/>
      <c r="AE1672" s="72"/>
      <c r="AH1672" s="72"/>
      <c r="AK1672" s="72"/>
      <c r="AN1672" s="72"/>
      <c r="AQ1672" s="72"/>
      <c r="AT1672" s="72"/>
      <c r="AW1672" s="72"/>
      <c r="AZ1672" s="72"/>
    </row>
    <row r="1673" spans="1:52">
      <c r="A1673" s="131"/>
      <c r="B1673" s="72"/>
      <c r="D1673" s="72"/>
      <c r="G1673" s="72"/>
      <c r="J1673" s="72"/>
      <c r="M1673" s="72"/>
      <c r="P1673" s="72"/>
      <c r="S1673" s="72"/>
      <c r="V1673" s="72"/>
      <c r="Y1673" s="72"/>
      <c r="AB1673" s="72"/>
      <c r="AE1673" s="72"/>
      <c r="AH1673" s="72"/>
      <c r="AK1673" s="72"/>
      <c r="AN1673" s="72"/>
      <c r="AQ1673" s="72"/>
      <c r="AT1673" s="72"/>
      <c r="AW1673" s="72"/>
      <c r="AZ1673" s="72"/>
    </row>
    <row r="1674" spans="1:52">
      <c r="A1674" s="131"/>
      <c r="B1674" s="72"/>
      <c r="D1674" s="72"/>
      <c r="G1674" s="72"/>
      <c r="J1674" s="72"/>
      <c r="M1674" s="72"/>
      <c r="P1674" s="72"/>
      <c r="S1674" s="72"/>
      <c r="V1674" s="72"/>
      <c r="Y1674" s="72"/>
      <c r="AB1674" s="72"/>
      <c r="AE1674" s="72"/>
      <c r="AH1674" s="72"/>
      <c r="AK1674" s="72"/>
      <c r="AN1674" s="72"/>
      <c r="AQ1674" s="72"/>
      <c r="AT1674" s="72"/>
      <c r="AW1674" s="72"/>
      <c r="AZ1674" s="72"/>
    </row>
    <row r="1675" spans="1:52">
      <c r="A1675" s="131"/>
      <c r="B1675" s="72"/>
      <c r="D1675" s="72"/>
      <c r="G1675" s="72"/>
      <c r="J1675" s="72"/>
      <c r="M1675" s="72"/>
      <c r="P1675" s="72"/>
      <c r="S1675" s="72"/>
      <c r="V1675" s="72"/>
      <c r="Y1675" s="72"/>
      <c r="AB1675" s="72"/>
      <c r="AE1675" s="72"/>
      <c r="AH1675" s="72"/>
      <c r="AK1675" s="72"/>
      <c r="AN1675" s="72"/>
      <c r="AQ1675" s="72"/>
      <c r="AT1675" s="72"/>
      <c r="AW1675" s="72"/>
      <c r="AZ1675" s="72"/>
    </row>
    <row r="1676" spans="1:52">
      <c r="A1676" s="131"/>
      <c r="B1676" s="72"/>
      <c r="D1676" s="72"/>
      <c r="G1676" s="72"/>
      <c r="J1676" s="72"/>
      <c r="M1676" s="72"/>
      <c r="P1676" s="72"/>
      <c r="S1676" s="72"/>
      <c r="V1676" s="72"/>
      <c r="Y1676" s="72"/>
      <c r="AB1676" s="72"/>
      <c r="AE1676" s="72"/>
      <c r="AH1676" s="72"/>
      <c r="AK1676" s="72"/>
      <c r="AN1676" s="72"/>
      <c r="AQ1676" s="72"/>
      <c r="AT1676" s="72"/>
      <c r="AW1676" s="72"/>
      <c r="AZ1676" s="72"/>
    </row>
    <row r="1677" spans="1:52">
      <c r="A1677" s="131"/>
      <c r="B1677" s="72"/>
      <c r="D1677" s="72"/>
      <c r="G1677" s="72"/>
      <c r="J1677" s="72"/>
      <c r="M1677" s="72"/>
      <c r="P1677" s="72"/>
      <c r="S1677" s="72"/>
      <c r="V1677" s="72"/>
      <c r="Y1677" s="72"/>
      <c r="AB1677" s="72"/>
      <c r="AE1677" s="72"/>
      <c r="AH1677" s="72"/>
      <c r="AK1677" s="72"/>
      <c r="AN1677" s="72"/>
      <c r="AQ1677" s="72"/>
      <c r="AT1677" s="72"/>
      <c r="AW1677" s="72"/>
      <c r="AZ1677" s="72"/>
    </row>
    <row r="1678" spans="1:52">
      <c r="A1678" s="131"/>
      <c r="B1678" s="72"/>
      <c r="D1678" s="72"/>
      <c r="G1678" s="72"/>
      <c r="J1678" s="72"/>
      <c r="M1678" s="72"/>
      <c r="P1678" s="72"/>
      <c r="S1678" s="72"/>
      <c r="V1678" s="72"/>
      <c r="Y1678" s="72"/>
      <c r="AB1678" s="72"/>
      <c r="AE1678" s="72"/>
      <c r="AH1678" s="72"/>
      <c r="AK1678" s="72"/>
      <c r="AN1678" s="72"/>
      <c r="AQ1678" s="72"/>
      <c r="AT1678" s="72"/>
      <c r="AW1678" s="72"/>
      <c r="AZ1678" s="72"/>
    </row>
    <row r="1679" spans="1:52">
      <c r="A1679" s="131"/>
      <c r="B1679" s="72"/>
      <c r="D1679" s="72"/>
      <c r="G1679" s="72"/>
      <c r="J1679" s="72"/>
      <c r="M1679" s="72"/>
      <c r="P1679" s="72"/>
      <c r="S1679" s="72"/>
      <c r="V1679" s="72"/>
      <c r="Y1679" s="72"/>
      <c r="AB1679" s="72"/>
      <c r="AE1679" s="72"/>
      <c r="AH1679" s="72"/>
      <c r="AK1679" s="72"/>
      <c r="AN1679" s="72"/>
      <c r="AQ1679" s="72"/>
      <c r="AT1679" s="72"/>
      <c r="AW1679" s="72"/>
      <c r="AZ1679" s="72"/>
    </row>
    <row r="1680" spans="1:52">
      <c r="A1680" s="131"/>
      <c r="B1680" s="72"/>
      <c r="D1680" s="72"/>
      <c r="G1680" s="72"/>
      <c r="J1680" s="72"/>
      <c r="M1680" s="72"/>
      <c r="P1680" s="72"/>
      <c r="S1680" s="72"/>
      <c r="V1680" s="72"/>
      <c r="Y1680" s="72"/>
      <c r="AB1680" s="72"/>
      <c r="AE1680" s="72"/>
      <c r="AH1680" s="72"/>
      <c r="AK1680" s="72"/>
      <c r="AN1680" s="72"/>
      <c r="AQ1680" s="72"/>
      <c r="AT1680" s="72"/>
      <c r="AW1680" s="72"/>
      <c r="AZ1680" s="72"/>
    </row>
    <row r="1681" spans="1:52">
      <c r="A1681" s="131"/>
      <c r="B1681" s="72"/>
      <c r="D1681" s="72"/>
      <c r="G1681" s="72"/>
      <c r="J1681" s="72"/>
      <c r="M1681" s="72"/>
      <c r="P1681" s="72"/>
      <c r="S1681" s="72"/>
      <c r="V1681" s="72"/>
      <c r="Y1681" s="72"/>
      <c r="AB1681" s="72"/>
      <c r="AE1681" s="72"/>
      <c r="AH1681" s="72"/>
      <c r="AK1681" s="72"/>
      <c r="AN1681" s="72"/>
      <c r="AQ1681" s="72"/>
      <c r="AT1681" s="72"/>
      <c r="AW1681" s="72"/>
      <c r="AZ1681" s="72"/>
    </row>
    <row r="1682" spans="1:52">
      <c r="A1682" s="131"/>
      <c r="B1682" s="72"/>
      <c r="D1682" s="72"/>
      <c r="G1682" s="72"/>
      <c r="J1682" s="72"/>
      <c r="M1682" s="72"/>
      <c r="P1682" s="72"/>
      <c r="S1682" s="72"/>
      <c r="V1682" s="72"/>
      <c r="Y1682" s="72"/>
      <c r="AB1682" s="72"/>
      <c r="AE1682" s="72"/>
      <c r="AH1682" s="72"/>
      <c r="AK1682" s="72"/>
      <c r="AN1682" s="72"/>
      <c r="AQ1682" s="72"/>
      <c r="AT1682" s="72"/>
      <c r="AW1682" s="72"/>
      <c r="AZ1682" s="72"/>
    </row>
    <row r="1683" spans="1:52">
      <c r="A1683" s="131"/>
      <c r="B1683" s="72"/>
      <c r="D1683" s="72"/>
      <c r="G1683" s="72"/>
      <c r="J1683" s="72"/>
      <c r="M1683" s="72"/>
      <c r="P1683" s="72"/>
      <c r="S1683" s="72"/>
      <c r="V1683" s="72"/>
      <c r="Y1683" s="72"/>
      <c r="AB1683" s="72"/>
      <c r="AE1683" s="72"/>
      <c r="AH1683" s="72"/>
      <c r="AK1683" s="72"/>
      <c r="AN1683" s="72"/>
      <c r="AQ1683" s="72"/>
      <c r="AT1683" s="72"/>
      <c r="AW1683" s="72"/>
      <c r="AZ1683" s="72"/>
    </row>
    <row r="1684" spans="1:52">
      <c r="A1684" s="131"/>
      <c r="B1684" s="72"/>
      <c r="D1684" s="72"/>
      <c r="G1684" s="72"/>
      <c r="J1684" s="72"/>
      <c r="M1684" s="72"/>
      <c r="P1684" s="72"/>
      <c r="S1684" s="72"/>
      <c r="V1684" s="72"/>
      <c r="Y1684" s="72"/>
      <c r="AB1684" s="72"/>
      <c r="AE1684" s="72"/>
      <c r="AH1684" s="72"/>
      <c r="AK1684" s="72"/>
      <c r="AN1684" s="72"/>
      <c r="AQ1684" s="72"/>
      <c r="AT1684" s="72"/>
      <c r="AW1684" s="72"/>
      <c r="AZ1684" s="72"/>
    </row>
    <row r="1685" spans="1:52">
      <c r="A1685" s="131"/>
      <c r="B1685" s="72"/>
      <c r="D1685" s="72"/>
      <c r="G1685" s="72"/>
      <c r="J1685" s="72"/>
      <c r="M1685" s="72"/>
      <c r="P1685" s="72"/>
      <c r="S1685" s="72"/>
      <c r="V1685" s="72"/>
      <c r="Y1685" s="72"/>
      <c r="AB1685" s="72"/>
      <c r="AE1685" s="72"/>
      <c r="AH1685" s="72"/>
      <c r="AK1685" s="72"/>
      <c r="AN1685" s="72"/>
      <c r="AQ1685" s="72"/>
      <c r="AT1685" s="72"/>
      <c r="AW1685" s="72"/>
      <c r="AZ1685" s="72"/>
    </row>
    <row r="1686" spans="1:52">
      <c r="A1686" s="131"/>
      <c r="B1686" s="72"/>
      <c r="D1686" s="72"/>
      <c r="G1686" s="72"/>
      <c r="J1686" s="72"/>
      <c r="M1686" s="72"/>
      <c r="P1686" s="72"/>
      <c r="S1686" s="72"/>
      <c r="V1686" s="72"/>
      <c r="Y1686" s="72"/>
      <c r="AB1686" s="72"/>
      <c r="AE1686" s="72"/>
      <c r="AH1686" s="72"/>
      <c r="AK1686" s="72"/>
      <c r="AN1686" s="72"/>
      <c r="AQ1686" s="72"/>
      <c r="AT1686" s="72"/>
      <c r="AW1686" s="72"/>
      <c r="AZ1686" s="72"/>
    </row>
    <row r="1687" spans="1:52">
      <c r="A1687" s="131"/>
      <c r="B1687" s="72"/>
      <c r="D1687" s="72"/>
      <c r="G1687" s="72"/>
      <c r="J1687" s="72"/>
      <c r="M1687" s="72"/>
      <c r="P1687" s="72"/>
      <c r="S1687" s="72"/>
      <c r="V1687" s="72"/>
      <c r="Y1687" s="72"/>
      <c r="AB1687" s="72"/>
      <c r="AE1687" s="72"/>
      <c r="AH1687" s="72"/>
      <c r="AK1687" s="72"/>
      <c r="AN1687" s="72"/>
      <c r="AQ1687" s="72"/>
      <c r="AT1687" s="72"/>
      <c r="AW1687" s="72"/>
      <c r="AZ1687" s="72"/>
    </row>
    <row r="1688" spans="1:52">
      <c r="A1688" s="131"/>
      <c r="B1688" s="72"/>
      <c r="D1688" s="72"/>
      <c r="G1688" s="72"/>
      <c r="J1688" s="72"/>
      <c r="M1688" s="72"/>
      <c r="P1688" s="72"/>
      <c r="S1688" s="72"/>
      <c r="V1688" s="72"/>
      <c r="Y1688" s="72"/>
      <c r="AB1688" s="72"/>
      <c r="AE1688" s="72"/>
      <c r="AH1688" s="72"/>
      <c r="AK1688" s="72"/>
      <c r="AN1688" s="72"/>
      <c r="AQ1688" s="72"/>
      <c r="AT1688" s="72"/>
      <c r="AW1688" s="72"/>
      <c r="AZ1688" s="72"/>
    </row>
    <row r="1689" spans="1:52">
      <c r="A1689" s="131"/>
      <c r="B1689" s="72"/>
      <c r="D1689" s="72"/>
      <c r="G1689" s="72"/>
      <c r="J1689" s="72"/>
      <c r="M1689" s="72"/>
      <c r="P1689" s="72"/>
      <c r="S1689" s="72"/>
      <c r="V1689" s="72"/>
      <c r="Y1689" s="72"/>
      <c r="AB1689" s="72"/>
      <c r="AE1689" s="72"/>
      <c r="AH1689" s="72"/>
      <c r="AK1689" s="72"/>
      <c r="AN1689" s="72"/>
      <c r="AQ1689" s="72"/>
      <c r="AT1689" s="72"/>
      <c r="AW1689" s="72"/>
      <c r="AZ1689" s="72"/>
    </row>
    <row r="1690" spans="1:52">
      <c r="A1690" s="131"/>
      <c r="B1690" s="72"/>
      <c r="D1690" s="72"/>
      <c r="G1690" s="72"/>
      <c r="J1690" s="72"/>
      <c r="M1690" s="72"/>
      <c r="P1690" s="72"/>
      <c r="S1690" s="72"/>
      <c r="V1690" s="72"/>
      <c r="Y1690" s="72"/>
      <c r="AB1690" s="72"/>
      <c r="AE1690" s="72"/>
      <c r="AH1690" s="72"/>
      <c r="AK1690" s="72"/>
      <c r="AN1690" s="72"/>
      <c r="AQ1690" s="72"/>
      <c r="AT1690" s="72"/>
      <c r="AW1690" s="72"/>
      <c r="AZ1690" s="72"/>
    </row>
    <row r="1691" spans="1:52">
      <c r="A1691" s="131"/>
      <c r="B1691" s="72"/>
      <c r="D1691" s="72"/>
      <c r="G1691" s="72"/>
      <c r="J1691" s="72"/>
      <c r="M1691" s="72"/>
      <c r="P1691" s="72"/>
      <c r="S1691" s="72"/>
      <c r="V1691" s="72"/>
      <c r="Y1691" s="72"/>
      <c r="AB1691" s="72"/>
      <c r="AE1691" s="72"/>
      <c r="AH1691" s="72"/>
      <c r="AK1691" s="72"/>
      <c r="AN1691" s="72"/>
      <c r="AQ1691" s="72"/>
      <c r="AT1691" s="72"/>
      <c r="AW1691" s="72"/>
      <c r="AZ1691" s="72"/>
    </row>
    <row r="1692" spans="1:52">
      <c r="A1692" s="131"/>
      <c r="B1692" s="72"/>
      <c r="D1692" s="72"/>
      <c r="G1692" s="72"/>
      <c r="J1692" s="72"/>
      <c r="M1692" s="72"/>
      <c r="P1692" s="72"/>
      <c r="S1692" s="72"/>
      <c r="V1692" s="72"/>
      <c r="Y1692" s="72"/>
      <c r="AB1692" s="72"/>
      <c r="AE1692" s="72"/>
      <c r="AH1692" s="72"/>
      <c r="AK1692" s="72"/>
      <c r="AN1692" s="72"/>
      <c r="AQ1692" s="72"/>
      <c r="AT1692" s="72"/>
      <c r="AW1692" s="72"/>
      <c r="AZ1692" s="72"/>
    </row>
    <row r="1693" spans="1:52">
      <c r="A1693" s="131"/>
      <c r="B1693" s="72"/>
      <c r="D1693" s="72"/>
      <c r="G1693" s="72"/>
      <c r="J1693" s="72"/>
      <c r="M1693" s="72"/>
      <c r="P1693" s="72"/>
      <c r="S1693" s="72"/>
      <c r="V1693" s="72"/>
      <c r="Y1693" s="72"/>
      <c r="AB1693" s="72"/>
      <c r="AE1693" s="72"/>
      <c r="AH1693" s="72"/>
      <c r="AK1693" s="72"/>
      <c r="AN1693" s="72"/>
      <c r="AQ1693" s="72"/>
      <c r="AT1693" s="72"/>
      <c r="AW1693" s="72"/>
      <c r="AZ1693" s="72"/>
    </row>
    <row r="1694" spans="1:52">
      <c r="A1694" s="131"/>
      <c r="B1694" s="72"/>
      <c r="D1694" s="72"/>
      <c r="G1694" s="72"/>
      <c r="J1694" s="72"/>
      <c r="M1694" s="72"/>
      <c r="P1694" s="72"/>
      <c r="S1694" s="72"/>
      <c r="V1694" s="72"/>
      <c r="Y1694" s="72"/>
      <c r="AB1694" s="72"/>
      <c r="AE1694" s="72"/>
      <c r="AH1694" s="72"/>
      <c r="AK1694" s="72"/>
      <c r="AN1694" s="72"/>
      <c r="AQ1694" s="72"/>
      <c r="AT1694" s="72"/>
      <c r="AW1694" s="72"/>
      <c r="AZ1694" s="72"/>
    </row>
    <row r="1695" spans="1:52">
      <c r="A1695" s="131"/>
      <c r="B1695" s="72"/>
      <c r="D1695" s="72"/>
      <c r="G1695" s="72"/>
      <c r="J1695" s="72"/>
      <c r="M1695" s="72"/>
      <c r="P1695" s="72"/>
      <c r="S1695" s="72"/>
      <c r="V1695" s="72"/>
      <c r="Y1695" s="72"/>
      <c r="AB1695" s="72"/>
      <c r="AE1695" s="72"/>
      <c r="AH1695" s="72"/>
      <c r="AK1695" s="72"/>
      <c r="AN1695" s="72"/>
      <c r="AQ1695" s="72"/>
      <c r="AT1695" s="72"/>
      <c r="AW1695" s="72"/>
      <c r="AZ1695" s="72"/>
    </row>
    <row r="1696" spans="1:52">
      <c r="A1696" s="131"/>
      <c r="B1696" s="72"/>
      <c r="D1696" s="72"/>
      <c r="G1696" s="72"/>
      <c r="J1696" s="72"/>
      <c r="M1696" s="72"/>
      <c r="P1696" s="72"/>
      <c r="S1696" s="72"/>
      <c r="V1696" s="72"/>
      <c r="Y1696" s="72"/>
      <c r="AB1696" s="72"/>
      <c r="AE1696" s="72"/>
      <c r="AH1696" s="72"/>
      <c r="AK1696" s="72"/>
      <c r="AN1696" s="72"/>
      <c r="AQ1696" s="72"/>
      <c r="AT1696" s="72"/>
      <c r="AW1696" s="72"/>
      <c r="AZ1696" s="72"/>
    </row>
    <row r="1697" spans="1:52">
      <c r="A1697" s="131"/>
      <c r="B1697" s="72"/>
      <c r="D1697" s="72"/>
      <c r="G1697" s="72"/>
      <c r="J1697" s="72"/>
      <c r="M1697" s="72"/>
      <c r="P1697" s="72"/>
      <c r="S1697" s="72"/>
      <c r="V1697" s="72"/>
      <c r="Y1697" s="72"/>
      <c r="AB1697" s="72"/>
      <c r="AE1697" s="72"/>
      <c r="AH1697" s="72"/>
      <c r="AK1697" s="72"/>
      <c r="AN1697" s="72"/>
      <c r="AQ1697" s="72"/>
      <c r="AT1697" s="72"/>
      <c r="AW1697" s="72"/>
      <c r="AZ1697" s="72"/>
    </row>
    <row r="1698" spans="1:52">
      <c r="A1698" s="131"/>
      <c r="B1698" s="72"/>
      <c r="D1698" s="72"/>
      <c r="G1698" s="72"/>
      <c r="J1698" s="72"/>
      <c r="M1698" s="72"/>
      <c r="P1698" s="72"/>
      <c r="S1698" s="72"/>
      <c r="V1698" s="72"/>
      <c r="Y1698" s="72"/>
      <c r="AB1698" s="72"/>
      <c r="AE1698" s="72"/>
      <c r="AH1698" s="72"/>
      <c r="AK1698" s="72"/>
      <c r="AN1698" s="72"/>
      <c r="AQ1698" s="72"/>
      <c r="AT1698" s="72"/>
      <c r="AW1698" s="72"/>
      <c r="AZ1698" s="72"/>
    </row>
    <row r="1699" spans="1:52">
      <c r="A1699" s="131"/>
      <c r="B1699" s="72"/>
      <c r="D1699" s="72"/>
      <c r="G1699" s="72"/>
      <c r="J1699" s="72"/>
      <c r="M1699" s="72"/>
      <c r="P1699" s="72"/>
      <c r="S1699" s="72"/>
      <c r="V1699" s="72"/>
      <c r="Y1699" s="72"/>
      <c r="AB1699" s="72"/>
      <c r="AE1699" s="72"/>
      <c r="AH1699" s="72"/>
      <c r="AK1699" s="72"/>
      <c r="AN1699" s="72"/>
      <c r="AQ1699" s="72"/>
      <c r="AT1699" s="72"/>
      <c r="AW1699" s="72"/>
      <c r="AZ1699" s="72"/>
    </row>
    <row r="1700" spans="1:52">
      <c r="A1700" s="131"/>
      <c r="B1700" s="72"/>
      <c r="D1700" s="72"/>
      <c r="G1700" s="72"/>
      <c r="J1700" s="72"/>
      <c r="M1700" s="72"/>
      <c r="P1700" s="72"/>
      <c r="S1700" s="72"/>
      <c r="V1700" s="72"/>
      <c r="Y1700" s="72"/>
      <c r="AB1700" s="72"/>
      <c r="AE1700" s="72"/>
      <c r="AH1700" s="72"/>
      <c r="AK1700" s="72"/>
      <c r="AN1700" s="72"/>
      <c r="AQ1700" s="72"/>
      <c r="AT1700" s="72"/>
      <c r="AW1700" s="72"/>
      <c r="AZ1700" s="72"/>
    </row>
    <row r="1701" spans="1:52">
      <c r="A1701" s="131"/>
      <c r="B1701" s="72"/>
      <c r="D1701" s="72"/>
      <c r="G1701" s="72"/>
      <c r="J1701" s="72"/>
      <c r="M1701" s="72"/>
      <c r="P1701" s="72"/>
      <c r="S1701" s="72"/>
      <c r="V1701" s="72"/>
      <c r="Y1701" s="72"/>
      <c r="AB1701" s="72"/>
      <c r="AE1701" s="72"/>
      <c r="AH1701" s="72"/>
      <c r="AK1701" s="72"/>
      <c r="AN1701" s="72"/>
      <c r="AQ1701" s="72"/>
      <c r="AT1701" s="72"/>
      <c r="AW1701" s="72"/>
      <c r="AZ1701" s="72"/>
    </row>
    <row r="1702" spans="1:52">
      <c r="A1702" s="131"/>
      <c r="B1702" s="72"/>
      <c r="D1702" s="72"/>
      <c r="G1702" s="72"/>
      <c r="J1702" s="72"/>
      <c r="M1702" s="72"/>
      <c r="P1702" s="72"/>
      <c r="S1702" s="72"/>
      <c r="V1702" s="72"/>
      <c r="Y1702" s="72"/>
      <c r="AB1702" s="72"/>
      <c r="AE1702" s="72"/>
      <c r="AH1702" s="72"/>
      <c r="AK1702" s="72"/>
      <c r="AN1702" s="72"/>
      <c r="AQ1702" s="72"/>
      <c r="AT1702" s="72"/>
      <c r="AW1702" s="72"/>
      <c r="AZ1702" s="72"/>
    </row>
    <row r="1703" spans="1:52">
      <c r="A1703" s="131"/>
      <c r="B1703" s="72"/>
      <c r="D1703" s="72"/>
      <c r="G1703" s="72"/>
      <c r="J1703" s="72"/>
      <c r="M1703" s="72"/>
      <c r="P1703" s="72"/>
      <c r="S1703" s="72"/>
      <c r="V1703" s="72"/>
      <c r="Y1703" s="72"/>
      <c r="AB1703" s="72"/>
      <c r="AE1703" s="72"/>
      <c r="AH1703" s="72"/>
      <c r="AK1703" s="72"/>
      <c r="AN1703" s="72"/>
      <c r="AQ1703" s="72"/>
      <c r="AT1703" s="72"/>
      <c r="AW1703" s="72"/>
      <c r="AZ1703" s="72"/>
    </row>
    <row r="1704" spans="1:52">
      <c r="A1704" s="131"/>
      <c r="B1704" s="72"/>
      <c r="D1704" s="72"/>
      <c r="G1704" s="72"/>
      <c r="J1704" s="72"/>
      <c r="M1704" s="72"/>
      <c r="P1704" s="72"/>
      <c r="S1704" s="72"/>
      <c r="V1704" s="72"/>
      <c r="Y1704" s="72"/>
      <c r="AB1704" s="72"/>
      <c r="AE1704" s="72"/>
      <c r="AH1704" s="72"/>
      <c r="AK1704" s="72"/>
      <c r="AN1704" s="72"/>
      <c r="AQ1704" s="72"/>
      <c r="AT1704" s="72"/>
      <c r="AW1704" s="72"/>
      <c r="AZ1704" s="72"/>
    </row>
    <row r="1705" spans="1:52">
      <c r="A1705" s="131"/>
      <c r="B1705" s="72"/>
      <c r="D1705" s="72"/>
      <c r="G1705" s="72"/>
      <c r="J1705" s="72"/>
      <c r="M1705" s="72"/>
      <c r="P1705" s="72"/>
      <c r="S1705" s="72"/>
      <c r="V1705" s="72"/>
      <c r="Y1705" s="72"/>
      <c r="AB1705" s="72"/>
      <c r="AE1705" s="72"/>
      <c r="AH1705" s="72"/>
      <c r="AK1705" s="72"/>
      <c r="AN1705" s="72"/>
      <c r="AQ1705" s="72"/>
      <c r="AT1705" s="72"/>
      <c r="AW1705" s="72"/>
      <c r="AZ1705" s="72"/>
    </row>
    <row r="1706" spans="1:52">
      <c r="A1706" s="131"/>
      <c r="B1706" s="72"/>
      <c r="D1706" s="72"/>
      <c r="G1706" s="72"/>
      <c r="J1706" s="72"/>
      <c r="M1706" s="72"/>
      <c r="P1706" s="72"/>
      <c r="S1706" s="72"/>
      <c r="V1706" s="72"/>
      <c r="Y1706" s="72"/>
      <c r="AB1706" s="72"/>
      <c r="AE1706" s="72"/>
      <c r="AH1706" s="72"/>
      <c r="AK1706" s="72"/>
      <c r="AN1706" s="72"/>
      <c r="AQ1706" s="72"/>
      <c r="AT1706" s="72"/>
      <c r="AW1706" s="72"/>
      <c r="AZ1706" s="72"/>
    </row>
    <row r="1707" spans="1:52">
      <c r="A1707" s="131"/>
      <c r="B1707" s="72"/>
      <c r="D1707" s="72"/>
      <c r="G1707" s="72"/>
      <c r="J1707" s="72"/>
      <c r="M1707" s="72"/>
      <c r="P1707" s="72"/>
      <c r="S1707" s="72"/>
      <c r="V1707" s="72"/>
      <c r="Y1707" s="72"/>
      <c r="AB1707" s="72"/>
      <c r="AE1707" s="72"/>
      <c r="AH1707" s="72"/>
      <c r="AK1707" s="72"/>
      <c r="AN1707" s="72"/>
      <c r="AQ1707" s="72"/>
      <c r="AT1707" s="72"/>
      <c r="AW1707" s="72"/>
      <c r="AZ1707" s="72"/>
    </row>
    <row r="1708" spans="1:52">
      <c r="A1708" s="131"/>
      <c r="B1708" s="72"/>
      <c r="D1708" s="72"/>
      <c r="G1708" s="72"/>
      <c r="J1708" s="72"/>
      <c r="M1708" s="72"/>
      <c r="P1708" s="72"/>
      <c r="S1708" s="72"/>
      <c r="V1708" s="72"/>
      <c r="Y1708" s="72"/>
      <c r="AB1708" s="72"/>
      <c r="AE1708" s="72"/>
      <c r="AH1708" s="72"/>
      <c r="AK1708" s="72"/>
      <c r="AN1708" s="72"/>
      <c r="AQ1708" s="72"/>
      <c r="AT1708" s="72"/>
      <c r="AW1708" s="72"/>
      <c r="AZ1708" s="72"/>
    </row>
    <row r="1709" spans="1:52">
      <c r="A1709" s="131"/>
      <c r="B1709" s="72"/>
      <c r="D1709" s="72"/>
      <c r="G1709" s="72"/>
      <c r="J1709" s="72"/>
      <c r="M1709" s="72"/>
      <c r="P1709" s="72"/>
      <c r="S1709" s="72"/>
      <c r="V1709" s="72"/>
      <c r="Y1709" s="72"/>
      <c r="AB1709" s="72"/>
      <c r="AE1709" s="72"/>
      <c r="AH1709" s="72"/>
      <c r="AK1709" s="72"/>
      <c r="AN1709" s="72"/>
      <c r="AQ1709" s="72"/>
      <c r="AT1709" s="72"/>
      <c r="AW1709" s="72"/>
      <c r="AZ1709" s="72"/>
    </row>
    <row r="1710" spans="1:52">
      <c r="A1710" s="131"/>
      <c r="B1710" s="72"/>
      <c r="D1710" s="72"/>
      <c r="G1710" s="72"/>
      <c r="J1710" s="72"/>
      <c r="M1710" s="72"/>
      <c r="P1710" s="72"/>
      <c r="S1710" s="72"/>
      <c r="V1710" s="72"/>
      <c r="Y1710" s="72"/>
      <c r="AB1710" s="72"/>
      <c r="AE1710" s="72"/>
      <c r="AH1710" s="72"/>
      <c r="AK1710" s="72"/>
      <c r="AN1710" s="72"/>
      <c r="AQ1710" s="72"/>
      <c r="AT1710" s="72"/>
      <c r="AW1710" s="72"/>
      <c r="AZ1710" s="72"/>
    </row>
    <row r="1711" spans="1:52">
      <c r="A1711" s="131"/>
      <c r="B1711" s="72"/>
      <c r="D1711" s="72"/>
      <c r="G1711" s="72"/>
      <c r="J1711" s="72"/>
      <c r="M1711" s="72"/>
      <c r="P1711" s="72"/>
      <c r="S1711" s="72"/>
      <c r="V1711" s="72"/>
      <c r="Y1711" s="72"/>
      <c r="AB1711" s="72"/>
      <c r="AE1711" s="72"/>
      <c r="AH1711" s="72"/>
      <c r="AK1711" s="72"/>
      <c r="AN1711" s="72"/>
      <c r="AQ1711" s="72"/>
      <c r="AT1711" s="72"/>
      <c r="AW1711" s="72"/>
      <c r="AZ1711" s="72"/>
    </row>
    <row r="1712" spans="1:52">
      <c r="A1712" s="131"/>
      <c r="B1712" s="72"/>
      <c r="D1712" s="72"/>
      <c r="G1712" s="72"/>
      <c r="J1712" s="72"/>
      <c r="M1712" s="72"/>
      <c r="P1712" s="72"/>
      <c r="S1712" s="72"/>
      <c r="V1712" s="72"/>
      <c r="Y1712" s="72"/>
      <c r="AB1712" s="72"/>
      <c r="AE1712" s="72"/>
      <c r="AH1712" s="72"/>
      <c r="AK1712" s="72"/>
      <c r="AN1712" s="72"/>
      <c r="AQ1712" s="72"/>
      <c r="AT1712" s="72"/>
      <c r="AW1712" s="72"/>
      <c r="AZ1712" s="72"/>
    </row>
    <row r="1713" spans="1:52">
      <c r="A1713" s="131"/>
      <c r="B1713" s="72"/>
      <c r="D1713" s="72"/>
      <c r="G1713" s="72"/>
      <c r="J1713" s="72"/>
      <c r="M1713" s="72"/>
      <c r="P1713" s="72"/>
      <c r="S1713" s="72"/>
      <c r="V1713" s="72"/>
      <c r="Y1713" s="72"/>
      <c r="AB1713" s="72"/>
      <c r="AE1713" s="72"/>
      <c r="AH1713" s="72"/>
      <c r="AK1713" s="72"/>
      <c r="AN1713" s="72"/>
      <c r="AQ1713" s="72"/>
      <c r="AT1713" s="72"/>
      <c r="AW1713" s="72"/>
      <c r="AZ1713" s="72"/>
    </row>
    <row r="1714" spans="1:52">
      <c r="A1714" s="131"/>
      <c r="B1714" s="72"/>
      <c r="D1714" s="72"/>
      <c r="G1714" s="72"/>
      <c r="J1714" s="72"/>
      <c r="M1714" s="72"/>
      <c r="P1714" s="72"/>
      <c r="S1714" s="72"/>
      <c r="V1714" s="72"/>
      <c r="Y1714" s="72"/>
      <c r="AB1714" s="72"/>
      <c r="AE1714" s="72"/>
      <c r="AH1714" s="72"/>
      <c r="AK1714" s="72"/>
      <c r="AN1714" s="72"/>
      <c r="AQ1714" s="72"/>
      <c r="AT1714" s="72"/>
      <c r="AW1714" s="72"/>
      <c r="AZ1714" s="72"/>
    </row>
    <row r="1715" spans="1:52">
      <c r="A1715" s="131"/>
      <c r="B1715" s="72"/>
      <c r="D1715" s="72"/>
      <c r="G1715" s="72"/>
      <c r="J1715" s="72"/>
      <c r="M1715" s="72"/>
      <c r="P1715" s="72"/>
      <c r="S1715" s="72"/>
      <c r="V1715" s="72"/>
      <c r="Y1715" s="72"/>
      <c r="AB1715" s="72"/>
      <c r="AE1715" s="72"/>
      <c r="AH1715" s="72"/>
      <c r="AK1715" s="72"/>
      <c r="AN1715" s="72"/>
      <c r="AQ1715" s="72"/>
      <c r="AT1715" s="72"/>
      <c r="AW1715" s="72"/>
      <c r="AZ1715" s="72"/>
    </row>
    <row r="1716" spans="1:52">
      <c r="A1716" s="131"/>
      <c r="B1716" s="72"/>
      <c r="D1716" s="72"/>
      <c r="G1716" s="72"/>
      <c r="J1716" s="72"/>
      <c r="M1716" s="72"/>
      <c r="P1716" s="72"/>
      <c r="S1716" s="72"/>
      <c r="V1716" s="72"/>
      <c r="Y1716" s="72"/>
      <c r="AB1716" s="72"/>
      <c r="AE1716" s="72"/>
      <c r="AH1716" s="72"/>
      <c r="AK1716" s="72"/>
      <c r="AN1716" s="72"/>
      <c r="AQ1716" s="72"/>
      <c r="AT1716" s="72"/>
      <c r="AW1716" s="72"/>
      <c r="AZ1716" s="72"/>
    </row>
    <row r="1717" spans="1:52">
      <c r="A1717" s="131"/>
      <c r="B1717" s="72"/>
      <c r="D1717" s="72"/>
      <c r="G1717" s="72"/>
      <c r="J1717" s="72"/>
      <c r="M1717" s="72"/>
      <c r="P1717" s="72"/>
      <c r="S1717" s="72"/>
      <c r="V1717" s="72"/>
      <c r="Y1717" s="72"/>
      <c r="AB1717" s="72"/>
      <c r="AE1717" s="72"/>
      <c r="AH1717" s="72"/>
      <c r="AK1717" s="72"/>
      <c r="AN1717" s="72"/>
      <c r="AQ1717" s="72"/>
      <c r="AT1717" s="72"/>
      <c r="AW1717" s="72"/>
      <c r="AZ1717" s="72"/>
    </row>
    <row r="1718" spans="1:52">
      <c r="A1718" s="131"/>
      <c r="B1718" s="72"/>
      <c r="D1718" s="72"/>
      <c r="G1718" s="72"/>
      <c r="J1718" s="72"/>
      <c r="M1718" s="72"/>
      <c r="P1718" s="72"/>
      <c r="S1718" s="72"/>
      <c r="V1718" s="72"/>
      <c r="Y1718" s="72"/>
      <c r="AB1718" s="72"/>
      <c r="AE1718" s="72"/>
      <c r="AH1718" s="72"/>
      <c r="AK1718" s="72"/>
      <c r="AN1718" s="72"/>
      <c r="AQ1718" s="72"/>
      <c r="AT1718" s="72"/>
      <c r="AW1718" s="72"/>
      <c r="AZ1718" s="72"/>
    </row>
    <row r="1719" spans="1:52">
      <c r="A1719" s="131"/>
      <c r="B1719" s="72"/>
      <c r="D1719" s="72"/>
      <c r="G1719" s="72"/>
      <c r="J1719" s="72"/>
      <c r="M1719" s="72"/>
      <c r="P1719" s="72"/>
      <c r="S1719" s="72"/>
      <c r="V1719" s="72"/>
      <c r="Y1719" s="72"/>
      <c r="AB1719" s="72"/>
      <c r="AE1719" s="72"/>
      <c r="AH1719" s="72"/>
      <c r="AK1719" s="72"/>
      <c r="AN1719" s="72"/>
      <c r="AQ1719" s="72"/>
      <c r="AT1719" s="72"/>
      <c r="AW1719" s="72"/>
      <c r="AZ1719" s="72"/>
    </row>
    <row r="1720" spans="1:52">
      <c r="A1720" s="131"/>
      <c r="B1720" s="72"/>
      <c r="D1720" s="72"/>
      <c r="G1720" s="72"/>
      <c r="J1720" s="72"/>
      <c r="M1720" s="72"/>
      <c r="P1720" s="72"/>
      <c r="S1720" s="72"/>
      <c r="V1720" s="72"/>
      <c r="Y1720" s="72"/>
      <c r="AB1720" s="72"/>
      <c r="AE1720" s="72"/>
      <c r="AH1720" s="72"/>
      <c r="AK1720" s="72"/>
      <c r="AN1720" s="72"/>
      <c r="AQ1720" s="72"/>
      <c r="AT1720" s="72"/>
      <c r="AW1720" s="72"/>
      <c r="AZ1720" s="72"/>
    </row>
    <row r="1721" spans="1:52">
      <c r="A1721" s="131"/>
      <c r="B1721" s="72"/>
      <c r="D1721" s="72"/>
      <c r="G1721" s="72"/>
      <c r="J1721" s="72"/>
      <c r="M1721" s="72"/>
      <c r="P1721" s="72"/>
      <c r="S1721" s="72"/>
      <c r="V1721" s="72"/>
      <c r="Y1721" s="72"/>
      <c r="AB1721" s="72"/>
      <c r="AE1721" s="72"/>
      <c r="AH1721" s="72"/>
      <c r="AK1721" s="72"/>
      <c r="AN1721" s="72"/>
      <c r="AQ1721" s="72"/>
      <c r="AT1721" s="72"/>
      <c r="AW1721" s="72"/>
      <c r="AZ1721" s="72"/>
    </row>
    <row r="1722" spans="1:52">
      <c r="A1722" s="131"/>
      <c r="B1722" s="72"/>
      <c r="D1722" s="72"/>
      <c r="G1722" s="72"/>
      <c r="J1722" s="72"/>
      <c r="M1722" s="72"/>
      <c r="P1722" s="72"/>
      <c r="S1722" s="72"/>
      <c r="V1722" s="72"/>
      <c r="Y1722" s="72"/>
      <c r="AB1722" s="72"/>
      <c r="AE1722" s="72"/>
      <c r="AH1722" s="72"/>
      <c r="AK1722" s="72"/>
      <c r="AN1722" s="72"/>
      <c r="AQ1722" s="72"/>
      <c r="AT1722" s="72"/>
      <c r="AW1722" s="72"/>
      <c r="AZ1722" s="72"/>
    </row>
    <row r="1723" spans="1:52">
      <c r="A1723" s="131"/>
      <c r="B1723" s="72"/>
      <c r="D1723" s="72"/>
      <c r="G1723" s="72"/>
      <c r="J1723" s="72"/>
      <c r="M1723" s="72"/>
      <c r="P1723" s="72"/>
      <c r="S1723" s="72"/>
      <c r="V1723" s="72"/>
      <c r="Y1723" s="72"/>
      <c r="AB1723" s="72"/>
      <c r="AE1723" s="72"/>
      <c r="AH1723" s="72"/>
      <c r="AK1723" s="72"/>
      <c r="AN1723" s="72"/>
      <c r="AQ1723" s="72"/>
      <c r="AT1723" s="72"/>
      <c r="AW1723" s="72"/>
      <c r="AZ1723" s="72"/>
    </row>
    <row r="1724" spans="1:52">
      <c r="A1724" s="131"/>
      <c r="B1724" s="72"/>
      <c r="D1724" s="72"/>
      <c r="G1724" s="72"/>
      <c r="J1724" s="72"/>
      <c r="M1724" s="72"/>
      <c r="P1724" s="72"/>
      <c r="S1724" s="72"/>
      <c r="V1724" s="72"/>
      <c r="Y1724" s="72"/>
      <c r="AB1724" s="72"/>
      <c r="AE1724" s="72"/>
      <c r="AH1724" s="72"/>
      <c r="AK1724" s="72"/>
      <c r="AN1724" s="72"/>
      <c r="AQ1724" s="72"/>
      <c r="AT1724" s="72"/>
      <c r="AW1724" s="72"/>
      <c r="AZ1724" s="72"/>
    </row>
    <row r="1725" spans="1:52">
      <c r="A1725" s="131"/>
      <c r="B1725" s="72"/>
      <c r="D1725" s="72"/>
      <c r="G1725" s="72"/>
      <c r="J1725" s="72"/>
      <c r="M1725" s="72"/>
      <c r="P1725" s="72"/>
      <c r="S1725" s="72"/>
      <c r="V1725" s="72"/>
      <c r="Y1725" s="72"/>
      <c r="AB1725" s="72"/>
      <c r="AE1725" s="72"/>
      <c r="AH1725" s="72"/>
      <c r="AK1725" s="72"/>
      <c r="AN1725" s="72"/>
      <c r="AQ1725" s="72"/>
      <c r="AT1725" s="72"/>
      <c r="AW1725" s="72"/>
      <c r="AZ1725" s="72"/>
    </row>
    <row r="1726" spans="1:52">
      <c r="A1726" s="131"/>
      <c r="B1726" s="72"/>
      <c r="D1726" s="72"/>
      <c r="G1726" s="72"/>
      <c r="J1726" s="72"/>
      <c r="M1726" s="72"/>
      <c r="P1726" s="72"/>
      <c r="S1726" s="72"/>
      <c r="V1726" s="72"/>
      <c r="Y1726" s="72"/>
      <c r="AB1726" s="72"/>
      <c r="AE1726" s="72"/>
      <c r="AH1726" s="72"/>
      <c r="AK1726" s="72"/>
      <c r="AN1726" s="72"/>
      <c r="AQ1726" s="72"/>
      <c r="AT1726" s="72"/>
      <c r="AW1726" s="72"/>
      <c r="AZ1726" s="72"/>
    </row>
    <row r="1727" spans="1:52">
      <c r="A1727" s="131"/>
      <c r="B1727" s="72"/>
      <c r="D1727" s="72"/>
      <c r="G1727" s="72"/>
      <c r="J1727" s="72"/>
      <c r="M1727" s="72"/>
      <c r="P1727" s="72"/>
      <c r="S1727" s="72"/>
      <c r="V1727" s="72"/>
      <c r="Y1727" s="72"/>
      <c r="AB1727" s="72"/>
      <c r="AE1727" s="72"/>
      <c r="AH1727" s="72"/>
      <c r="AK1727" s="72"/>
      <c r="AN1727" s="72"/>
      <c r="AQ1727" s="72"/>
      <c r="AT1727" s="72"/>
      <c r="AW1727" s="72"/>
      <c r="AZ1727" s="72"/>
    </row>
    <row r="1728" spans="1:52">
      <c r="A1728" s="131"/>
      <c r="B1728" s="72"/>
      <c r="D1728" s="72"/>
      <c r="G1728" s="72"/>
      <c r="J1728" s="72"/>
      <c r="M1728" s="72"/>
      <c r="P1728" s="72"/>
      <c r="S1728" s="72"/>
      <c r="V1728" s="72"/>
      <c r="Y1728" s="72"/>
      <c r="AB1728" s="72"/>
      <c r="AE1728" s="72"/>
      <c r="AH1728" s="72"/>
      <c r="AK1728" s="72"/>
      <c r="AN1728" s="72"/>
      <c r="AQ1728" s="72"/>
      <c r="AT1728" s="72"/>
      <c r="AW1728" s="72"/>
      <c r="AZ1728" s="72"/>
    </row>
    <row r="1729" spans="1:52">
      <c r="A1729" s="131"/>
      <c r="B1729" s="72"/>
      <c r="D1729" s="72"/>
      <c r="G1729" s="72"/>
      <c r="J1729" s="72"/>
      <c r="M1729" s="72"/>
      <c r="P1729" s="72"/>
      <c r="S1729" s="72"/>
      <c r="V1729" s="72"/>
      <c r="Y1729" s="72"/>
      <c r="AB1729" s="72"/>
      <c r="AE1729" s="72"/>
      <c r="AH1729" s="72"/>
      <c r="AK1729" s="72"/>
      <c r="AN1729" s="72"/>
      <c r="AQ1729" s="72"/>
      <c r="AT1729" s="72"/>
      <c r="AW1729" s="72"/>
      <c r="AZ1729" s="72"/>
    </row>
    <row r="1730" spans="1:52">
      <c r="A1730" s="131"/>
      <c r="B1730" s="72"/>
      <c r="D1730" s="72"/>
      <c r="G1730" s="72"/>
      <c r="J1730" s="72"/>
      <c r="M1730" s="72"/>
      <c r="P1730" s="72"/>
      <c r="S1730" s="72"/>
      <c r="V1730" s="72"/>
      <c r="Y1730" s="72"/>
      <c r="AB1730" s="72"/>
      <c r="AE1730" s="72"/>
      <c r="AH1730" s="72"/>
      <c r="AK1730" s="72"/>
      <c r="AN1730" s="72"/>
      <c r="AQ1730" s="72"/>
      <c r="AT1730" s="72"/>
      <c r="AW1730" s="72"/>
      <c r="AZ1730" s="72"/>
    </row>
    <row r="1731" spans="1:52">
      <c r="A1731" s="131"/>
      <c r="B1731" s="72"/>
      <c r="D1731" s="72"/>
      <c r="G1731" s="72"/>
      <c r="J1731" s="72"/>
      <c r="M1731" s="72"/>
      <c r="P1731" s="72"/>
      <c r="S1731" s="72"/>
      <c r="V1731" s="72"/>
      <c r="Y1731" s="72"/>
      <c r="AB1731" s="72"/>
      <c r="AE1731" s="72"/>
      <c r="AH1731" s="72"/>
      <c r="AK1731" s="72"/>
      <c r="AN1731" s="72"/>
      <c r="AQ1731" s="72"/>
      <c r="AT1731" s="72"/>
      <c r="AW1731" s="72"/>
      <c r="AZ1731" s="72"/>
    </row>
    <row r="1732" spans="1:52">
      <c r="A1732" s="131"/>
      <c r="B1732" s="72"/>
      <c r="D1732" s="72"/>
      <c r="G1732" s="72"/>
      <c r="J1732" s="72"/>
      <c r="M1732" s="72"/>
      <c r="P1732" s="72"/>
      <c r="S1732" s="72"/>
      <c r="V1732" s="72"/>
      <c r="Y1732" s="72"/>
      <c r="AB1732" s="72"/>
      <c r="AE1732" s="72"/>
      <c r="AH1732" s="72"/>
      <c r="AK1732" s="72"/>
      <c r="AN1732" s="72"/>
      <c r="AQ1732" s="72"/>
      <c r="AT1732" s="72"/>
      <c r="AW1732" s="72"/>
      <c r="AZ1732" s="72"/>
    </row>
    <row r="1733" spans="1:52">
      <c r="A1733" s="131"/>
      <c r="B1733" s="72"/>
      <c r="D1733" s="72"/>
      <c r="G1733" s="72"/>
      <c r="J1733" s="72"/>
      <c r="M1733" s="72"/>
      <c r="P1733" s="72"/>
      <c r="S1733" s="72"/>
      <c r="V1733" s="72"/>
      <c r="Y1733" s="72"/>
      <c r="AB1733" s="72"/>
      <c r="AE1733" s="72"/>
      <c r="AH1733" s="72"/>
      <c r="AK1733" s="72"/>
      <c r="AN1733" s="72"/>
      <c r="AQ1733" s="72"/>
      <c r="AT1733" s="72"/>
      <c r="AW1733" s="72"/>
      <c r="AZ1733" s="72"/>
    </row>
    <row r="1734" spans="1:52">
      <c r="A1734" s="131"/>
      <c r="B1734" s="72"/>
      <c r="D1734" s="72"/>
      <c r="G1734" s="72"/>
      <c r="J1734" s="72"/>
      <c r="M1734" s="72"/>
      <c r="P1734" s="72"/>
      <c r="S1734" s="72"/>
      <c r="V1734" s="72"/>
      <c r="Y1734" s="72"/>
      <c r="AB1734" s="72"/>
      <c r="AE1734" s="72"/>
      <c r="AH1734" s="72"/>
      <c r="AK1734" s="72"/>
      <c r="AN1734" s="72"/>
      <c r="AQ1734" s="72"/>
      <c r="AT1734" s="72"/>
      <c r="AW1734" s="72"/>
      <c r="AZ1734" s="72"/>
    </row>
    <row r="1735" spans="1:52">
      <c r="A1735" s="131"/>
      <c r="B1735" s="72"/>
      <c r="D1735" s="72"/>
      <c r="G1735" s="72"/>
      <c r="J1735" s="72"/>
      <c r="M1735" s="72"/>
      <c r="P1735" s="72"/>
      <c r="S1735" s="72"/>
      <c r="V1735" s="72"/>
      <c r="Y1735" s="72"/>
      <c r="AB1735" s="72"/>
      <c r="AE1735" s="72"/>
      <c r="AH1735" s="72"/>
      <c r="AK1735" s="72"/>
      <c r="AN1735" s="72"/>
      <c r="AQ1735" s="72"/>
      <c r="AT1735" s="72"/>
      <c r="AW1735" s="72"/>
      <c r="AZ1735" s="72"/>
    </row>
    <row r="1736" spans="1:52">
      <c r="A1736" s="131"/>
      <c r="B1736" s="72"/>
      <c r="D1736" s="72"/>
      <c r="G1736" s="72"/>
      <c r="J1736" s="72"/>
      <c r="M1736" s="72"/>
      <c r="P1736" s="72"/>
      <c r="S1736" s="72"/>
      <c r="V1736" s="72"/>
      <c r="Y1736" s="72"/>
      <c r="AB1736" s="72"/>
      <c r="AE1736" s="72"/>
      <c r="AH1736" s="72"/>
      <c r="AK1736" s="72"/>
      <c r="AN1736" s="72"/>
      <c r="AQ1736" s="72"/>
      <c r="AT1736" s="72"/>
      <c r="AW1736" s="72"/>
      <c r="AZ1736" s="72"/>
    </row>
    <row r="1737" spans="1:52">
      <c r="A1737" s="131"/>
      <c r="B1737" s="72"/>
      <c r="D1737" s="72"/>
      <c r="G1737" s="72"/>
      <c r="J1737" s="72"/>
      <c r="M1737" s="72"/>
      <c r="P1737" s="72"/>
      <c r="S1737" s="72"/>
      <c r="V1737" s="72"/>
      <c r="Y1737" s="72"/>
      <c r="AB1737" s="72"/>
      <c r="AE1737" s="72"/>
      <c r="AH1737" s="72"/>
      <c r="AK1737" s="72"/>
      <c r="AN1737" s="72"/>
      <c r="AQ1737" s="72"/>
      <c r="AT1737" s="72"/>
      <c r="AW1737" s="72"/>
      <c r="AZ1737" s="72"/>
    </row>
    <row r="1738" spans="1:52">
      <c r="A1738" s="131"/>
      <c r="B1738" s="72"/>
      <c r="D1738" s="72"/>
      <c r="G1738" s="72"/>
      <c r="J1738" s="72"/>
      <c r="M1738" s="72"/>
      <c r="P1738" s="72"/>
      <c r="S1738" s="72"/>
      <c r="V1738" s="72"/>
      <c r="Y1738" s="72"/>
      <c r="AB1738" s="72"/>
      <c r="AE1738" s="72"/>
      <c r="AH1738" s="72"/>
      <c r="AK1738" s="72"/>
      <c r="AN1738" s="72"/>
      <c r="AQ1738" s="72"/>
      <c r="AT1738" s="72"/>
      <c r="AW1738" s="72"/>
      <c r="AZ1738" s="72"/>
    </row>
    <row r="1739" spans="1:52">
      <c r="A1739" s="131"/>
      <c r="B1739" s="72"/>
      <c r="D1739" s="72"/>
      <c r="G1739" s="72"/>
      <c r="J1739" s="72"/>
      <c r="M1739" s="72"/>
      <c r="P1739" s="72"/>
      <c r="S1739" s="72"/>
      <c r="V1739" s="72"/>
      <c r="Y1739" s="72"/>
      <c r="AB1739" s="72"/>
      <c r="AE1739" s="72"/>
      <c r="AH1739" s="72"/>
      <c r="AK1739" s="72"/>
      <c r="AN1739" s="72"/>
      <c r="AQ1739" s="72"/>
      <c r="AT1739" s="72"/>
      <c r="AW1739" s="72"/>
      <c r="AZ1739" s="72"/>
    </row>
    <row r="1740" spans="1:52">
      <c r="A1740" s="131"/>
      <c r="B1740" s="72"/>
      <c r="D1740" s="72"/>
      <c r="G1740" s="72"/>
      <c r="J1740" s="72"/>
      <c r="M1740" s="72"/>
      <c r="P1740" s="72"/>
      <c r="S1740" s="72"/>
      <c r="V1740" s="72"/>
      <c r="Y1740" s="72"/>
      <c r="AB1740" s="72"/>
      <c r="AE1740" s="72"/>
      <c r="AH1740" s="72"/>
      <c r="AK1740" s="72"/>
      <c r="AN1740" s="72"/>
      <c r="AQ1740" s="72"/>
      <c r="AT1740" s="72"/>
      <c r="AW1740" s="72"/>
      <c r="AZ1740" s="72"/>
    </row>
    <row r="1741" spans="1:52">
      <c r="A1741" s="131"/>
      <c r="B1741" s="72"/>
      <c r="D1741" s="72"/>
      <c r="G1741" s="72"/>
      <c r="J1741" s="72"/>
      <c r="M1741" s="72"/>
      <c r="P1741" s="72"/>
      <c r="S1741" s="72"/>
      <c r="V1741" s="72"/>
      <c r="Y1741" s="72"/>
      <c r="AB1741" s="72"/>
      <c r="AE1741" s="72"/>
      <c r="AH1741" s="72"/>
      <c r="AK1741" s="72"/>
      <c r="AN1741" s="72"/>
      <c r="AQ1741" s="72"/>
      <c r="AT1741" s="72"/>
      <c r="AW1741" s="72"/>
      <c r="AZ1741" s="72"/>
    </row>
    <row r="1742" spans="1:52">
      <c r="A1742" s="131"/>
      <c r="B1742" s="72"/>
      <c r="D1742" s="72"/>
      <c r="G1742" s="72"/>
      <c r="J1742" s="72"/>
      <c r="M1742" s="72"/>
      <c r="P1742" s="72"/>
      <c r="S1742" s="72"/>
      <c r="V1742" s="72"/>
      <c r="Y1742" s="72"/>
      <c r="AB1742" s="72"/>
      <c r="AE1742" s="72"/>
      <c r="AH1742" s="72"/>
      <c r="AK1742" s="72"/>
      <c r="AN1742" s="72"/>
      <c r="AQ1742" s="72"/>
      <c r="AT1742" s="72"/>
      <c r="AW1742" s="72"/>
      <c r="AZ1742" s="72"/>
    </row>
    <row r="1743" spans="1:52">
      <c r="A1743" s="131"/>
      <c r="B1743" s="72"/>
      <c r="D1743" s="72"/>
      <c r="G1743" s="72"/>
      <c r="J1743" s="72"/>
      <c r="M1743" s="72"/>
      <c r="P1743" s="72"/>
      <c r="S1743" s="72"/>
      <c r="V1743" s="72"/>
      <c r="Y1743" s="72"/>
      <c r="AB1743" s="72"/>
      <c r="AE1743" s="72"/>
      <c r="AH1743" s="72"/>
      <c r="AK1743" s="72"/>
      <c r="AN1743" s="72"/>
      <c r="AQ1743" s="72"/>
      <c r="AT1743" s="72"/>
      <c r="AW1743" s="72"/>
      <c r="AZ1743" s="72"/>
    </row>
    <row r="1744" spans="1:52">
      <c r="A1744" s="131"/>
      <c r="B1744" s="72"/>
      <c r="D1744" s="72"/>
      <c r="G1744" s="72"/>
      <c r="J1744" s="72"/>
      <c r="M1744" s="72"/>
      <c r="P1744" s="72"/>
      <c r="S1744" s="72"/>
      <c r="V1744" s="72"/>
      <c r="Y1744" s="72"/>
      <c r="AB1744" s="72"/>
      <c r="AE1744" s="72"/>
      <c r="AH1744" s="72"/>
      <c r="AK1744" s="72"/>
      <c r="AN1744" s="72"/>
      <c r="AQ1744" s="72"/>
      <c r="AT1744" s="72"/>
      <c r="AW1744" s="72"/>
      <c r="AZ1744" s="72"/>
    </row>
    <row r="1745" spans="1:52">
      <c r="A1745" s="131"/>
      <c r="B1745" s="72"/>
      <c r="D1745" s="72"/>
      <c r="G1745" s="72"/>
      <c r="J1745" s="72"/>
      <c r="M1745" s="72"/>
      <c r="P1745" s="72"/>
      <c r="S1745" s="72"/>
      <c r="V1745" s="72"/>
      <c r="Y1745" s="72"/>
      <c r="AB1745" s="72"/>
      <c r="AE1745" s="72"/>
      <c r="AH1745" s="72"/>
      <c r="AK1745" s="72"/>
      <c r="AN1745" s="72"/>
      <c r="AQ1745" s="72"/>
      <c r="AT1745" s="72"/>
      <c r="AW1745" s="72"/>
      <c r="AZ1745" s="72"/>
    </row>
    <row r="1746" spans="1:52">
      <c r="A1746" s="131"/>
      <c r="B1746" s="72"/>
      <c r="D1746" s="72"/>
      <c r="G1746" s="72"/>
      <c r="J1746" s="72"/>
      <c r="M1746" s="72"/>
      <c r="P1746" s="72"/>
      <c r="S1746" s="72"/>
      <c r="V1746" s="72"/>
      <c r="Y1746" s="72"/>
      <c r="AB1746" s="72"/>
      <c r="AE1746" s="72"/>
      <c r="AH1746" s="72"/>
      <c r="AK1746" s="72"/>
      <c r="AN1746" s="72"/>
      <c r="AQ1746" s="72"/>
      <c r="AT1746" s="72"/>
      <c r="AW1746" s="72"/>
      <c r="AZ1746" s="72"/>
    </row>
    <row r="1747" spans="1:52">
      <c r="A1747" s="131"/>
      <c r="B1747" s="72"/>
      <c r="D1747" s="72"/>
      <c r="G1747" s="72"/>
      <c r="J1747" s="72"/>
      <c r="M1747" s="72"/>
      <c r="P1747" s="72"/>
      <c r="S1747" s="72"/>
      <c r="V1747" s="72"/>
      <c r="Y1747" s="72"/>
      <c r="AB1747" s="72"/>
      <c r="AE1747" s="72"/>
      <c r="AH1747" s="72"/>
      <c r="AK1747" s="72"/>
      <c r="AN1747" s="72"/>
      <c r="AQ1747" s="72"/>
      <c r="AT1747" s="72"/>
      <c r="AW1747" s="72"/>
      <c r="AZ1747" s="72"/>
    </row>
    <row r="1748" spans="1:52">
      <c r="A1748" s="131"/>
      <c r="B1748" s="72"/>
      <c r="D1748" s="72"/>
      <c r="G1748" s="72"/>
      <c r="J1748" s="72"/>
      <c r="M1748" s="72"/>
      <c r="P1748" s="72"/>
      <c r="S1748" s="72"/>
      <c r="V1748" s="72"/>
      <c r="Y1748" s="72"/>
      <c r="AB1748" s="72"/>
      <c r="AE1748" s="72"/>
      <c r="AH1748" s="72"/>
      <c r="AK1748" s="72"/>
      <c r="AN1748" s="72"/>
      <c r="AQ1748" s="72"/>
      <c r="AT1748" s="72"/>
      <c r="AW1748" s="72"/>
      <c r="AZ1748" s="72"/>
    </row>
    <row r="1749" spans="1:52">
      <c r="A1749" s="131"/>
      <c r="B1749" s="72"/>
      <c r="D1749" s="72"/>
      <c r="G1749" s="72"/>
      <c r="J1749" s="72"/>
      <c r="M1749" s="72"/>
      <c r="P1749" s="72"/>
      <c r="S1749" s="72"/>
      <c r="V1749" s="72"/>
      <c r="Y1749" s="72"/>
      <c r="AB1749" s="72"/>
      <c r="AE1749" s="72"/>
      <c r="AH1749" s="72"/>
      <c r="AK1749" s="72"/>
      <c r="AN1749" s="72"/>
      <c r="AQ1749" s="72"/>
      <c r="AT1749" s="72"/>
      <c r="AW1749" s="72"/>
      <c r="AZ1749" s="72"/>
    </row>
    <row r="1750" spans="1:52">
      <c r="A1750" s="131"/>
      <c r="B1750" s="72"/>
      <c r="D1750" s="72"/>
      <c r="G1750" s="72"/>
      <c r="J1750" s="72"/>
      <c r="M1750" s="72"/>
      <c r="P1750" s="72"/>
      <c r="S1750" s="72"/>
      <c r="V1750" s="72"/>
      <c r="Y1750" s="72"/>
      <c r="AB1750" s="72"/>
      <c r="AE1750" s="72"/>
      <c r="AH1750" s="72"/>
      <c r="AK1750" s="72"/>
      <c r="AN1750" s="72"/>
      <c r="AQ1750" s="72"/>
      <c r="AT1750" s="72"/>
      <c r="AW1750" s="72"/>
      <c r="AZ1750" s="72"/>
    </row>
    <row r="1751" spans="1:52">
      <c r="A1751" s="131"/>
      <c r="B1751" s="72"/>
      <c r="D1751" s="72"/>
      <c r="G1751" s="72"/>
      <c r="J1751" s="72"/>
      <c r="M1751" s="72"/>
      <c r="P1751" s="72"/>
      <c r="S1751" s="72"/>
      <c r="V1751" s="72"/>
      <c r="Y1751" s="72"/>
      <c r="AB1751" s="72"/>
      <c r="AE1751" s="72"/>
      <c r="AH1751" s="72"/>
      <c r="AK1751" s="72"/>
      <c r="AN1751" s="72"/>
      <c r="AQ1751" s="72"/>
      <c r="AT1751" s="72"/>
      <c r="AW1751" s="72"/>
      <c r="AZ1751" s="72"/>
    </row>
    <row r="1752" spans="1:52">
      <c r="A1752" s="131"/>
      <c r="B1752" s="72"/>
      <c r="D1752" s="72"/>
      <c r="G1752" s="72"/>
      <c r="J1752" s="72"/>
      <c r="M1752" s="72"/>
      <c r="P1752" s="72"/>
      <c r="S1752" s="72"/>
      <c r="V1752" s="72"/>
      <c r="Y1752" s="72"/>
      <c r="AB1752" s="72"/>
      <c r="AE1752" s="72"/>
      <c r="AH1752" s="72"/>
      <c r="AK1752" s="72"/>
      <c r="AN1752" s="72"/>
      <c r="AQ1752" s="72"/>
      <c r="AT1752" s="72"/>
      <c r="AW1752" s="72"/>
      <c r="AZ1752" s="72"/>
    </row>
    <row r="1753" spans="1:52">
      <c r="A1753" s="131"/>
      <c r="B1753" s="72"/>
      <c r="D1753" s="72"/>
      <c r="G1753" s="72"/>
      <c r="J1753" s="72"/>
      <c r="M1753" s="72"/>
      <c r="P1753" s="72"/>
      <c r="S1753" s="72"/>
      <c r="V1753" s="72"/>
      <c r="Y1753" s="72"/>
      <c r="AB1753" s="72"/>
      <c r="AE1753" s="72"/>
      <c r="AH1753" s="72"/>
      <c r="AK1753" s="72"/>
      <c r="AN1753" s="72"/>
      <c r="AQ1753" s="72"/>
      <c r="AT1753" s="72"/>
      <c r="AW1753" s="72"/>
      <c r="AZ1753" s="72"/>
    </row>
    <row r="1754" spans="1:52">
      <c r="A1754" s="131"/>
      <c r="B1754" s="72"/>
      <c r="D1754" s="72"/>
      <c r="G1754" s="72"/>
      <c r="J1754" s="72"/>
      <c r="M1754" s="72"/>
      <c r="P1754" s="72"/>
      <c r="S1754" s="72"/>
      <c r="V1754" s="72"/>
      <c r="Y1754" s="72"/>
      <c r="AB1754" s="72"/>
      <c r="AE1754" s="72"/>
      <c r="AH1754" s="72"/>
      <c r="AK1754" s="72"/>
      <c r="AN1754" s="72"/>
      <c r="AQ1754" s="72"/>
      <c r="AT1754" s="72"/>
      <c r="AW1754" s="72"/>
      <c r="AZ1754" s="72"/>
    </row>
    <row r="1755" spans="1:52">
      <c r="A1755" s="131"/>
      <c r="B1755" s="72"/>
      <c r="D1755" s="72"/>
      <c r="G1755" s="72"/>
      <c r="J1755" s="72"/>
      <c r="M1755" s="72"/>
      <c r="P1755" s="72"/>
      <c r="S1755" s="72"/>
      <c r="V1755" s="72"/>
      <c r="Y1755" s="72"/>
      <c r="AB1755" s="72"/>
      <c r="AE1755" s="72"/>
      <c r="AH1755" s="72"/>
      <c r="AK1755" s="72"/>
      <c r="AN1755" s="72"/>
      <c r="AQ1755" s="72"/>
      <c r="AT1755" s="72"/>
      <c r="AW1755" s="72"/>
      <c r="AZ1755" s="72"/>
    </row>
    <row r="1756" spans="1:52">
      <c r="A1756" s="131"/>
      <c r="B1756" s="72"/>
      <c r="D1756" s="72"/>
      <c r="G1756" s="72"/>
      <c r="J1756" s="72"/>
      <c r="M1756" s="72"/>
      <c r="P1756" s="72"/>
      <c r="S1756" s="72"/>
      <c r="V1756" s="72"/>
      <c r="Y1756" s="72"/>
      <c r="AB1756" s="72"/>
      <c r="AE1756" s="72"/>
      <c r="AH1756" s="72"/>
      <c r="AK1756" s="72"/>
      <c r="AN1756" s="72"/>
      <c r="AQ1756" s="72"/>
      <c r="AT1756" s="72"/>
      <c r="AW1756" s="72"/>
      <c r="AZ1756" s="72"/>
    </row>
    <row r="1757" spans="1:52">
      <c r="A1757" s="131"/>
      <c r="B1757" s="72"/>
      <c r="D1757" s="72"/>
      <c r="G1757" s="72"/>
      <c r="J1757" s="72"/>
      <c r="M1757" s="72"/>
      <c r="P1757" s="72"/>
      <c r="S1757" s="72"/>
      <c r="V1757" s="72"/>
      <c r="Y1757" s="72"/>
      <c r="AB1757" s="72"/>
      <c r="AE1757" s="72"/>
      <c r="AH1757" s="72"/>
      <c r="AK1757" s="72"/>
      <c r="AN1757" s="72"/>
      <c r="AQ1757" s="72"/>
      <c r="AT1757" s="72"/>
      <c r="AW1757" s="72"/>
      <c r="AZ1757" s="72"/>
    </row>
    <row r="1758" spans="1:52">
      <c r="A1758" s="131"/>
      <c r="B1758" s="72"/>
      <c r="D1758" s="72"/>
      <c r="G1758" s="72"/>
      <c r="J1758" s="72"/>
      <c r="M1758" s="72"/>
      <c r="P1758" s="72"/>
      <c r="S1758" s="72"/>
      <c r="V1758" s="72"/>
      <c r="Y1758" s="72"/>
      <c r="AB1758" s="72"/>
      <c r="AE1758" s="72"/>
      <c r="AH1758" s="72"/>
      <c r="AK1758" s="72"/>
      <c r="AN1758" s="72"/>
      <c r="AQ1758" s="72"/>
      <c r="AT1758" s="72"/>
      <c r="AW1758" s="72"/>
      <c r="AZ1758" s="72"/>
    </row>
    <row r="1759" spans="1:52">
      <c r="A1759" s="131"/>
      <c r="B1759" s="72"/>
      <c r="D1759" s="72"/>
      <c r="G1759" s="72"/>
      <c r="J1759" s="72"/>
      <c r="M1759" s="72"/>
      <c r="P1759" s="72"/>
      <c r="S1759" s="72"/>
      <c r="V1759" s="72"/>
      <c r="Y1759" s="72"/>
      <c r="AB1759" s="72"/>
      <c r="AE1759" s="72"/>
      <c r="AH1759" s="72"/>
      <c r="AK1759" s="72"/>
      <c r="AN1759" s="72"/>
      <c r="AQ1759" s="72"/>
      <c r="AT1759" s="72"/>
      <c r="AW1759" s="72"/>
      <c r="AZ1759" s="72"/>
    </row>
    <row r="1760" spans="1:52">
      <c r="A1760" s="131"/>
      <c r="B1760" s="72"/>
      <c r="D1760" s="72"/>
      <c r="G1760" s="72"/>
      <c r="J1760" s="72"/>
      <c r="M1760" s="72"/>
      <c r="P1760" s="72"/>
      <c r="S1760" s="72"/>
      <c r="V1760" s="72"/>
      <c r="Y1760" s="72"/>
      <c r="AB1760" s="72"/>
      <c r="AE1760" s="72"/>
      <c r="AH1760" s="72"/>
      <c r="AK1760" s="72"/>
      <c r="AN1760" s="72"/>
      <c r="AQ1760" s="72"/>
      <c r="AT1760" s="72"/>
      <c r="AW1760" s="72"/>
      <c r="AZ1760" s="72"/>
    </row>
    <row r="1761" spans="1:52">
      <c r="A1761" s="131"/>
      <c r="B1761" s="72"/>
      <c r="D1761" s="72"/>
      <c r="G1761" s="72"/>
      <c r="J1761" s="72"/>
      <c r="M1761" s="72"/>
      <c r="P1761" s="72"/>
      <c r="S1761" s="72"/>
      <c r="V1761" s="72"/>
      <c r="Y1761" s="72"/>
      <c r="AB1761" s="72"/>
      <c r="AE1761" s="72"/>
      <c r="AH1761" s="72"/>
      <c r="AK1761" s="72"/>
      <c r="AN1761" s="72"/>
      <c r="AQ1761" s="72"/>
      <c r="AT1761" s="72"/>
      <c r="AW1761" s="72"/>
      <c r="AZ1761" s="72"/>
    </row>
    <row r="1762" spans="1:52">
      <c r="A1762" s="131"/>
      <c r="B1762" s="72"/>
      <c r="D1762" s="72"/>
      <c r="G1762" s="72"/>
      <c r="J1762" s="72"/>
      <c r="M1762" s="72"/>
      <c r="P1762" s="72"/>
      <c r="S1762" s="72"/>
      <c r="V1762" s="72"/>
      <c r="Y1762" s="72"/>
      <c r="AB1762" s="72"/>
      <c r="AE1762" s="72"/>
      <c r="AH1762" s="72"/>
      <c r="AK1762" s="72"/>
      <c r="AN1762" s="72"/>
      <c r="AQ1762" s="72"/>
      <c r="AT1762" s="72"/>
      <c r="AW1762" s="72"/>
      <c r="AZ1762" s="72"/>
    </row>
    <row r="1763" spans="1:52">
      <c r="A1763" s="131"/>
      <c r="B1763" s="72"/>
      <c r="D1763" s="72"/>
      <c r="G1763" s="72"/>
      <c r="J1763" s="72"/>
      <c r="M1763" s="72"/>
      <c r="P1763" s="72"/>
      <c r="S1763" s="72"/>
      <c r="V1763" s="72"/>
      <c r="Y1763" s="72"/>
      <c r="AB1763" s="72"/>
      <c r="AE1763" s="72"/>
      <c r="AH1763" s="72"/>
      <c r="AK1763" s="72"/>
      <c r="AN1763" s="72"/>
      <c r="AQ1763" s="72"/>
      <c r="AT1763" s="72"/>
      <c r="AW1763" s="72"/>
      <c r="AZ1763" s="72"/>
    </row>
    <row r="1764" spans="1:52">
      <c r="A1764" s="131"/>
      <c r="B1764" s="72"/>
      <c r="D1764" s="72"/>
      <c r="G1764" s="72"/>
      <c r="J1764" s="72"/>
      <c r="M1764" s="72"/>
      <c r="P1764" s="72"/>
      <c r="S1764" s="72"/>
      <c r="V1764" s="72"/>
      <c r="Y1764" s="72"/>
      <c r="AB1764" s="72"/>
      <c r="AE1764" s="72"/>
      <c r="AH1764" s="72"/>
      <c r="AK1764" s="72"/>
      <c r="AN1764" s="72"/>
      <c r="AQ1764" s="72"/>
      <c r="AT1764" s="72"/>
      <c r="AW1764" s="72"/>
      <c r="AZ1764" s="72"/>
    </row>
    <row r="1765" spans="1:52">
      <c r="A1765" s="131"/>
      <c r="B1765" s="72"/>
      <c r="D1765" s="72"/>
      <c r="G1765" s="72"/>
      <c r="J1765" s="72"/>
      <c r="M1765" s="72"/>
      <c r="P1765" s="72"/>
      <c r="S1765" s="72"/>
      <c r="V1765" s="72"/>
      <c r="Y1765" s="72"/>
      <c r="AB1765" s="72"/>
      <c r="AE1765" s="72"/>
      <c r="AH1765" s="72"/>
      <c r="AK1765" s="72"/>
      <c r="AN1765" s="72"/>
      <c r="AQ1765" s="72"/>
      <c r="AT1765" s="72"/>
      <c r="AW1765" s="72"/>
      <c r="AZ1765" s="72"/>
    </row>
    <row r="1766" spans="1:52">
      <c r="A1766" s="131"/>
      <c r="B1766" s="72"/>
      <c r="D1766" s="72"/>
      <c r="G1766" s="72"/>
      <c r="J1766" s="72"/>
      <c r="M1766" s="72"/>
      <c r="P1766" s="72"/>
      <c r="S1766" s="72"/>
      <c r="V1766" s="72"/>
      <c r="Y1766" s="72"/>
      <c r="AB1766" s="72"/>
      <c r="AE1766" s="72"/>
      <c r="AH1766" s="72"/>
      <c r="AK1766" s="72"/>
      <c r="AN1766" s="72"/>
      <c r="AQ1766" s="72"/>
      <c r="AT1766" s="72"/>
      <c r="AW1766" s="72"/>
      <c r="AZ1766" s="72"/>
    </row>
    <row r="1767" spans="1:52">
      <c r="A1767" s="131"/>
      <c r="B1767" s="72"/>
      <c r="D1767" s="72"/>
      <c r="G1767" s="72"/>
      <c r="J1767" s="72"/>
      <c r="M1767" s="72"/>
      <c r="P1767" s="72"/>
      <c r="S1767" s="72"/>
      <c r="V1767" s="72"/>
      <c r="Y1767" s="72"/>
      <c r="AB1767" s="72"/>
      <c r="AE1767" s="72"/>
      <c r="AH1767" s="72"/>
      <c r="AK1767" s="72"/>
      <c r="AN1767" s="72"/>
      <c r="AQ1767" s="72"/>
      <c r="AT1767" s="72"/>
      <c r="AW1767" s="72"/>
      <c r="AZ1767" s="72"/>
    </row>
    <row r="1768" spans="1:52">
      <c r="A1768" s="131"/>
      <c r="B1768" s="72"/>
      <c r="D1768" s="72"/>
      <c r="G1768" s="72"/>
      <c r="J1768" s="72"/>
      <c r="M1768" s="72"/>
      <c r="P1768" s="72"/>
      <c r="S1768" s="72"/>
      <c r="V1768" s="72"/>
      <c r="Y1768" s="72"/>
      <c r="AB1768" s="72"/>
      <c r="AE1768" s="72"/>
      <c r="AH1768" s="72"/>
      <c r="AK1768" s="72"/>
      <c r="AN1768" s="72"/>
      <c r="AQ1768" s="72"/>
      <c r="AT1768" s="72"/>
      <c r="AW1768" s="72"/>
      <c r="AZ1768" s="72"/>
    </row>
    <row r="1769" spans="1:52">
      <c r="A1769" s="131"/>
      <c r="B1769" s="72"/>
      <c r="D1769" s="72"/>
      <c r="G1769" s="72"/>
      <c r="J1769" s="72"/>
      <c r="M1769" s="72"/>
      <c r="P1769" s="72"/>
      <c r="S1769" s="72"/>
      <c r="V1769" s="72"/>
      <c r="Y1769" s="72"/>
      <c r="AB1769" s="72"/>
      <c r="AE1769" s="72"/>
      <c r="AH1769" s="72"/>
      <c r="AK1769" s="72"/>
      <c r="AN1769" s="72"/>
      <c r="AQ1769" s="72"/>
      <c r="AT1769" s="72"/>
      <c r="AW1769" s="72"/>
      <c r="AZ1769" s="72"/>
    </row>
    <row r="1770" spans="1:52">
      <c r="A1770" s="131"/>
      <c r="B1770" s="72"/>
      <c r="D1770" s="72"/>
      <c r="G1770" s="72"/>
      <c r="J1770" s="72"/>
      <c r="M1770" s="72"/>
      <c r="P1770" s="72"/>
      <c r="S1770" s="72"/>
      <c r="V1770" s="72"/>
      <c r="Y1770" s="72"/>
      <c r="AB1770" s="72"/>
      <c r="AE1770" s="72"/>
      <c r="AH1770" s="72"/>
      <c r="AK1770" s="72"/>
      <c r="AN1770" s="72"/>
      <c r="AQ1770" s="72"/>
      <c r="AT1770" s="72"/>
      <c r="AW1770" s="72"/>
      <c r="AZ1770" s="72"/>
    </row>
    <row r="1771" spans="1:52">
      <c r="A1771" s="131"/>
      <c r="B1771" s="72"/>
      <c r="D1771" s="72"/>
      <c r="G1771" s="72"/>
      <c r="J1771" s="72"/>
      <c r="M1771" s="72"/>
      <c r="P1771" s="72"/>
      <c r="S1771" s="72"/>
      <c r="V1771" s="72"/>
      <c r="Y1771" s="72"/>
      <c r="AB1771" s="72"/>
      <c r="AE1771" s="72"/>
      <c r="AH1771" s="72"/>
      <c r="AK1771" s="72"/>
      <c r="AN1771" s="72"/>
      <c r="AQ1771" s="72"/>
      <c r="AT1771" s="72"/>
      <c r="AW1771" s="72"/>
      <c r="AZ1771" s="72"/>
    </row>
    <row r="1772" spans="1:52">
      <c r="A1772" s="131"/>
      <c r="B1772" s="72"/>
      <c r="D1772" s="72"/>
      <c r="G1772" s="72"/>
      <c r="J1772" s="72"/>
      <c r="M1772" s="72"/>
      <c r="P1772" s="72"/>
      <c r="S1772" s="72"/>
      <c r="V1772" s="72"/>
      <c r="Y1772" s="72"/>
      <c r="AB1772" s="72"/>
      <c r="AE1772" s="72"/>
      <c r="AH1772" s="72"/>
      <c r="AK1772" s="72"/>
      <c r="AN1772" s="72"/>
      <c r="AQ1772" s="72"/>
      <c r="AT1772" s="72"/>
      <c r="AW1772" s="72"/>
      <c r="AZ1772" s="72"/>
    </row>
    <row r="1773" spans="1:52">
      <c r="A1773" s="131"/>
      <c r="B1773" s="72"/>
      <c r="D1773" s="72"/>
      <c r="G1773" s="72"/>
      <c r="J1773" s="72"/>
      <c r="M1773" s="72"/>
      <c r="P1773" s="72"/>
      <c r="S1773" s="72"/>
      <c r="V1773" s="72"/>
      <c r="Y1773" s="72"/>
      <c r="AB1773" s="72"/>
      <c r="AE1773" s="72"/>
      <c r="AH1773" s="72"/>
      <c r="AK1773" s="72"/>
      <c r="AN1773" s="72"/>
      <c r="AQ1773" s="72"/>
      <c r="AT1773" s="72"/>
      <c r="AW1773" s="72"/>
      <c r="AZ1773" s="72"/>
    </row>
    <row r="1774" spans="1:52">
      <c r="A1774" s="131"/>
      <c r="B1774" s="72"/>
      <c r="D1774" s="72"/>
      <c r="G1774" s="72"/>
      <c r="J1774" s="72"/>
      <c r="M1774" s="72"/>
      <c r="P1774" s="72"/>
      <c r="S1774" s="72"/>
      <c r="V1774" s="72"/>
      <c r="Y1774" s="72"/>
      <c r="AB1774" s="72"/>
      <c r="AE1774" s="72"/>
      <c r="AH1774" s="72"/>
      <c r="AK1774" s="72"/>
      <c r="AN1774" s="72"/>
      <c r="AQ1774" s="72"/>
      <c r="AT1774" s="72"/>
      <c r="AW1774" s="72"/>
      <c r="AZ1774" s="72"/>
    </row>
    <row r="1775" spans="1:52">
      <c r="A1775" s="131"/>
      <c r="B1775" s="72"/>
      <c r="D1775" s="72"/>
      <c r="G1775" s="72"/>
      <c r="J1775" s="72"/>
      <c r="M1775" s="72"/>
      <c r="P1775" s="72"/>
      <c r="S1775" s="72"/>
      <c r="V1775" s="72"/>
      <c r="Y1775" s="72"/>
      <c r="AB1775" s="72"/>
      <c r="AE1775" s="72"/>
      <c r="AH1775" s="72"/>
      <c r="AK1775" s="72"/>
      <c r="AN1775" s="72"/>
      <c r="AQ1775" s="72"/>
      <c r="AT1775" s="72"/>
      <c r="AW1775" s="72"/>
      <c r="AZ1775" s="72"/>
    </row>
    <row r="1776" spans="1:52">
      <c r="A1776" s="131"/>
      <c r="B1776" s="72"/>
      <c r="D1776" s="72"/>
      <c r="G1776" s="72"/>
      <c r="J1776" s="72"/>
      <c r="M1776" s="72"/>
      <c r="P1776" s="72"/>
      <c r="S1776" s="72"/>
      <c r="V1776" s="72"/>
      <c r="Y1776" s="72"/>
      <c r="AB1776" s="72"/>
      <c r="AE1776" s="72"/>
      <c r="AH1776" s="72"/>
      <c r="AK1776" s="72"/>
      <c r="AN1776" s="72"/>
      <c r="AQ1776" s="72"/>
      <c r="AT1776" s="72"/>
      <c r="AW1776" s="72"/>
      <c r="AZ1776" s="72"/>
    </row>
    <row r="1777" spans="1:52">
      <c r="A1777" s="131"/>
      <c r="B1777" s="72"/>
      <c r="D1777" s="72"/>
      <c r="G1777" s="72"/>
      <c r="J1777" s="72"/>
      <c r="M1777" s="72"/>
      <c r="P1777" s="72"/>
      <c r="S1777" s="72"/>
      <c r="V1777" s="72"/>
      <c r="Y1777" s="72"/>
      <c r="AB1777" s="72"/>
      <c r="AE1777" s="72"/>
      <c r="AH1777" s="72"/>
      <c r="AK1777" s="72"/>
      <c r="AN1777" s="72"/>
      <c r="AQ1777" s="72"/>
      <c r="AT1777" s="72"/>
      <c r="AW1777" s="72"/>
      <c r="AZ1777" s="72"/>
    </row>
    <row r="1778" spans="1:52">
      <c r="A1778" s="131"/>
      <c r="B1778" s="72"/>
      <c r="D1778" s="72"/>
      <c r="G1778" s="72"/>
      <c r="J1778" s="72"/>
      <c r="M1778" s="72"/>
      <c r="P1778" s="72"/>
      <c r="S1778" s="72"/>
      <c r="V1778" s="72"/>
      <c r="Y1778" s="72"/>
      <c r="AB1778" s="72"/>
      <c r="AE1778" s="72"/>
      <c r="AH1778" s="72"/>
      <c r="AK1778" s="72"/>
      <c r="AN1778" s="72"/>
      <c r="AQ1778" s="72"/>
      <c r="AT1778" s="72"/>
      <c r="AW1778" s="72"/>
      <c r="AZ1778" s="72"/>
    </row>
    <row r="1779" spans="1:52">
      <c r="A1779" s="131"/>
      <c r="B1779" s="72"/>
      <c r="D1779" s="72"/>
      <c r="G1779" s="72"/>
      <c r="J1779" s="72"/>
      <c r="M1779" s="72"/>
      <c r="P1779" s="72"/>
      <c r="S1779" s="72"/>
      <c r="V1779" s="72"/>
      <c r="Y1779" s="72"/>
      <c r="AB1779" s="72"/>
      <c r="AE1779" s="72"/>
      <c r="AH1779" s="72"/>
      <c r="AK1779" s="72"/>
      <c r="AN1779" s="72"/>
      <c r="AQ1779" s="72"/>
      <c r="AT1779" s="72"/>
      <c r="AW1779" s="72"/>
      <c r="AZ1779" s="72"/>
    </row>
    <row r="1780" spans="1:52">
      <c r="A1780" s="131"/>
      <c r="B1780" s="72"/>
      <c r="D1780" s="72"/>
      <c r="G1780" s="72"/>
      <c r="J1780" s="72"/>
      <c r="M1780" s="72"/>
      <c r="P1780" s="72"/>
      <c r="S1780" s="72"/>
      <c r="V1780" s="72"/>
      <c r="Y1780" s="72"/>
      <c r="AB1780" s="72"/>
      <c r="AE1780" s="72"/>
      <c r="AH1780" s="72"/>
      <c r="AK1780" s="72"/>
      <c r="AN1780" s="72"/>
      <c r="AQ1780" s="72"/>
      <c r="AT1780" s="72"/>
      <c r="AW1780" s="72"/>
      <c r="AZ1780" s="72"/>
    </row>
    <row r="1781" spans="1:52">
      <c r="A1781" s="131"/>
      <c r="B1781" s="72"/>
      <c r="D1781" s="72"/>
      <c r="G1781" s="72"/>
      <c r="J1781" s="72"/>
      <c r="M1781" s="72"/>
      <c r="P1781" s="72"/>
      <c r="S1781" s="72"/>
      <c r="V1781" s="72"/>
      <c r="Y1781" s="72"/>
      <c r="AB1781" s="72"/>
      <c r="AE1781" s="72"/>
      <c r="AH1781" s="72"/>
      <c r="AK1781" s="72"/>
      <c r="AN1781" s="72"/>
      <c r="AQ1781" s="72"/>
      <c r="AT1781" s="72"/>
      <c r="AW1781" s="72"/>
      <c r="AZ1781" s="72"/>
    </row>
    <row r="1782" spans="1:52">
      <c r="A1782" s="131"/>
      <c r="B1782" s="72"/>
      <c r="D1782" s="72"/>
      <c r="G1782" s="72"/>
      <c r="J1782" s="72"/>
      <c r="M1782" s="72"/>
      <c r="P1782" s="72"/>
      <c r="S1782" s="72"/>
      <c r="V1782" s="72"/>
      <c r="Y1782" s="72"/>
      <c r="AB1782" s="72"/>
      <c r="AE1782" s="72"/>
      <c r="AH1782" s="72"/>
      <c r="AK1782" s="72"/>
      <c r="AN1782" s="72"/>
      <c r="AQ1782" s="72"/>
      <c r="AT1782" s="72"/>
      <c r="AW1782" s="72"/>
      <c r="AZ1782" s="72"/>
    </row>
    <row r="1783" spans="1:52">
      <c r="A1783" s="131"/>
      <c r="B1783" s="72"/>
      <c r="D1783" s="72"/>
      <c r="G1783" s="72"/>
      <c r="J1783" s="72"/>
      <c r="M1783" s="72"/>
      <c r="P1783" s="72"/>
      <c r="S1783" s="72"/>
      <c r="V1783" s="72"/>
      <c r="Y1783" s="72"/>
      <c r="AB1783" s="72"/>
      <c r="AE1783" s="72"/>
      <c r="AH1783" s="72"/>
      <c r="AK1783" s="72"/>
      <c r="AN1783" s="72"/>
      <c r="AQ1783" s="72"/>
      <c r="AT1783" s="72"/>
      <c r="AW1783" s="72"/>
      <c r="AZ1783" s="72"/>
    </row>
    <row r="1784" spans="1:52">
      <c r="A1784" s="131"/>
      <c r="B1784" s="72"/>
      <c r="D1784" s="72"/>
      <c r="G1784" s="72"/>
      <c r="J1784" s="72"/>
      <c r="M1784" s="72"/>
      <c r="P1784" s="72"/>
      <c r="S1784" s="72"/>
      <c r="V1784" s="72"/>
      <c r="Y1784" s="72"/>
      <c r="AB1784" s="72"/>
      <c r="AE1784" s="72"/>
      <c r="AH1784" s="72"/>
      <c r="AK1784" s="72"/>
      <c r="AN1784" s="72"/>
      <c r="AQ1784" s="72"/>
      <c r="AT1784" s="72"/>
      <c r="AW1784" s="72"/>
      <c r="AZ1784" s="72"/>
    </row>
    <row r="1785" spans="1:52">
      <c r="A1785" s="131"/>
      <c r="B1785" s="72"/>
      <c r="D1785" s="72"/>
      <c r="G1785" s="72"/>
      <c r="J1785" s="72"/>
      <c r="M1785" s="72"/>
      <c r="P1785" s="72"/>
      <c r="S1785" s="72"/>
      <c r="V1785" s="72"/>
      <c r="Y1785" s="72"/>
      <c r="AB1785" s="72"/>
      <c r="AE1785" s="72"/>
      <c r="AH1785" s="72"/>
      <c r="AK1785" s="72"/>
      <c r="AN1785" s="72"/>
      <c r="AQ1785" s="72"/>
      <c r="AT1785" s="72"/>
      <c r="AW1785" s="72"/>
      <c r="AZ1785" s="72"/>
    </row>
    <row r="1786" spans="1:52">
      <c r="A1786" s="131"/>
      <c r="B1786" s="72"/>
      <c r="D1786" s="72"/>
      <c r="G1786" s="72"/>
      <c r="J1786" s="72"/>
      <c r="M1786" s="72"/>
      <c r="P1786" s="72"/>
      <c r="S1786" s="72"/>
      <c r="V1786" s="72"/>
      <c r="Y1786" s="72"/>
      <c r="AB1786" s="72"/>
      <c r="AE1786" s="72"/>
      <c r="AH1786" s="72"/>
      <c r="AK1786" s="72"/>
      <c r="AN1786" s="72"/>
      <c r="AQ1786" s="72"/>
      <c r="AT1786" s="72"/>
      <c r="AW1786" s="72"/>
      <c r="AZ1786" s="72"/>
    </row>
    <row r="1787" spans="1:52">
      <c r="A1787" s="131"/>
      <c r="B1787" s="72"/>
      <c r="D1787" s="72"/>
      <c r="G1787" s="72"/>
      <c r="J1787" s="72"/>
      <c r="M1787" s="72"/>
      <c r="P1787" s="72"/>
      <c r="S1787" s="72"/>
      <c r="V1787" s="72"/>
      <c r="Y1787" s="72"/>
      <c r="AB1787" s="72"/>
      <c r="AE1787" s="72"/>
      <c r="AH1787" s="72"/>
      <c r="AK1787" s="72"/>
      <c r="AN1787" s="72"/>
      <c r="AQ1787" s="72"/>
      <c r="AT1787" s="72"/>
      <c r="AW1787" s="72"/>
      <c r="AZ1787" s="72"/>
    </row>
    <row r="1788" spans="1:52">
      <c r="A1788" s="131"/>
      <c r="B1788" s="72"/>
      <c r="D1788" s="72"/>
      <c r="G1788" s="72"/>
      <c r="J1788" s="72"/>
      <c r="M1788" s="72"/>
      <c r="P1788" s="72"/>
      <c r="S1788" s="72"/>
      <c r="V1788" s="72"/>
      <c r="Y1788" s="72"/>
      <c r="AB1788" s="72"/>
      <c r="AE1788" s="72"/>
      <c r="AH1788" s="72"/>
      <c r="AK1788" s="72"/>
      <c r="AN1788" s="72"/>
      <c r="AQ1788" s="72"/>
      <c r="AT1788" s="72"/>
      <c r="AW1788" s="72"/>
      <c r="AZ1788" s="72"/>
    </row>
    <row r="1789" spans="1:52">
      <c r="A1789" s="131"/>
      <c r="B1789" s="72"/>
      <c r="D1789" s="72"/>
      <c r="G1789" s="72"/>
      <c r="J1789" s="72"/>
      <c r="M1789" s="72"/>
      <c r="P1789" s="72"/>
      <c r="S1789" s="72"/>
      <c r="V1789" s="72"/>
      <c r="Y1789" s="72"/>
      <c r="AB1789" s="72"/>
      <c r="AE1789" s="72"/>
      <c r="AH1789" s="72"/>
      <c r="AK1789" s="72"/>
      <c r="AN1789" s="72"/>
      <c r="AQ1789" s="72"/>
      <c r="AT1789" s="72"/>
      <c r="AW1789" s="72"/>
      <c r="AZ1789" s="72"/>
    </row>
    <row r="1790" spans="1:52">
      <c r="A1790" s="131"/>
      <c r="B1790" s="72"/>
      <c r="D1790" s="72"/>
      <c r="G1790" s="72"/>
      <c r="J1790" s="72"/>
      <c r="M1790" s="72"/>
      <c r="P1790" s="72"/>
      <c r="S1790" s="72"/>
      <c r="V1790" s="72"/>
      <c r="Y1790" s="72"/>
      <c r="AB1790" s="72"/>
      <c r="AE1790" s="72"/>
      <c r="AH1790" s="72"/>
      <c r="AK1790" s="72"/>
      <c r="AN1790" s="72"/>
      <c r="AQ1790" s="72"/>
      <c r="AT1790" s="72"/>
      <c r="AW1790" s="72"/>
      <c r="AZ1790" s="72"/>
    </row>
    <row r="1791" spans="1:52">
      <c r="A1791" s="131"/>
      <c r="B1791" s="72"/>
      <c r="D1791" s="72"/>
      <c r="G1791" s="72"/>
      <c r="J1791" s="72"/>
      <c r="M1791" s="72"/>
      <c r="P1791" s="72"/>
      <c r="S1791" s="72"/>
      <c r="V1791" s="72"/>
      <c r="Y1791" s="72"/>
      <c r="AB1791" s="72"/>
      <c r="AE1791" s="72"/>
      <c r="AH1791" s="72"/>
      <c r="AK1791" s="72"/>
      <c r="AN1791" s="72"/>
      <c r="AQ1791" s="72"/>
      <c r="AT1791" s="72"/>
      <c r="AW1791" s="72"/>
      <c r="AZ1791" s="72"/>
    </row>
    <row r="1792" spans="1:52">
      <c r="A1792" s="131"/>
      <c r="B1792" s="72"/>
      <c r="D1792" s="72"/>
      <c r="G1792" s="72"/>
      <c r="J1792" s="72"/>
      <c r="M1792" s="72"/>
      <c r="P1792" s="72"/>
      <c r="S1792" s="72"/>
      <c r="V1792" s="72"/>
      <c r="Y1792" s="72"/>
      <c r="AB1792" s="72"/>
      <c r="AE1792" s="72"/>
      <c r="AH1792" s="72"/>
      <c r="AK1792" s="72"/>
      <c r="AN1792" s="72"/>
      <c r="AQ1792" s="72"/>
      <c r="AT1792" s="72"/>
      <c r="AW1792" s="72"/>
      <c r="AZ1792" s="72"/>
    </row>
    <row r="1793" spans="1:52">
      <c r="A1793" s="131"/>
      <c r="B1793" s="72"/>
      <c r="D1793" s="72"/>
      <c r="G1793" s="72"/>
      <c r="J1793" s="72"/>
      <c r="M1793" s="72"/>
      <c r="P1793" s="72"/>
      <c r="S1793" s="72"/>
      <c r="V1793" s="72"/>
      <c r="Y1793" s="72"/>
      <c r="AB1793" s="72"/>
      <c r="AE1793" s="72"/>
      <c r="AH1793" s="72"/>
      <c r="AK1793" s="72"/>
      <c r="AN1793" s="72"/>
      <c r="AQ1793" s="72"/>
      <c r="AT1793" s="72"/>
      <c r="AW1793" s="72"/>
      <c r="AZ1793" s="72"/>
    </row>
    <row r="1794" spans="1:52">
      <c r="A1794" s="131"/>
      <c r="B1794" s="72"/>
      <c r="D1794" s="72"/>
      <c r="G1794" s="72"/>
      <c r="J1794" s="72"/>
      <c r="M1794" s="72"/>
      <c r="P1794" s="72"/>
      <c r="S1794" s="72"/>
      <c r="V1794" s="72"/>
      <c r="Y1794" s="72"/>
      <c r="AB1794" s="72"/>
      <c r="AE1794" s="72"/>
      <c r="AH1794" s="72"/>
      <c r="AK1794" s="72"/>
      <c r="AN1794" s="72"/>
      <c r="AQ1794" s="72"/>
      <c r="AT1794" s="72"/>
      <c r="AW1794" s="72"/>
      <c r="AZ1794" s="72"/>
    </row>
    <row r="1795" spans="1:52">
      <c r="A1795" s="131"/>
      <c r="B1795" s="72"/>
      <c r="D1795" s="72"/>
      <c r="G1795" s="72"/>
      <c r="J1795" s="72"/>
      <c r="M1795" s="72"/>
      <c r="P1795" s="72"/>
      <c r="S1795" s="72"/>
      <c r="V1795" s="72"/>
      <c r="Y1795" s="72"/>
      <c r="AB1795" s="72"/>
      <c r="AE1795" s="72"/>
      <c r="AH1795" s="72"/>
      <c r="AK1795" s="72"/>
      <c r="AN1795" s="72"/>
      <c r="AQ1795" s="72"/>
      <c r="AT1795" s="72"/>
      <c r="AW1795" s="72"/>
      <c r="AZ1795" s="72"/>
    </row>
    <row r="1796" spans="1:52">
      <c r="A1796" s="131"/>
      <c r="B1796" s="72"/>
      <c r="D1796" s="72"/>
      <c r="G1796" s="72"/>
      <c r="J1796" s="72"/>
      <c r="M1796" s="72"/>
      <c r="P1796" s="72"/>
      <c r="S1796" s="72"/>
      <c r="V1796" s="72"/>
      <c r="Y1796" s="72"/>
      <c r="AB1796" s="72"/>
      <c r="AE1796" s="72"/>
      <c r="AH1796" s="72"/>
      <c r="AK1796" s="72"/>
      <c r="AN1796" s="72"/>
      <c r="AQ1796" s="72"/>
      <c r="AT1796" s="72"/>
      <c r="AW1796" s="72"/>
      <c r="AZ1796" s="72"/>
    </row>
    <row r="1797" spans="1:52">
      <c r="A1797" s="131"/>
      <c r="B1797" s="72"/>
      <c r="D1797" s="72"/>
      <c r="G1797" s="72"/>
      <c r="J1797" s="72"/>
      <c r="M1797" s="72"/>
      <c r="P1797" s="72"/>
      <c r="S1797" s="72"/>
      <c r="V1797" s="72"/>
      <c r="Y1797" s="72"/>
      <c r="AB1797" s="72"/>
      <c r="AE1797" s="72"/>
      <c r="AH1797" s="72"/>
      <c r="AK1797" s="72"/>
      <c r="AN1797" s="72"/>
      <c r="AQ1797" s="72"/>
      <c r="AT1797" s="72"/>
      <c r="AW1797" s="72"/>
      <c r="AZ1797" s="72"/>
    </row>
    <row r="1798" spans="1:52">
      <c r="A1798" s="131"/>
      <c r="B1798" s="72"/>
      <c r="D1798" s="72"/>
      <c r="G1798" s="72"/>
      <c r="J1798" s="72"/>
      <c r="M1798" s="72"/>
      <c r="P1798" s="72"/>
      <c r="S1798" s="72"/>
      <c r="V1798" s="72"/>
      <c r="Y1798" s="72"/>
      <c r="AB1798" s="72"/>
      <c r="AE1798" s="72"/>
      <c r="AH1798" s="72"/>
      <c r="AK1798" s="72"/>
      <c r="AN1798" s="72"/>
      <c r="AQ1798" s="72"/>
      <c r="AT1798" s="72"/>
      <c r="AW1798" s="72"/>
      <c r="AZ1798" s="72"/>
    </row>
    <row r="1799" spans="1:52">
      <c r="A1799" s="131"/>
      <c r="B1799" s="72"/>
      <c r="D1799" s="72"/>
      <c r="G1799" s="72"/>
      <c r="J1799" s="72"/>
      <c r="M1799" s="72"/>
      <c r="P1799" s="72"/>
      <c r="S1799" s="72"/>
      <c r="V1799" s="72"/>
      <c r="Y1799" s="72"/>
      <c r="AB1799" s="72"/>
      <c r="AE1799" s="72"/>
      <c r="AH1799" s="72"/>
      <c r="AK1799" s="72"/>
      <c r="AN1799" s="72"/>
      <c r="AQ1799" s="72"/>
      <c r="AT1799" s="72"/>
      <c r="AW1799" s="72"/>
      <c r="AZ1799" s="72"/>
    </row>
    <row r="1800" spans="1:52">
      <c r="A1800" s="131"/>
      <c r="B1800" s="72"/>
      <c r="D1800" s="72"/>
      <c r="G1800" s="72"/>
      <c r="J1800" s="72"/>
      <c r="M1800" s="72"/>
      <c r="P1800" s="72"/>
      <c r="S1800" s="72"/>
      <c r="V1800" s="72"/>
      <c r="Y1800" s="72"/>
      <c r="AB1800" s="72"/>
      <c r="AE1800" s="72"/>
      <c r="AH1800" s="72"/>
      <c r="AK1800" s="72"/>
      <c r="AN1800" s="72"/>
      <c r="AQ1800" s="72"/>
      <c r="AT1800" s="72"/>
      <c r="AW1800" s="72"/>
      <c r="AZ1800" s="72"/>
    </row>
    <row r="1801" spans="1:52">
      <c r="A1801" s="131"/>
      <c r="B1801" s="72"/>
      <c r="D1801" s="72"/>
      <c r="G1801" s="72"/>
      <c r="J1801" s="72"/>
      <c r="M1801" s="72"/>
      <c r="P1801" s="72"/>
      <c r="S1801" s="72"/>
      <c r="V1801" s="72"/>
      <c r="Y1801" s="72"/>
      <c r="AB1801" s="72"/>
      <c r="AE1801" s="72"/>
      <c r="AH1801" s="72"/>
      <c r="AK1801" s="72"/>
      <c r="AN1801" s="72"/>
      <c r="AQ1801" s="72"/>
      <c r="AT1801" s="72"/>
      <c r="AW1801" s="72"/>
      <c r="AZ1801" s="72"/>
    </row>
    <row r="1802" spans="1:52">
      <c r="A1802" s="131"/>
      <c r="B1802" s="72"/>
      <c r="D1802" s="72"/>
      <c r="G1802" s="72"/>
      <c r="J1802" s="72"/>
      <c r="M1802" s="72"/>
      <c r="P1802" s="72"/>
      <c r="S1802" s="72"/>
      <c r="V1802" s="72"/>
      <c r="Y1802" s="72"/>
      <c r="AB1802" s="72"/>
      <c r="AE1802" s="72"/>
      <c r="AH1802" s="72"/>
      <c r="AK1802" s="72"/>
      <c r="AN1802" s="72"/>
      <c r="AQ1802" s="72"/>
      <c r="AT1802" s="72"/>
      <c r="AW1802" s="72"/>
      <c r="AZ1802" s="72"/>
    </row>
    <row r="1803" spans="1:52">
      <c r="A1803" s="131"/>
      <c r="B1803" s="72"/>
      <c r="D1803" s="72"/>
      <c r="G1803" s="72"/>
      <c r="J1803" s="72"/>
      <c r="M1803" s="72"/>
      <c r="P1803" s="72"/>
      <c r="S1803" s="72"/>
      <c r="V1803" s="72"/>
      <c r="Y1803" s="72"/>
      <c r="AB1803" s="72"/>
      <c r="AE1803" s="72"/>
      <c r="AH1803" s="72"/>
      <c r="AK1803" s="72"/>
      <c r="AN1803" s="72"/>
      <c r="AQ1803" s="72"/>
      <c r="AT1803" s="72"/>
      <c r="AW1803" s="72"/>
      <c r="AZ1803" s="72"/>
    </row>
    <row r="1804" spans="1:52">
      <c r="A1804" s="131"/>
      <c r="B1804" s="72"/>
      <c r="D1804" s="72"/>
      <c r="G1804" s="72"/>
      <c r="J1804" s="72"/>
      <c r="M1804" s="72"/>
      <c r="P1804" s="72"/>
      <c r="S1804" s="72"/>
      <c r="V1804" s="72"/>
      <c r="Y1804" s="72"/>
      <c r="AB1804" s="72"/>
      <c r="AE1804" s="72"/>
      <c r="AH1804" s="72"/>
      <c r="AK1804" s="72"/>
      <c r="AN1804" s="72"/>
      <c r="AQ1804" s="72"/>
      <c r="AT1804" s="72"/>
      <c r="AW1804" s="72"/>
      <c r="AZ1804" s="72"/>
    </row>
    <row r="1805" spans="1:52">
      <c r="A1805" s="131"/>
      <c r="B1805" s="72"/>
      <c r="D1805" s="72"/>
      <c r="G1805" s="72"/>
      <c r="J1805" s="72"/>
      <c r="M1805" s="72"/>
      <c r="P1805" s="72"/>
      <c r="S1805" s="72"/>
      <c r="V1805" s="72"/>
      <c r="Y1805" s="72"/>
      <c r="AB1805" s="72"/>
      <c r="AE1805" s="72"/>
      <c r="AH1805" s="72"/>
      <c r="AK1805" s="72"/>
      <c r="AN1805" s="72"/>
      <c r="AQ1805" s="72"/>
      <c r="AT1805" s="72"/>
      <c r="AW1805" s="72"/>
      <c r="AZ1805" s="72"/>
    </row>
    <row r="1806" spans="1:52">
      <c r="A1806" s="131"/>
      <c r="B1806" s="72"/>
      <c r="D1806" s="72"/>
      <c r="G1806" s="72"/>
      <c r="J1806" s="72"/>
      <c r="M1806" s="72"/>
      <c r="P1806" s="72"/>
      <c r="S1806" s="72"/>
      <c r="V1806" s="72"/>
      <c r="Y1806" s="72"/>
      <c r="AB1806" s="72"/>
      <c r="AE1806" s="72"/>
      <c r="AH1806" s="72"/>
      <c r="AK1806" s="72"/>
      <c r="AN1806" s="72"/>
      <c r="AQ1806" s="72"/>
      <c r="AT1806" s="72"/>
      <c r="AW1806" s="72"/>
      <c r="AZ1806" s="72"/>
    </row>
    <row r="1807" spans="1:52">
      <c r="A1807" s="131"/>
      <c r="B1807" s="72"/>
      <c r="D1807" s="72"/>
      <c r="G1807" s="72"/>
      <c r="J1807" s="72"/>
      <c r="M1807" s="72"/>
      <c r="P1807" s="72"/>
      <c r="S1807" s="72"/>
      <c r="V1807" s="72"/>
      <c r="Y1807" s="72"/>
      <c r="AB1807" s="72"/>
      <c r="AE1807" s="72"/>
      <c r="AH1807" s="72"/>
      <c r="AK1807" s="72"/>
      <c r="AN1807" s="72"/>
      <c r="AQ1807" s="72"/>
      <c r="AT1807" s="72"/>
      <c r="AW1807" s="72"/>
      <c r="AZ1807" s="72"/>
    </row>
    <row r="1808" spans="1:52">
      <c r="A1808" s="131"/>
      <c r="B1808" s="72"/>
      <c r="D1808" s="72"/>
      <c r="G1808" s="72"/>
      <c r="J1808" s="72"/>
      <c r="M1808" s="72"/>
      <c r="P1808" s="72"/>
      <c r="S1808" s="72"/>
      <c r="V1808" s="72"/>
      <c r="Y1808" s="72"/>
      <c r="AB1808" s="72"/>
      <c r="AE1808" s="72"/>
      <c r="AH1808" s="72"/>
      <c r="AK1808" s="72"/>
      <c r="AN1808" s="72"/>
      <c r="AQ1808" s="72"/>
      <c r="AT1808" s="72"/>
      <c r="AW1808" s="72"/>
      <c r="AZ1808" s="72"/>
    </row>
    <row r="1809" spans="1:52">
      <c r="A1809" s="131"/>
      <c r="B1809" s="72"/>
      <c r="D1809" s="72"/>
      <c r="G1809" s="72"/>
      <c r="J1809" s="72"/>
      <c r="M1809" s="72"/>
      <c r="P1809" s="72"/>
      <c r="S1809" s="72"/>
      <c r="V1809" s="72"/>
      <c r="Y1809" s="72"/>
      <c r="AB1809" s="72"/>
      <c r="AE1809" s="72"/>
      <c r="AH1809" s="72"/>
      <c r="AK1809" s="72"/>
      <c r="AN1809" s="72"/>
      <c r="AQ1809" s="72"/>
      <c r="AT1809" s="72"/>
      <c r="AW1809" s="72"/>
      <c r="AZ1809" s="72"/>
    </row>
    <row r="1810" spans="1:52">
      <c r="A1810" s="131"/>
      <c r="B1810" s="72"/>
      <c r="D1810" s="72"/>
      <c r="G1810" s="72"/>
      <c r="J1810" s="72"/>
      <c r="M1810" s="72"/>
      <c r="P1810" s="72"/>
      <c r="S1810" s="72"/>
      <c r="V1810" s="72"/>
      <c r="Y1810" s="72"/>
      <c r="AB1810" s="72"/>
      <c r="AE1810" s="72"/>
      <c r="AH1810" s="72"/>
      <c r="AK1810" s="72"/>
      <c r="AN1810" s="72"/>
      <c r="AQ1810" s="72"/>
      <c r="AT1810" s="72"/>
      <c r="AW1810" s="72"/>
      <c r="AZ1810" s="72"/>
    </row>
    <row r="1811" spans="1:52">
      <c r="A1811" s="131"/>
      <c r="B1811" s="72"/>
      <c r="D1811" s="72"/>
      <c r="G1811" s="72"/>
      <c r="J1811" s="72"/>
      <c r="M1811" s="72"/>
      <c r="P1811" s="72"/>
      <c r="S1811" s="72"/>
      <c r="V1811" s="72"/>
      <c r="Y1811" s="72"/>
      <c r="AB1811" s="72"/>
      <c r="AE1811" s="72"/>
      <c r="AH1811" s="72"/>
      <c r="AK1811" s="72"/>
      <c r="AN1811" s="72"/>
      <c r="AQ1811" s="72"/>
      <c r="AT1811" s="72"/>
      <c r="AW1811" s="72"/>
      <c r="AZ1811" s="72"/>
    </row>
    <row r="1812" spans="1:52">
      <c r="A1812" s="131"/>
      <c r="B1812" s="72"/>
      <c r="D1812" s="72"/>
      <c r="G1812" s="72"/>
      <c r="J1812" s="72"/>
      <c r="M1812" s="72"/>
      <c r="P1812" s="72"/>
      <c r="S1812" s="72"/>
      <c r="V1812" s="72"/>
      <c r="Y1812" s="72"/>
      <c r="AB1812" s="72"/>
      <c r="AE1812" s="72"/>
      <c r="AH1812" s="72"/>
      <c r="AK1812" s="72"/>
      <c r="AN1812" s="72"/>
      <c r="AQ1812" s="72"/>
      <c r="AT1812" s="72"/>
      <c r="AW1812" s="72"/>
      <c r="AZ1812" s="72"/>
    </row>
    <row r="1813" spans="1:52">
      <c r="A1813" s="131"/>
      <c r="B1813" s="72"/>
      <c r="D1813" s="72"/>
      <c r="G1813" s="72"/>
      <c r="J1813" s="72"/>
      <c r="M1813" s="72"/>
      <c r="P1813" s="72"/>
      <c r="S1813" s="72"/>
      <c r="V1813" s="72"/>
      <c r="Y1813" s="72"/>
      <c r="AB1813" s="72"/>
      <c r="AE1813" s="72"/>
      <c r="AH1813" s="72"/>
      <c r="AK1813" s="72"/>
      <c r="AN1813" s="72"/>
      <c r="AQ1813" s="72"/>
      <c r="AT1813" s="72"/>
      <c r="AW1813" s="72"/>
      <c r="AZ1813" s="72"/>
    </row>
    <row r="1814" spans="1:52">
      <c r="A1814" s="131"/>
      <c r="B1814" s="72"/>
      <c r="D1814" s="72"/>
      <c r="G1814" s="72"/>
      <c r="J1814" s="72"/>
      <c r="M1814" s="72"/>
      <c r="P1814" s="72"/>
      <c r="S1814" s="72"/>
      <c r="V1814" s="72"/>
      <c r="Y1814" s="72"/>
      <c r="AB1814" s="72"/>
      <c r="AE1814" s="72"/>
      <c r="AH1814" s="72"/>
      <c r="AK1814" s="72"/>
      <c r="AN1814" s="72"/>
      <c r="AQ1814" s="72"/>
      <c r="AT1814" s="72"/>
      <c r="AW1814" s="72"/>
      <c r="AZ1814" s="72"/>
    </row>
    <row r="1815" spans="1:52">
      <c r="A1815" s="131"/>
      <c r="B1815" s="72"/>
      <c r="D1815" s="72"/>
      <c r="G1815" s="72"/>
      <c r="J1815" s="72"/>
      <c r="M1815" s="72"/>
      <c r="P1815" s="72"/>
      <c r="S1815" s="72"/>
      <c r="V1815" s="72"/>
      <c r="Y1815" s="72"/>
      <c r="AB1815" s="72"/>
      <c r="AE1815" s="72"/>
      <c r="AH1815" s="72"/>
      <c r="AK1815" s="72"/>
      <c r="AN1815" s="72"/>
      <c r="AQ1815" s="72"/>
      <c r="AT1815" s="72"/>
      <c r="AW1815" s="72"/>
      <c r="AZ1815" s="72"/>
    </row>
    <row r="1816" spans="1:52">
      <c r="A1816" s="131"/>
      <c r="B1816" s="72"/>
      <c r="D1816" s="72"/>
      <c r="G1816" s="72"/>
      <c r="J1816" s="72"/>
      <c r="M1816" s="72"/>
      <c r="P1816" s="72"/>
      <c r="S1816" s="72"/>
      <c r="V1816" s="72"/>
      <c r="Y1816" s="72"/>
      <c r="AB1816" s="72"/>
      <c r="AE1816" s="72"/>
      <c r="AH1816" s="72"/>
      <c r="AK1816" s="72"/>
      <c r="AN1816" s="72"/>
      <c r="AQ1816" s="72"/>
      <c r="AT1816" s="72"/>
      <c r="AW1816" s="72"/>
      <c r="AZ1816" s="72"/>
    </row>
    <row r="1817" spans="1:52">
      <c r="A1817" s="131"/>
      <c r="B1817" s="72"/>
      <c r="D1817" s="72"/>
      <c r="G1817" s="72"/>
      <c r="J1817" s="72"/>
      <c r="M1817" s="72"/>
      <c r="P1817" s="72"/>
      <c r="S1817" s="72"/>
      <c r="V1817" s="72"/>
      <c r="Y1817" s="72"/>
      <c r="AB1817" s="72"/>
      <c r="AE1817" s="72"/>
      <c r="AH1817" s="72"/>
      <c r="AK1817" s="72"/>
      <c r="AN1817" s="72"/>
      <c r="AQ1817" s="72"/>
      <c r="AT1817" s="72"/>
      <c r="AW1817" s="72"/>
      <c r="AZ1817" s="72"/>
    </row>
    <row r="1818" spans="1:52">
      <c r="A1818" s="131"/>
      <c r="B1818" s="72"/>
      <c r="D1818" s="72"/>
      <c r="G1818" s="72"/>
      <c r="J1818" s="72"/>
      <c r="M1818" s="72"/>
      <c r="P1818" s="72"/>
      <c r="S1818" s="72"/>
      <c r="V1818" s="72"/>
      <c r="Y1818" s="72"/>
      <c r="AB1818" s="72"/>
      <c r="AE1818" s="72"/>
      <c r="AH1818" s="72"/>
      <c r="AK1818" s="72"/>
      <c r="AN1818" s="72"/>
      <c r="AQ1818" s="72"/>
      <c r="AT1818" s="72"/>
      <c r="AW1818" s="72"/>
      <c r="AZ1818" s="72"/>
    </row>
    <row r="1819" spans="1:52">
      <c r="A1819" s="131"/>
      <c r="B1819" s="72"/>
      <c r="D1819" s="72"/>
      <c r="G1819" s="72"/>
      <c r="J1819" s="72"/>
      <c r="M1819" s="72"/>
      <c r="P1819" s="72"/>
      <c r="S1819" s="72"/>
      <c r="V1819" s="72"/>
      <c r="Y1819" s="72"/>
      <c r="AB1819" s="72"/>
      <c r="AE1819" s="72"/>
      <c r="AH1819" s="72"/>
      <c r="AK1819" s="72"/>
      <c r="AN1819" s="72"/>
      <c r="AQ1819" s="72"/>
      <c r="AT1819" s="72"/>
      <c r="AW1819" s="72"/>
      <c r="AZ1819" s="72"/>
    </row>
    <row r="1820" spans="1:52">
      <c r="A1820" s="131"/>
      <c r="B1820" s="72"/>
      <c r="D1820" s="72"/>
      <c r="G1820" s="72"/>
      <c r="J1820" s="72"/>
      <c r="M1820" s="72"/>
      <c r="P1820" s="72"/>
      <c r="S1820" s="72"/>
      <c r="V1820" s="72"/>
      <c r="Y1820" s="72"/>
      <c r="AB1820" s="72"/>
      <c r="AE1820" s="72"/>
      <c r="AH1820" s="72"/>
      <c r="AK1820" s="72"/>
      <c r="AN1820" s="72"/>
      <c r="AQ1820" s="72"/>
      <c r="AT1820" s="72"/>
      <c r="AW1820" s="72"/>
      <c r="AZ1820" s="72"/>
    </row>
    <row r="1821" spans="1:52">
      <c r="A1821" s="131"/>
      <c r="B1821" s="72"/>
      <c r="D1821" s="72"/>
      <c r="G1821" s="72"/>
      <c r="J1821" s="72"/>
      <c r="M1821" s="72"/>
      <c r="P1821" s="72"/>
      <c r="S1821" s="72"/>
      <c r="V1821" s="72"/>
      <c r="Y1821" s="72"/>
      <c r="AB1821" s="72"/>
      <c r="AE1821" s="72"/>
      <c r="AH1821" s="72"/>
      <c r="AK1821" s="72"/>
      <c r="AN1821" s="72"/>
      <c r="AQ1821" s="72"/>
      <c r="AT1821" s="72"/>
      <c r="AW1821" s="72"/>
      <c r="AZ1821" s="72"/>
    </row>
    <row r="1822" spans="1:52">
      <c r="A1822" s="131"/>
      <c r="B1822" s="72"/>
      <c r="D1822" s="72"/>
      <c r="G1822" s="72"/>
      <c r="J1822" s="72"/>
      <c r="M1822" s="72"/>
      <c r="P1822" s="72"/>
      <c r="S1822" s="72"/>
      <c r="V1822" s="72"/>
      <c r="Y1822" s="72"/>
      <c r="AB1822" s="72"/>
      <c r="AE1822" s="72"/>
      <c r="AH1822" s="72"/>
      <c r="AK1822" s="72"/>
      <c r="AN1822" s="72"/>
      <c r="AQ1822" s="72"/>
      <c r="AT1822" s="72"/>
      <c r="AW1822" s="72"/>
      <c r="AZ1822" s="72"/>
    </row>
    <row r="1823" spans="1:52">
      <c r="A1823" s="131"/>
      <c r="B1823" s="72"/>
      <c r="D1823" s="72"/>
      <c r="G1823" s="72"/>
      <c r="J1823" s="72"/>
      <c r="M1823" s="72"/>
      <c r="P1823" s="72"/>
      <c r="S1823" s="72"/>
      <c r="V1823" s="72"/>
      <c r="Y1823" s="72"/>
      <c r="AB1823" s="72"/>
      <c r="AE1823" s="72"/>
      <c r="AH1823" s="72"/>
      <c r="AK1823" s="72"/>
      <c r="AN1823" s="72"/>
      <c r="AQ1823" s="72"/>
      <c r="AT1823" s="72"/>
      <c r="AW1823" s="72"/>
      <c r="AZ1823" s="72"/>
    </row>
    <row r="1824" spans="1:52">
      <c r="A1824" s="131"/>
      <c r="B1824" s="72"/>
      <c r="D1824" s="72"/>
      <c r="G1824" s="72"/>
      <c r="J1824" s="72"/>
      <c r="M1824" s="72"/>
      <c r="P1824" s="72"/>
      <c r="S1824" s="72"/>
      <c r="V1824" s="72"/>
      <c r="Y1824" s="72"/>
      <c r="AB1824" s="72"/>
      <c r="AE1824" s="72"/>
      <c r="AH1824" s="72"/>
      <c r="AK1824" s="72"/>
      <c r="AN1824" s="72"/>
      <c r="AQ1824" s="72"/>
      <c r="AT1824" s="72"/>
      <c r="AW1824" s="72"/>
      <c r="AZ1824" s="72"/>
    </row>
    <row r="1825" spans="1:52">
      <c r="A1825" s="131"/>
      <c r="B1825" s="72"/>
      <c r="D1825" s="72"/>
      <c r="G1825" s="72"/>
      <c r="J1825" s="72"/>
      <c r="M1825" s="72"/>
      <c r="P1825" s="72"/>
      <c r="S1825" s="72"/>
      <c r="V1825" s="72"/>
      <c r="Y1825" s="72"/>
      <c r="AB1825" s="72"/>
      <c r="AE1825" s="72"/>
      <c r="AH1825" s="72"/>
      <c r="AK1825" s="72"/>
      <c r="AN1825" s="72"/>
      <c r="AQ1825" s="72"/>
      <c r="AT1825" s="72"/>
      <c r="AW1825" s="72"/>
      <c r="AZ1825" s="72"/>
    </row>
    <row r="1826" spans="1:52">
      <c r="A1826" s="131"/>
      <c r="B1826" s="72"/>
      <c r="D1826" s="72"/>
      <c r="G1826" s="72"/>
      <c r="J1826" s="72"/>
      <c r="M1826" s="72"/>
      <c r="P1826" s="72"/>
      <c r="S1826" s="72"/>
      <c r="V1826" s="72"/>
      <c r="Y1826" s="72"/>
      <c r="AB1826" s="72"/>
      <c r="AE1826" s="72"/>
      <c r="AH1826" s="72"/>
      <c r="AK1826" s="72"/>
      <c r="AN1826" s="72"/>
      <c r="AQ1826" s="72"/>
      <c r="AT1826" s="72"/>
      <c r="AW1826" s="72"/>
      <c r="AZ1826" s="72"/>
    </row>
    <row r="1827" spans="1:52">
      <c r="A1827" s="131"/>
      <c r="B1827" s="72"/>
      <c r="D1827" s="72"/>
      <c r="G1827" s="72"/>
      <c r="J1827" s="72"/>
      <c r="M1827" s="72"/>
      <c r="P1827" s="72"/>
      <c r="S1827" s="72"/>
      <c r="V1827" s="72"/>
      <c r="Y1827" s="72"/>
      <c r="AB1827" s="72"/>
      <c r="AE1827" s="72"/>
      <c r="AH1827" s="72"/>
      <c r="AK1827" s="72"/>
      <c r="AN1827" s="72"/>
      <c r="AQ1827" s="72"/>
      <c r="AT1827" s="72"/>
      <c r="AW1827" s="72"/>
      <c r="AZ1827" s="72"/>
    </row>
    <row r="1828" spans="1:52">
      <c r="A1828" s="131"/>
      <c r="B1828" s="72"/>
      <c r="D1828" s="72"/>
      <c r="G1828" s="72"/>
      <c r="J1828" s="72"/>
      <c r="M1828" s="72"/>
      <c r="P1828" s="72"/>
      <c r="S1828" s="72"/>
      <c r="V1828" s="72"/>
      <c r="Y1828" s="72"/>
      <c r="AB1828" s="72"/>
      <c r="AE1828" s="72"/>
      <c r="AH1828" s="72"/>
      <c r="AK1828" s="72"/>
      <c r="AN1828" s="72"/>
      <c r="AQ1828" s="72"/>
      <c r="AT1828" s="72"/>
      <c r="AW1828" s="72"/>
      <c r="AZ1828" s="72"/>
    </row>
    <row r="1829" spans="1:52">
      <c r="A1829" s="131"/>
      <c r="B1829" s="72"/>
      <c r="D1829" s="72"/>
      <c r="G1829" s="72"/>
      <c r="J1829" s="72"/>
      <c r="M1829" s="72"/>
      <c r="P1829" s="72"/>
      <c r="S1829" s="72"/>
      <c r="V1829" s="72"/>
      <c r="Y1829" s="72"/>
      <c r="AB1829" s="72"/>
      <c r="AE1829" s="72"/>
      <c r="AH1829" s="72"/>
      <c r="AK1829" s="72"/>
      <c r="AN1829" s="72"/>
      <c r="AQ1829" s="72"/>
      <c r="AT1829" s="72"/>
      <c r="AW1829" s="72"/>
      <c r="AZ1829" s="72"/>
    </row>
    <row r="1830" spans="1:52">
      <c r="A1830" s="131"/>
      <c r="B1830" s="72"/>
      <c r="D1830" s="72"/>
      <c r="G1830" s="72"/>
      <c r="J1830" s="72"/>
      <c r="M1830" s="72"/>
      <c r="P1830" s="72"/>
      <c r="S1830" s="72"/>
      <c r="V1830" s="72"/>
      <c r="Y1830" s="72"/>
      <c r="AB1830" s="72"/>
      <c r="AE1830" s="72"/>
      <c r="AH1830" s="72"/>
      <c r="AK1830" s="72"/>
      <c r="AN1830" s="72"/>
      <c r="AQ1830" s="72"/>
      <c r="AT1830" s="72"/>
      <c r="AW1830" s="72"/>
      <c r="AZ1830" s="72"/>
    </row>
    <row r="1831" spans="1:52">
      <c r="A1831" s="131"/>
      <c r="B1831" s="72"/>
      <c r="D1831" s="72"/>
      <c r="G1831" s="72"/>
      <c r="J1831" s="72"/>
      <c r="M1831" s="72"/>
      <c r="P1831" s="72"/>
      <c r="S1831" s="72"/>
      <c r="V1831" s="72"/>
      <c r="Y1831" s="72"/>
      <c r="AB1831" s="72"/>
      <c r="AE1831" s="72"/>
      <c r="AH1831" s="72"/>
      <c r="AK1831" s="72"/>
      <c r="AN1831" s="72"/>
      <c r="AQ1831" s="72"/>
      <c r="AT1831" s="72"/>
      <c r="AW1831" s="72"/>
      <c r="AZ1831" s="72"/>
    </row>
    <row r="1832" spans="1:52">
      <c r="A1832" s="131"/>
      <c r="B1832" s="72"/>
      <c r="D1832" s="72"/>
      <c r="G1832" s="72"/>
      <c r="J1832" s="72"/>
      <c r="M1832" s="72"/>
      <c r="P1832" s="72"/>
      <c r="S1832" s="72"/>
      <c r="V1832" s="72"/>
      <c r="Y1832" s="72"/>
      <c r="AB1832" s="72"/>
      <c r="AE1832" s="72"/>
      <c r="AH1832" s="72"/>
      <c r="AK1832" s="72"/>
      <c r="AN1832" s="72"/>
      <c r="AQ1832" s="72"/>
      <c r="AT1832" s="72"/>
      <c r="AW1832" s="72"/>
      <c r="AZ1832" s="72"/>
    </row>
    <row r="1833" spans="1:52">
      <c r="A1833" s="131"/>
      <c r="B1833" s="72"/>
      <c r="D1833" s="72"/>
      <c r="G1833" s="72"/>
      <c r="J1833" s="72"/>
      <c r="M1833" s="72"/>
      <c r="P1833" s="72"/>
      <c r="S1833" s="72"/>
      <c r="V1833" s="72"/>
      <c r="Y1833" s="72"/>
      <c r="AB1833" s="72"/>
      <c r="AE1833" s="72"/>
      <c r="AH1833" s="72"/>
      <c r="AK1833" s="72"/>
      <c r="AN1833" s="72"/>
      <c r="AQ1833" s="72"/>
      <c r="AT1833" s="72"/>
      <c r="AW1833" s="72"/>
      <c r="AZ1833" s="72"/>
    </row>
    <row r="1834" spans="1:52">
      <c r="A1834" s="131"/>
      <c r="B1834" s="72"/>
      <c r="D1834" s="72"/>
      <c r="G1834" s="72"/>
      <c r="J1834" s="72"/>
      <c r="M1834" s="72"/>
      <c r="P1834" s="72"/>
      <c r="S1834" s="72"/>
      <c r="V1834" s="72"/>
      <c r="Y1834" s="72"/>
      <c r="AB1834" s="72"/>
      <c r="AE1834" s="72"/>
      <c r="AH1834" s="72"/>
      <c r="AK1834" s="72"/>
      <c r="AN1834" s="72"/>
      <c r="AQ1834" s="72"/>
      <c r="AT1834" s="72"/>
      <c r="AW1834" s="72"/>
      <c r="AZ1834" s="72"/>
    </row>
    <row r="1835" spans="1:52">
      <c r="A1835" s="131"/>
      <c r="B1835" s="72"/>
      <c r="D1835" s="72"/>
      <c r="G1835" s="72"/>
      <c r="J1835" s="72"/>
      <c r="M1835" s="72"/>
      <c r="P1835" s="72"/>
      <c r="S1835" s="72"/>
      <c r="V1835" s="72"/>
      <c r="Y1835" s="72"/>
      <c r="AB1835" s="72"/>
      <c r="AE1835" s="72"/>
      <c r="AH1835" s="72"/>
      <c r="AK1835" s="72"/>
      <c r="AN1835" s="72"/>
      <c r="AQ1835" s="72"/>
      <c r="AT1835" s="72"/>
      <c r="AW1835" s="72"/>
      <c r="AZ1835" s="72"/>
    </row>
    <row r="1836" spans="1:52">
      <c r="A1836" s="131"/>
      <c r="B1836" s="72"/>
      <c r="D1836" s="72"/>
      <c r="G1836" s="72"/>
      <c r="J1836" s="72"/>
      <c r="M1836" s="72"/>
      <c r="P1836" s="72"/>
      <c r="S1836" s="72"/>
      <c r="V1836" s="72"/>
      <c r="Y1836" s="72"/>
      <c r="AB1836" s="72"/>
      <c r="AE1836" s="72"/>
      <c r="AH1836" s="72"/>
      <c r="AK1836" s="72"/>
      <c r="AN1836" s="72"/>
      <c r="AQ1836" s="72"/>
      <c r="AT1836" s="72"/>
      <c r="AW1836" s="72"/>
      <c r="AZ1836" s="72"/>
    </row>
    <row r="1837" spans="1:52">
      <c r="A1837" s="131"/>
      <c r="B1837" s="72"/>
      <c r="D1837" s="72"/>
      <c r="G1837" s="72"/>
      <c r="J1837" s="72"/>
      <c r="M1837" s="72"/>
      <c r="P1837" s="72"/>
      <c r="S1837" s="72"/>
      <c r="V1837" s="72"/>
      <c r="Y1837" s="72"/>
      <c r="AB1837" s="72"/>
      <c r="AE1837" s="72"/>
      <c r="AH1837" s="72"/>
      <c r="AK1837" s="72"/>
      <c r="AN1837" s="72"/>
      <c r="AQ1837" s="72"/>
      <c r="AT1837" s="72"/>
      <c r="AW1837" s="72"/>
      <c r="AZ1837" s="72"/>
    </row>
    <row r="1838" spans="1:52">
      <c r="A1838" s="131"/>
      <c r="B1838" s="72"/>
      <c r="D1838" s="72"/>
      <c r="G1838" s="72"/>
      <c r="J1838" s="72"/>
      <c r="M1838" s="72"/>
      <c r="P1838" s="72"/>
      <c r="S1838" s="72"/>
      <c r="V1838" s="72"/>
      <c r="Y1838" s="72"/>
      <c r="AB1838" s="72"/>
      <c r="AE1838" s="72"/>
      <c r="AH1838" s="72"/>
      <c r="AK1838" s="72"/>
      <c r="AN1838" s="72"/>
      <c r="AQ1838" s="72"/>
      <c r="AT1838" s="72"/>
      <c r="AW1838" s="72"/>
      <c r="AZ1838" s="72"/>
    </row>
    <row r="1839" spans="1:52">
      <c r="A1839" s="131"/>
      <c r="B1839" s="72"/>
      <c r="D1839" s="72"/>
      <c r="G1839" s="72"/>
      <c r="J1839" s="72"/>
      <c r="M1839" s="72"/>
      <c r="P1839" s="72"/>
      <c r="S1839" s="72"/>
      <c r="V1839" s="72"/>
      <c r="Y1839" s="72"/>
      <c r="AB1839" s="72"/>
      <c r="AE1839" s="72"/>
      <c r="AH1839" s="72"/>
      <c r="AK1839" s="72"/>
      <c r="AN1839" s="72"/>
      <c r="AQ1839" s="72"/>
      <c r="AT1839" s="72"/>
      <c r="AW1839" s="72"/>
      <c r="AZ1839" s="72"/>
    </row>
    <row r="1840" spans="1:52">
      <c r="A1840" s="131"/>
      <c r="B1840" s="72"/>
      <c r="D1840" s="72"/>
      <c r="G1840" s="72"/>
      <c r="J1840" s="72"/>
      <c r="M1840" s="72"/>
      <c r="P1840" s="72"/>
      <c r="S1840" s="72"/>
      <c r="V1840" s="72"/>
      <c r="Y1840" s="72"/>
      <c r="AB1840" s="72"/>
      <c r="AE1840" s="72"/>
      <c r="AH1840" s="72"/>
      <c r="AK1840" s="72"/>
      <c r="AN1840" s="72"/>
      <c r="AQ1840" s="72"/>
      <c r="AT1840" s="72"/>
      <c r="AW1840" s="72"/>
      <c r="AZ1840" s="72"/>
    </row>
    <row r="1841" spans="1:52">
      <c r="A1841" s="131"/>
      <c r="B1841" s="72"/>
      <c r="D1841" s="72"/>
      <c r="G1841" s="72"/>
      <c r="J1841" s="72"/>
      <c r="M1841" s="72"/>
      <c r="P1841" s="72"/>
      <c r="S1841" s="72"/>
      <c r="V1841" s="72"/>
      <c r="Y1841" s="72"/>
      <c r="AB1841" s="72"/>
      <c r="AE1841" s="72"/>
      <c r="AH1841" s="72"/>
      <c r="AK1841" s="72"/>
      <c r="AN1841" s="72"/>
      <c r="AQ1841" s="72"/>
      <c r="AT1841" s="72"/>
      <c r="AW1841" s="72"/>
      <c r="AZ1841" s="72"/>
    </row>
    <row r="1842" spans="1:52">
      <c r="A1842" s="131"/>
      <c r="B1842" s="72"/>
      <c r="D1842" s="72"/>
      <c r="G1842" s="72"/>
      <c r="J1842" s="72"/>
      <c r="M1842" s="72"/>
      <c r="P1842" s="72"/>
      <c r="S1842" s="72"/>
      <c r="V1842" s="72"/>
      <c r="Y1842" s="72"/>
      <c r="AB1842" s="72"/>
      <c r="AE1842" s="72"/>
      <c r="AH1842" s="72"/>
      <c r="AK1842" s="72"/>
      <c r="AN1842" s="72"/>
      <c r="AQ1842" s="72"/>
      <c r="AT1842" s="72"/>
      <c r="AW1842" s="72"/>
      <c r="AZ1842" s="72"/>
    </row>
    <row r="1843" spans="1:52">
      <c r="A1843" s="131"/>
      <c r="B1843" s="72"/>
      <c r="D1843" s="72"/>
      <c r="G1843" s="72"/>
      <c r="J1843" s="72"/>
      <c r="M1843" s="72"/>
      <c r="P1843" s="72"/>
      <c r="S1843" s="72"/>
      <c r="V1843" s="72"/>
      <c r="Y1843" s="72"/>
      <c r="AB1843" s="72"/>
      <c r="AE1843" s="72"/>
      <c r="AH1843" s="72"/>
      <c r="AK1843" s="72"/>
      <c r="AN1843" s="72"/>
      <c r="AQ1843" s="72"/>
      <c r="AT1843" s="72"/>
      <c r="AW1843" s="72"/>
      <c r="AZ1843" s="72"/>
    </row>
    <row r="1844" spans="1:52">
      <c r="A1844" s="131"/>
      <c r="B1844" s="72"/>
      <c r="D1844" s="72"/>
      <c r="G1844" s="72"/>
      <c r="J1844" s="72"/>
      <c r="M1844" s="72"/>
      <c r="P1844" s="72"/>
      <c r="S1844" s="72"/>
      <c r="V1844" s="72"/>
      <c r="Y1844" s="72"/>
      <c r="AB1844" s="72"/>
      <c r="AE1844" s="72"/>
      <c r="AH1844" s="72"/>
      <c r="AK1844" s="72"/>
      <c r="AN1844" s="72"/>
      <c r="AQ1844" s="72"/>
      <c r="AT1844" s="72"/>
      <c r="AW1844" s="72"/>
      <c r="AZ1844" s="72"/>
    </row>
    <row r="1845" spans="1:52">
      <c r="A1845" s="131"/>
      <c r="B1845" s="72"/>
      <c r="D1845" s="72"/>
      <c r="G1845" s="72"/>
      <c r="J1845" s="72"/>
      <c r="M1845" s="72"/>
      <c r="P1845" s="72"/>
      <c r="S1845" s="72"/>
      <c r="V1845" s="72"/>
      <c r="Y1845" s="72"/>
      <c r="AB1845" s="72"/>
      <c r="AE1845" s="72"/>
      <c r="AH1845" s="72"/>
      <c r="AK1845" s="72"/>
      <c r="AN1845" s="72"/>
      <c r="AQ1845" s="72"/>
      <c r="AT1845" s="72"/>
      <c r="AW1845" s="72"/>
      <c r="AZ1845" s="72"/>
    </row>
    <row r="1846" spans="1:52">
      <c r="A1846" s="131"/>
      <c r="B1846" s="72"/>
      <c r="D1846" s="72"/>
      <c r="G1846" s="72"/>
      <c r="J1846" s="72"/>
      <c r="M1846" s="72"/>
      <c r="P1846" s="72"/>
      <c r="S1846" s="72"/>
      <c r="V1846" s="72"/>
      <c r="Y1846" s="72"/>
      <c r="AB1846" s="72"/>
      <c r="AE1846" s="72"/>
      <c r="AH1846" s="72"/>
      <c r="AK1846" s="72"/>
      <c r="AN1846" s="72"/>
      <c r="AQ1846" s="72"/>
      <c r="AT1846" s="72"/>
      <c r="AW1846" s="72"/>
      <c r="AZ1846" s="72"/>
    </row>
    <row r="1847" spans="1:52">
      <c r="A1847" s="131"/>
      <c r="B1847" s="72"/>
      <c r="D1847" s="72"/>
      <c r="G1847" s="72"/>
      <c r="J1847" s="72"/>
      <c r="M1847" s="72"/>
      <c r="P1847" s="72"/>
      <c r="S1847" s="72"/>
      <c r="V1847" s="72"/>
      <c r="Y1847" s="72"/>
      <c r="AB1847" s="72"/>
      <c r="AE1847" s="72"/>
      <c r="AH1847" s="72"/>
      <c r="AK1847" s="72"/>
      <c r="AN1847" s="72"/>
      <c r="AQ1847" s="72"/>
      <c r="AT1847" s="72"/>
      <c r="AW1847" s="72"/>
      <c r="AZ1847" s="72"/>
    </row>
    <row r="1848" spans="1:52">
      <c r="A1848" s="131"/>
      <c r="B1848" s="72"/>
      <c r="D1848" s="72"/>
      <c r="G1848" s="72"/>
      <c r="J1848" s="72"/>
      <c r="M1848" s="72"/>
      <c r="P1848" s="72"/>
      <c r="S1848" s="72"/>
      <c r="V1848" s="72"/>
      <c r="Y1848" s="72"/>
      <c r="AB1848" s="72"/>
      <c r="AE1848" s="72"/>
      <c r="AH1848" s="72"/>
      <c r="AK1848" s="72"/>
      <c r="AN1848" s="72"/>
      <c r="AQ1848" s="72"/>
      <c r="AT1848" s="72"/>
      <c r="AW1848" s="72"/>
      <c r="AZ1848" s="72"/>
    </row>
    <row r="1849" spans="1:52">
      <c r="A1849" s="131"/>
      <c r="B1849" s="72"/>
      <c r="D1849" s="72"/>
      <c r="G1849" s="72"/>
      <c r="J1849" s="72"/>
      <c r="M1849" s="72"/>
      <c r="P1849" s="72"/>
      <c r="S1849" s="72"/>
      <c r="V1849" s="72"/>
      <c r="Y1849" s="72"/>
      <c r="AB1849" s="72"/>
      <c r="AE1849" s="72"/>
      <c r="AH1849" s="72"/>
      <c r="AK1849" s="72"/>
      <c r="AN1849" s="72"/>
      <c r="AQ1849" s="72"/>
      <c r="AT1849" s="72"/>
      <c r="AW1849" s="72"/>
      <c r="AZ1849" s="72"/>
    </row>
    <row r="1850" spans="1:52">
      <c r="A1850" s="131"/>
      <c r="B1850" s="72"/>
      <c r="D1850" s="72"/>
      <c r="G1850" s="72"/>
      <c r="J1850" s="72"/>
      <c r="M1850" s="72"/>
      <c r="P1850" s="72"/>
      <c r="S1850" s="72"/>
      <c r="V1850" s="72"/>
      <c r="Y1850" s="72"/>
      <c r="AB1850" s="72"/>
      <c r="AE1850" s="72"/>
      <c r="AH1850" s="72"/>
      <c r="AK1850" s="72"/>
      <c r="AN1850" s="72"/>
      <c r="AQ1850" s="72"/>
      <c r="AT1850" s="72"/>
      <c r="AW1850" s="72"/>
      <c r="AZ1850" s="72"/>
    </row>
    <row r="1851" spans="1:52">
      <c r="A1851" s="131"/>
      <c r="B1851" s="72"/>
      <c r="D1851" s="72"/>
      <c r="G1851" s="72"/>
      <c r="J1851" s="72"/>
      <c r="M1851" s="72"/>
      <c r="P1851" s="72"/>
      <c r="S1851" s="72"/>
      <c r="V1851" s="72"/>
      <c r="Y1851" s="72"/>
      <c r="AB1851" s="72"/>
      <c r="AE1851" s="72"/>
      <c r="AH1851" s="72"/>
      <c r="AK1851" s="72"/>
      <c r="AN1851" s="72"/>
      <c r="AQ1851" s="72"/>
      <c r="AT1851" s="72"/>
      <c r="AW1851" s="72"/>
      <c r="AZ1851" s="72"/>
    </row>
    <row r="1852" spans="1:52">
      <c r="A1852" s="131"/>
      <c r="B1852" s="72"/>
      <c r="D1852" s="72"/>
      <c r="G1852" s="72"/>
      <c r="J1852" s="72"/>
      <c r="M1852" s="72"/>
      <c r="P1852" s="72"/>
      <c r="S1852" s="72"/>
      <c r="V1852" s="72"/>
      <c r="Y1852" s="72"/>
      <c r="AB1852" s="72"/>
      <c r="AE1852" s="72"/>
      <c r="AH1852" s="72"/>
      <c r="AK1852" s="72"/>
      <c r="AN1852" s="72"/>
      <c r="AQ1852" s="72"/>
      <c r="AT1852" s="72"/>
      <c r="AW1852" s="72"/>
      <c r="AZ1852" s="72"/>
    </row>
    <row r="1853" spans="1:52">
      <c r="A1853" s="131"/>
      <c r="B1853" s="72"/>
      <c r="D1853" s="72"/>
      <c r="G1853" s="72"/>
      <c r="J1853" s="72"/>
      <c r="M1853" s="72"/>
      <c r="P1853" s="72"/>
      <c r="S1853" s="72"/>
      <c r="V1853" s="72"/>
      <c r="Y1853" s="72"/>
      <c r="AB1853" s="72"/>
      <c r="AE1853" s="72"/>
      <c r="AH1853" s="72"/>
      <c r="AK1853" s="72"/>
      <c r="AN1853" s="72"/>
      <c r="AQ1853" s="72"/>
      <c r="AT1853" s="72"/>
      <c r="AW1853" s="72"/>
      <c r="AZ1853" s="72"/>
    </row>
    <row r="1854" spans="1:52">
      <c r="A1854" s="131"/>
      <c r="B1854" s="72"/>
      <c r="D1854" s="72"/>
      <c r="G1854" s="72"/>
      <c r="J1854" s="72"/>
      <c r="M1854" s="72"/>
      <c r="P1854" s="72"/>
      <c r="S1854" s="72"/>
      <c r="V1854" s="72"/>
      <c r="Y1854" s="72"/>
      <c r="AB1854" s="72"/>
      <c r="AE1854" s="72"/>
      <c r="AH1854" s="72"/>
      <c r="AK1854" s="72"/>
      <c r="AN1854" s="72"/>
      <c r="AQ1854" s="72"/>
      <c r="AT1854" s="72"/>
      <c r="AW1854" s="72"/>
      <c r="AZ1854" s="72"/>
    </row>
    <row r="1855" spans="1:52">
      <c r="A1855" s="131"/>
      <c r="B1855" s="72"/>
      <c r="D1855" s="72"/>
      <c r="G1855" s="72"/>
      <c r="J1855" s="72"/>
      <c r="M1855" s="72"/>
      <c r="P1855" s="72"/>
      <c r="S1855" s="72"/>
      <c r="V1855" s="72"/>
      <c r="Y1855" s="72"/>
      <c r="AB1855" s="72"/>
      <c r="AE1855" s="72"/>
      <c r="AH1855" s="72"/>
      <c r="AK1855" s="72"/>
      <c r="AN1855" s="72"/>
      <c r="AQ1855" s="72"/>
      <c r="AT1855" s="72"/>
      <c r="AW1855" s="72"/>
      <c r="AZ1855" s="72"/>
    </row>
    <row r="1856" spans="1:52">
      <c r="A1856" s="131"/>
      <c r="B1856" s="72"/>
      <c r="D1856" s="72"/>
      <c r="G1856" s="72"/>
      <c r="J1856" s="72"/>
      <c r="M1856" s="72"/>
      <c r="P1856" s="72"/>
      <c r="S1856" s="72"/>
      <c r="V1856" s="72"/>
      <c r="Y1856" s="72"/>
      <c r="AB1856" s="72"/>
      <c r="AE1856" s="72"/>
      <c r="AH1856" s="72"/>
      <c r="AK1856" s="72"/>
      <c r="AN1856" s="72"/>
      <c r="AQ1856" s="72"/>
      <c r="AT1856" s="72"/>
      <c r="AW1856" s="72"/>
      <c r="AZ1856" s="72"/>
    </row>
    <row r="1857" spans="1:52">
      <c r="A1857" s="131"/>
      <c r="B1857" s="72"/>
      <c r="D1857" s="72"/>
      <c r="G1857" s="72"/>
      <c r="J1857" s="72"/>
      <c r="M1857" s="72"/>
      <c r="P1857" s="72"/>
      <c r="S1857" s="72"/>
      <c r="V1857" s="72"/>
      <c r="Y1857" s="72"/>
      <c r="AB1857" s="72"/>
      <c r="AE1857" s="72"/>
      <c r="AH1857" s="72"/>
      <c r="AK1857" s="72"/>
      <c r="AN1857" s="72"/>
      <c r="AQ1857" s="72"/>
      <c r="AT1857" s="72"/>
      <c r="AW1857" s="72"/>
      <c r="AZ1857" s="72"/>
    </row>
    <row r="1858" spans="1:52">
      <c r="A1858" s="131"/>
      <c r="B1858" s="72"/>
      <c r="D1858" s="72"/>
      <c r="G1858" s="72"/>
      <c r="J1858" s="72"/>
      <c r="M1858" s="72"/>
      <c r="P1858" s="72"/>
      <c r="S1858" s="72"/>
      <c r="V1858" s="72"/>
      <c r="Y1858" s="72"/>
      <c r="AB1858" s="72"/>
      <c r="AE1858" s="72"/>
      <c r="AH1858" s="72"/>
      <c r="AK1858" s="72"/>
      <c r="AN1858" s="72"/>
      <c r="AQ1858" s="72"/>
      <c r="AT1858" s="72"/>
      <c r="AW1858" s="72"/>
      <c r="AZ1858" s="72"/>
    </row>
    <row r="1859" spans="1:52">
      <c r="A1859" s="131"/>
      <c r="B1859" s="72"/>
      <c r="D1859" s="72"/>
      <c r="G1859" s="72"/>
      <c r="J1859" s="72"/>
      <c r="M1859" s="72"/>
      <c r="P1859" s="72"/>
      <c r="S1859" s="72"/>
      <c r="V1859" s="72"/>
      <c r="Y1859" s="72"/>
      <c r="AB1859" s="72"/>
      <c r="AE1859" s="72"/>
      <c r="AH1859" s="72"/>
      <c r="AK1859" s="72"/>
      <c r="AN1859" s="72"/>
      <c r="AQ1859" s="72"/>
      <c r="AT1859" s="72"/>
      <c r="AW1859" s="72"/>
      <c r="AZ1859" s="72"/>
    </row>
    <row r="1860" spans="1:52">
      <c r="A1860" s="131"/>
      <c r="B1860" s="72"/>
      <c r="D1860" s="72"/>
      <c r="G1860" s="72"/>
      <c r="J1860" s="72"/>
      <c r="M1860" s="72"/>
      <c r="P1860" s="72"/>
      <c r="S1860" s="72"/>
      <c r="V1860" s="72"/>
      <c r="Y1860" s="72"/>
      <c r="AB1860" s="72"/>
      <c r="AE1860" s="72"/>
      <c r="AH1860" s="72"/>
      <c r="AK1860" s="72"/>
      <c r="AN1860" s="72"/>
      <c r="AQ1860" s="72"/>
      <c r="AT1860" s="72"/>
      <c r="AW1860" s="72"/>
      <c r="AZ1860" s="72"/>
    </row>
    <row r="1861" spans="1:52">
      <c r="A1861" s="131"/>
      <c r="B1861" s="72"/>
      <c r="D1861" s="72"/>
      <c r="G1861" s="72"/>
      <c r="J1861" s="72"/>
      <c r="M1861" s="72"/>
      <c r="P1861" s="72"/>
      <c r="S1861" s="72"/>
      <c r="V1861" s="72"/>
      <c r="Y1861" s="72"/>
      <c r="AB1861" s="72"/>
      <c r="AE1861" s="72"/>
      <c r="AH1861" s="72"/>
      <c r="AK1861" s="72"/>
      <c r="AN1861" s="72"/>
      <c r="AQ1861" s="72"/>
      <c r="AT1861" s="72"/>
      <c r="AW1861" s="72"/>
      <c r="AZ1861" s="72"/>
    </row>
    <row r="1862" spans="1:52">
      <c r="A1862" s="131"/>
      <c r="B1862" s="72"/>
      <c r="D1862" s="72"/>
      <c r="G1862" s="72"/>
      <c r="J1862" s="72"/>
      <c r="M1862" s="72"/>
      <c r="P1862" s="72"/>
      <c r="S1862" s="72"/>
      <c r="V1862" s="72"/>
      <c r="Y1862" s="72"/>
      <c r="AB1862" s="72"/>
      <c r="AE1862" s="72"/>
      <c r="AH1862" s="72"/>
      <c r="AK1862" s="72"/>
      <c r="AN1862" s="72"/>
      <c r="AQ1862" s="72"/>
      <c r="AT1862" s="72"/>
      <c r="AW1862" s="72"/>
      <c r="AZ1862" s="72"/>
    </row>
    <row r="1863" spans="1:52">
      <c r="A1863" s="131"/>
      <c r="B1863" s="72"/>
      <c r="D1863" s="72"/>
      <c r="G1863" s="72"/>
      <c r="J1863" s="72"/>
      <c r="M1863" s="72"/>
      <c r="P1863" s="72"/>
      <c r="S1863" s="72"/>
      <c r="V1863" s="72"/>
      <c r="Y1863" s="72"/>
      <c r="AB1863" s="72"/>
      <c r="AE1863" s="72"/>
      <c r="AH1863" s="72"/>
      <c r="AK1863" s="72"/>
      <c r="AN1863" s="72"/>
      <c r="AQ1863" s="72"/>
      <c r="AT1863" s="72"/>
      <c r="AW1863" s="72"/>
      <c r="AZ1863" s="72"/>
    </row>
    <row r="1864" spans="1:52">
      <c r="A1864" s="131"/>
      <c r="B1864" s="72"/>
      <c r="D1864" s="72"/>
      <c r="G1864" s="72"/>
      <c r="J1864" s="72"/>
      <c r="M1864" s="72"/>
      <c r="P1864" s="72"/>
      <c r="S1864" s="72"/>
      <c r="V1864" s="72"/>
      <c r="Y1864" s="72"/>
      <c r="AB1864" s="72"/>
      <c r="AE1864" s="72"/>
      <c r="AH1864" s="72"/>
      <c r="AK1864" s="72"/>
      <c r="AN1864" s="72"/>
      <c r="AQ1864" s="72"/>
      <c r="AT1864" s="72"/>
      <c r="AW1864" s="72"/>
      <c r="AZ1864" s="72"/>
    </row>
    <row r="1865" spans="1:52">
      <c r="A1865" s="131"/>
      <c r="B1865" s="72"/>
      <c r="D1865" s="72"/>
      <c r="G1865" s="72"/>
      <c r="J1865" s="72"/>
      <c r="M1865" s="72"/>
      <c r="P1865" s="72"/>
      <c r="S1865" s="72"/>
      <c r="V1865" s="72"/>
      <c r="Y1865" s="72"/>
      <c r="AB1865" s="72"/>
      <c r="AE1865" s="72"/>
      <c r="AH1865" s="72"/>
      <c r="AK1865" s="72"/>
      <c r="AN1865" s="72"/>
      <c r="AQ1865" s="72"/>
      <c r="AT1865" s="72"/>
      <c r="AW1865" s="72"/>
      <c r="AZ1865" s="72"/>
    </row>
    <row r="1866" spans="1:52">
      <c r="A1866" s="131"/>
      <c r="B1866" s="72"/>
      <c r="D1866" s="72"/>
      <c r="G1866" s="72"/>
      <c r="J1866" s="72"/>
      <c r="M1866" s="72"/>
      <c r="P1866" s="72"/>
      <c r="S1866" s="72"/>
      <c r="V1866" s="72"/>
      <c r="Y1866" s="72"/>
      <c r="AB1866" s="72"/>
      <c r="AE1866" s="72"/>
      <c r="AH1866" s="72"/>
      <c r="AK1866" s="72"/>
      <c r="AN1866" s="72"/>
      <c r="AQ1866" s="72"/>
      <c r="AT1866" s="72"/>
      <c r="AW1866" s="72"/>
      <c r="AZ1866" s="72"/>
    </row>
    <row r="1867" spans="1:52">
      <c r="A1867" s="131"/>
      <c r="B1867" s="72"/>
      <c r="D1867" s="72"/>
      <c r="G1867" s="72"/>
      <c r="J1867" s="72"/>
      <c r="M1867" s="72"/>
      <c r="P1867" s="72"/>
      <c r="S1867" s="72"/>
      <c r="V1867" s="72"/>
      <c r="Y1867" s="72"/>
      <c r="AB1867" s="72"/>
      <c r="AE1867" s="72"/>
      <c r="AH1867" s="72"/>
      <c r="AK1867" s="72"/>
      <c r="AN1867" s="72"/>
      <c r="AQ1867" s="72"/>
      <c r="AT1867" s="72"/>
      <c r="AW1867" s="72"/>
      <c r="AZ1867" s="72"/>
    </row>
    <row r="1868" spans="1:52">
      <c r="A1868" s="131"/>
      <c r="B1868" s="72"/>
      <c r="D1868" s="72"/>
      <c r="G1868" s="72"/>
      <c r="J1868" s="72"/>
      <c r="M1868" s="72"/>
      <c r="P1868" s="72"/>
      <c r="S1868" s="72"/>
      <c r="V1868" s="72"/>
      <c r="Y1868" s="72"/>
      <c r="AB1868" s="72"/>
      <c r="AE1868" s="72"/>
      <c r="AH1868" s="72"/>
      <c r="AK1868" s="72"/>
      <c r="AN1868" s="72"/>
      <c r="AQ1868" s="72"/>
      <c r="AT1868" s="72"/>
      <c r="AW1868" s="72"/>
      <c r="AZ1868" s="72"/>
    </row>
    <row r="1869" spans="1:52">
      <c r="A1869" s="131"/>
      <c r="B1869" s="72"/>
      <c r="D1869" s="72"/>
      <c r="G1869" s="72"/>
      <c r="J1869" s="72"/>
      <c r="M1869" s="72"/>
      <c r="P1869" s="72"/>
      <c r="S1869" s="72"/>
      <c r="V1869" s="72"/>
      <c r="Y1869" s="72"/>
      <c r="AB1869" s="72"/>
      <c r="AE1869" s="72"/>
      <c r="AH1869" s="72"/>
      <c r="AK1869" s="72"/>
      <c r="AN1869" s="72"/>
      <c r="AQ1869" s="72"/>
      <c r="AT1869" s="72"/>
      <c r="AW1869" s="72"/>
      <c r="AZ1869" s="72"/>
    </row>
    <row r="1870" spans="1:52">
      <c r="A1870" s="131"/>
      <c r="B1870" s="72"/>
      <c r="D1870" s="72"/>
      <c r="G1870" s="72"/>
      <c r="J1870" s="72"/>
      <c r="M1870" s="72"/>
      <c r="P1870" s="72"/>
      <c r="S1870" s="72"/>
      <c r="V1870" s="72"/>
      <c r="Y1870" s="72"/>
      <c r="AB1870" s="72"/>
      <c r="AE1870" s="72"/>
      <c r="AH1870" s="72"/>
      <c r="AK1870" s="72"/>
      <c r="AN1870" s="72"/>
      <c r="AQ1870" s="72"/>
      <c r="AT1870" s="72"/>
      <c r="AW1870" s="72"/>
      <c r="AZ1870" s="72"/>
    </row>
    <row r="1871" spans="1:52">
      <c r="A1871" s="131"/>
      <c r="B1871" s="72"/>
      <c r="D1871" s="72"/>
      <c r="G1871" s="72"/>
      <c r="J1871" s="72"/>
      <c r="M1871" s="72"/>
      <c r="P1871" s="72"/>
      <c r="S1871" s="72"/>
      <c r="V1871" s="72"/>
      <c r="Y1871" s="72"/>
      <c r="AB1871" s="72"/>
      <c r="AE1871" s="72"/>
      <c r="AH1871" s="72"/>
      <c r="AK1871" s="72"/>
      <c r="AN1871" s="72"/>
      <c r="AQ1871" s="72"/>
      <c r="AT1871" s="72"/>
      <c r="AW1871" s="72"/>
      <c r="AZ1871" s="72"/>
    </row>
    <row r="1872" spans="1:52">
      <c r="A1872" s="131"/>
      <c r="B1872" s="72"/>
      <c r="D1872" s="72"/>
      <c r="G1872" s="72"/>
      <c r="J1872" s="72"/>
      <c r="M1872" s="72"/>
      <c r="P1872" s="72"/>
      <c r="S1872" s="72"/>
      <c r="V1872" s="72"/>
      <c r="Y1872" s="72"/>
      <c r="AB1872" s="72"/>
      <c r="AE1872" s="72"/>
      <c r="AH1872" s="72"/>
      <c r="AK1872" s="72"/>
      <c r="AN1872" s="72"/>
      <c r="AQ1872" s="72"/>
      <c r="AT1872" s="72"/>
      <c r="AW1872" s="72"/>
      <c r="AZ1872" s="72"/>
    </row>
    <row r="1873" spans="1:52">
      <c r="A1873" s="131"/>
      <c r="B1873" s="72"/>
      <c r="D1873" s="72"/>
      <c r="G1873" s="72"/>
      <c r="J1873" s="72"/>
      <c r="M1873" s="72"/>
      <c r="P1873" s="72"/>
      <c r="S1873" s="72"/>
      <c r="V1873" s="72"/>
      <c r="Y1873" s="72"/>
      <c r="AB1873" s="72"/>
      <c r="AE1873" s="72"/>
      <c r="AH1873" s="72"/>
      <c r="AK1873" s="72"/>
      <c r="AN1873" s="72"/>
      <c r="AQ1873" s="72"/>
      <c r="AT1873" s="72"/>
      <c r="AW1873" s="72"/>
      <c r="AZ1873" s="72"/>
    </row>
    <row r="1874" spans="1:52">
      <c r="A1874" s="131"/>
      <c r="B1874" s="72"/>
      <c r="D1874" s="72"/>
      <c r="G1874" s="72"/>
      <c r="J1874" s="72"/>
      <c r="M1874" s="72"/>
      <c r="P1874" s="72"/>
      <c r="S1874" s="72"/>
      <c r="V1874" s="72"/>
      <c r="Y1874" s="72"/>
      <c r="AB1874" s="72"/>
      <c r="AE1874" s="72"/>
      <c r="AH1874" s="72"/>
      <c r="AK1874" s="72"/>
      <c r="AN1874" s="72"/>
      <c r="AQ1874" s="72"/>
      <c r="AT1874" s="72"/>
      <c r="AW1874" s="72"/>
      <c r="AZ1874" s="72"/>
    </row>
    <row r="1875" spans="1:52">
      <c r="A1875" s="131"/>
      <c r="B1875" s="72"/>
      <c r="D1875" s="72"/>
      <c r="G1875" s="72"/>
      <c r="J1875" s="72"/>
      <c r="M1875" s="72"/>
      <c r="P1875" s="72"/>
      <c r="S1875" s="72"/>
      <c r="V1875" s="72"/>
      <c r="Y1875" s="72"/>
      <c r="AB1875" s="72"/>
      <c r="AE1875" s="72"/>
      <c r="AH1875" s="72"/>
      <c r="AK1875" s="72"/>
      <c r="AN1875" s="72"/>
      <c r="AQ1875" s="72"/>
      <c r="AT1875" s="72"/>
      <c r="AW1875" s="72"/>
      <c r="AZ1875" s="72"/>
    </row>
    <row r="1876" spans="1:52">
      <c r="A1876" s="131"/>
      <c r="B1876" s="72"/>
      <c r="D1876" s="72"/>
      <c r="G1876" s="72"/>
      <c r="J1876" s="72"/>
      <c r="M1876" s="72"/>
      <c r="P1876" s="72"/>
      <c r="S1876" s="72"/>
      <c r="V1876" s="72"/>
      <c r="Y1876" s="72"/>
      <c r="AB1876" s="72"/>
      <c r="AE1876" s="72"/>
      <c r="AH1876" s="72"/>
      <c r="AK1876" s="72"/>
      <c r="AN1876" s="72"/>
      <c r="AQ1876" s="72"/>
      <c r="AT1876" s="72"/>
      <c r="AW1876" s="72"/>
      <c r="AZ1876" s="72"/>
    </row>
    <row r="1877" spans="1:52">
      <c r="A1877" s="131"/>
      <c r="B1877" s="72"/>
      <c r="D1877" s="72"/>
      <c r="G1877" s="72"/>
      <c r="J1877" s="72"/>
      <c r="M1877" s="72"/>
      <c r="P1877" s="72"/>
      <c r="S1877" s="72"/>
      <c r="V1877" s="72"/>
      <c r="Y1877" s="72"/>
      <c r="AB1877" s="72"/>
      <c r="AE1877" s="72"/>
      <c r="AH1877" s="72"/>
      <c r="AK1877" s="72"/>
      <c r="AN1877" s="72"/>
      <c r="AQ1877" s="72"/>
      <c r="AT1877" s="72"/>
      <c r="AW1877" s="72"/>
      <c r="AZ1877" s="72"/>
    </row>
    <row r="1878" spans="1:52">
      <c r="A1878" s="131"/>
      <c r="B1878" s="72"/>
      <c r="D1878" s="72"/>
      <c r="G1878" s="72"/>
      <c r="J1878" s="72"/>
      <c r="M1878" s="72"/>
      <c r="P1878" s="72"/>
      <c r="S1878" s="72"/>
      <c r="V1878" s="72"/>
      <c r="Y1878" s="72"/>
      <c r="AB1878" s="72"/>
      <c r="AE1878" s="72"/>
      <c r="AH1878" s="72"/>
      <c r="AK1878" s="72"/>
      <c r="AN1878" s="72"/>
      <c r="AQ1878" s="72"/>
      <c r="AT1878" s="72"/>
      <c r="AW1878" s="72"/>
      <c r="AZ1878" s="72"/>
    </row>
    <row r="1879" spans="1:52">
      <c r="A1879" s="131"/>
      <c r="B1879" s="72"/>
      <c r="D1879" s="72"/>
      <c r="G1879" s="72"/>
      <c r="J1879" s="72"/>
      <c r="M1879" s="72"/>
      <c r="P1879" s="72"/>
      <c r="S1879" s="72"/>
      <c r="V1879" s="72"/>
      <c r="Y1879" s="72"/>
      <c r="AB1879" s="72"/>
      <c r="AE1879" s="72"/>
      <c r="AH1879" s="72"/>
      <c r="AK1879" s="72"/>
      <c r="AN1879" s="72"/>
      <c r="AQ1879" s="72"/>
      <c r="AT1879" s="72"/>
      <c r="AW1879" s="72"/>
      <c r="AZ1879" s="72"/>
    </row>
    <row r="1880" spans="1:52">
      <c r="A1880" s="131"/>
      <c r="B1880" s="72"/>
      <c r="D1880" s="72"/>
      <c r="G1880" s="72"/>
      <c r="J1880" s="72"/>
      <c r="M1880" s="72"/>
      <c r="P1880" s="72"/>
      <c r="S1880" s="72"/>
      <c r="V1880" s="72"/>
      <c r="Y1880" s="72"/>
      <c r="AB1880" s="72"/>
      <c r="AE1880" s="72"/>
      <c r="AH1880" s="72"/>
      <c r="AK1880" s="72"/>
      <c r="AN1880" s="72"/>
      <c r="AQ1880" s="72"/>
      <c r="AT1880" s="72"/>
      <c r="AW1880" s="72"/>
      <c r="AZ1880" s="72"/>
    </row>
    <row r="1881" spans="1:52">
      <c r="A1881" s="131"/>
      <c r="B1881" s="72"/>
      <c r="D1881" s="72"/>
      <c r="G1881" s="72"/>
      <c r="J1881" s="72"/>
      <c r="M1881" s="72"/>
      <c r="P1881" s="72"/>
      <c r="S1881" s="72"/>
      <c r="V1881" s="72"/>
      <c r="Y1881" s="72"/>
      <c r="AB1881" s="72"/>
      <c r="AE1881" s="72"/>
      <c r="AH1881" s="72"/>
      <c r="AK1881" s="72"/>
      <c r="AN1881" s="72"/>
      <c r="AQ1881" s="72"/>
      <c r="AT1881" s="72"/>
      <c r="AW1881" s="72"/>
      <c r="AZ1881" s="72"/>
    </row>
    <row r="1882" spans="1:52">
      <c r="A1882" s="131"/>
      <c r="B1882" s="72"/>
      <c r="D1882" s="72"/>
      <c r="G1882" s="72"/>
      <c r="J1882" s="72"/>
      <c r="M1882" s="72"/>
      <c r="P1882" s="72"/>
      <c r="S1882" s="72"/>
      <c r="V1882" s="72"/>
      <c r="Y1882" s="72"/>
      <c r="AB1882" s="72"/>
      <c r="AE1882" s="72"/>
      <c r="AH1882" s="72"/>
      <c r="AK1882" s="72"/>
      <c r="AN1882" s="72"/>
      <c r="AQ1882" s="72"/>
      <c r="AT1882" s="72"/>
      <c r="AW1882" s="72"/>
      <c r="AZ1882" s="72"/>
    </row>
    <row r="1883" spans="1:52">
      <c r="A1883" s="131"/>
      <c r="B1883" s="72"/>
      <c r="D1883" s="72"/>
      <c r="G1883" s="72"/>
      <c r="J1883" s="72"/>
      <c r="M1883" s="72"/>
      <c r="P1883" s="72"/>
      <c r="S1883" s="72"/>
      <c r="V1883" s="72"/>
      <c r="Y1883" s="72"/>
      <c r="AB1883" s="72"/>
      <c r="AE1883" s="72"/>
      <c r="AH1883" s="72"/>
      <c r="AK1883" s="72"/>
      <c r="AN1883" s="72"/>
      <c r="AQ1883" s="72"/>
      <c r="AT1883" s="72"/>
      <c r="AW1883" s="72"/>
      <c r="AZ1883" s="72"/>
    </row>
    <row r="1884" spans="1:52">
      <c r="A1884" s="131"/>
      <c r="B1884" s="72"/>
      <c r="D1884" s="72"/>
      <c r="G1884" s="72"/>
      <c r="J1884" s="72"/>
      <c r="M1884" s="72"/>
      <c r="P1884" s="72"/>
      <c r="S1884" s="72"/>
      <c r="V1884" s="72"/>
      <c r="Y1884" s="72"/>
      <c r="AB1884" s="72"/>
      <c r="AE1884" s="72"/>
      <c r="AH1884" s="72"/>
      <c r="AK1884" s="72"/>
      <c r="AN1884" s="72"/>
      <c r="AQ1884" s="72"/>
      <c r="AT1884" s="72"/>
      <c r="AW1884" s="72"/>
      <c r="AZ1884" s="72"/>
    </row>
    <row r="1885" spans="1:52">
      <c r="A1885" s="131"/>
      <c r="B1885" s="72"/>
      <c r="D1885" s="72"/>
      <c r="G1885" s="72"/>
      <c r="J1885" s="72"/>
      <c r="M1885" s="72"/>
      <c r="P1885" s="72"/>
      <c r="S1885" s="72"/>
      <c r="V1885" s="72"/>
      <c r="Y1885" s="72"/>
      <c r="AB1885" s="72"/>
      <c r="AE1885" s="72"/>
      <c r="AH1885" s="72"/>
      <c r="AK1885" s="72"/>
      <c r="AN1885" s="72"/>
      <c r="AQ1885" s="72"/>
      <c r="AT1885" s="72"/>
      <c r="AW1885" s="72"/>
      <c r="AZ1885" s="72"/>
    </row>
    <row r="1886" spans="1:52">
      <c r="A1886" s="131"/>
      <c r="B1886" s="72"/>
      <c r="D1886" s="72"/>
      <c r="G1886" s="72"/>
      <c r="J1886" s="72"/>
      <c r="M1886" s="72"/>
      <c r="P1886" s="72"/>
      <c r="S1886" s="72"/>
      <c r="V1886" s="72"/>
      <c r="Y1886" s="72"/>
      <c r="AB1886" s="72"/>
      <c r="AE1886" s="72"/>
      <c r="AH1886" s="72"/>
      <c r="AK1886" s="72"/>
      <c r="AN1886" s="72"/>
      <c r="AQ1886" s="72"/>
      <c r="AT1886" s="72"/>
      <c r="AW1886" s="72"/>
      <c r="AZ1886" s="72"/>
    </row>
    <row r="1887" spans="1:52">
      <c r="A1887" s="131"/>
      <c r="B1887" s="72"/>
      <c r="D1887" s="72"/>
      <c r="G1887" s="72"/>
      <c r="J1887" s="72"/>
      <c r="M1887" s="72"/>
      <c r="P1887" s="72"/>
      <c r="S1887" s="72"/>
      <c r="V1887" s="72"/>
      <c r="Y1887" s="72"/>
      <c r="AB1887" s="72"/>
      <c r="AE1887" s="72"/>
      <c r="AH1887" s="72"/>
      <c r="AK1887" s="72"/>
      <c r="AN1887" s="72"/>
      <c r="AQ1887" s="72"/>
      <c r="AT1887" s="72"/>
      <c r="AW1887" s="72"/>
      <c r="AZ1887" s="72"/>
    </row>
    <row r="1888" spans="1:52">
      <c r="A1888" s="131"/>
      <c r="B1888" s="72"/>
      <c r="D1888" s="72"/>
      <c r="G1888" s="72"/>
      <c r="J1888" s="72"/>
      <c r="M1888" s="72"/>
      <c r="P1888" s="72"/>
      <c r="S1888" s="72"/>
      <c r="V1888" s="72"/>
      <c r="Y1888" s="72"/>
      <c r="AB1888" s="72"/>
      <c r="AE1888" s="72"/>
      <c r="AH1888" s="72"/>
      <c r="AK1888" s="72"/>
      <c r="AN1888" s="72"/>
      <c r="AQ1888" s="72"/>
      <c r="AT1888" s="72"/>
      <c r="AW1888" s="72"/>
      <c r="AZ1888" s="72"/>
    </row>
    <row r="1889" spans="1:52">
      <c r="A1889" s="131"/>
      <c r="B1889" s="72"/>
      <c r="D1889" s="72"/>
      <c r="G1889" s="72"/>
      <c r="J1889" s="72"/>
      <c r="M1889" s="72"/>
      <c r="P1889" s="72"/>
      <c r="S1889" s="72"/>
      <c r="V1889" s="72"/>
      <c r="Y1889" s="72"/>
      <c r="AB1889" s="72"/>
      <c r="AE1889" s="72"/>
      <c r="AH1889" s="72"/>
      <c r="AK1889" s="72"/>
      <c r="AN1889" s="72"/>
      <c r="AQ1889" s="72"/>
      <c r="AT1889" s="72"/>
      <c r="AW1889" s="72"/>
      <c r="AZ1889" s="72"/>
    </row>
    <row r="1890" spans="1:52">
      <c r="A1890" s="131"/>
      <c r="B1890" s="72"/>
      <c r="D1890" s="72"/>
      <c r="G1890" s="72"/>
      <c r="J1890" s="72"/>
      <c r="M1890" s="72"/>
      <c r="P1890" s="72"/>
      <c r="S1890" s="72"/>
      <c r="V1890" s="72"/>
      <c r="Y1890" s="72"/>
      <c r="AB1890" s="72"/>
      <c r="AE1890" s="72"/>
      <c r="AH1890" s="72"/>
      <c r="AK1890" s="72"/>
      <c r="AN1890" s="72"/>
      <c r="AQ1890" s="72"/>
      <c r="AT1890" s="72"/>
      <c r="AW1890" s="72"/>
      <c r="AZ1890" s="72"/>
    </row>
    <row r="1891" spans="1:52">
      <c r="A1891" s="131"/>
      <c r="B1891" s="72"/>
      <c r="D1891" s="72"/>
      <c r="G1891" s="72"/>
      <c r="J1891" s="72"/>
      <c r="M1891" s="72"/>
      <c r="P1891" s="72"/>
      <c r="S1891" s="72"/>
      <c r="V1891" s="72"/>
      <c r="Y1891" s="72"/>
      <c r="AB1891" s="72"/>
      <c r="AE1891" s="72"/>
      <c r="AH1891" s="72"/>
      <c r="AK1891" s="72"/>
      <c r="AN1891" s="72"/>
      <c r="AQ1891" s="72"/>
      <c r="AT1891" s="72"/>
      <c r="AW1891" s="72"/>
      <c r="AZ1891" s="72"/>
    </row>
    <row r="1892" spans="1:52">
      <c r="A1892" s="131"/>
      <c r="B1892" s="72"/>
      <c r="D1892" s="72"/>
      <c r="G1892" s="72"/>
      <c r="J1892" s="72"/>
      <c r="M1892" s="72"/>
      <c r="P1892" s="72"/>
      <c r="S1892" s="72"/>
      <c r="V1892" s="72"/>
      <c r="Y1892" s="72"/>
      <c r="AB1892" s="72"/>
      <c r="AE1892" s="72"/>
      <c r="AH1892" s="72"/>
      <c r="AK1892" s="72"/>
      <c r="AN1892" s="72"/>
      <c r="AQ1892" s="72"/>
      <c r="AT1892" s="72"/>
      <c r="AW1892" s="72"/>
      <c r="AZ1892" s="72"/>
    </row>
    <row r="1893" spans="1:52">
      <c r="A1893" s="131"/>
      <c r="B1893" s="72"/>
      <c r="D1893" s="72"/>
      <c r="G1893" s="72"/>
      <c r="J1893" s="72"/>
      <c r="M1893" s="72"/>
      <c r="P1893" s="72"/>
      <c r="S1893" s="72"/>
      <c r="V1893" s="72"/>
      <c r="Y1893" s="72"/>
      <c r="AB1893" s="72"/>
      <c r="AE1893" s="72"/>
      <c r="AH1893" s="72"/>
      <c r="AK1893" s="72"/>
      <c r="AN1893" s="72"/>
      <c r="AQ1893" s="72"/>
      <c r="AT1893" s="72"/>
      <c r="AW1893" s="72"/>
      <c r="AZ1893" s="72"/>
    </row>
    <row r="1894" spans="1:52">
      <c r="A1894" s="131"/>
      <c r="B1894" s="72"/>
      <c r="D1894" s="72"/>
      <c r="G1894" s="72"/>
      <c r="J1894" s="72"/>
      <c r="M1894" s="72"/>
      <c r="P1894" s="72"/>
      <c r="S1894" s="72"/>
      <c r="V1894" s="72"/>
      <c r="Y1894" s="72"/>
      <c r="AB1894" s="72"/>
      <c r="AE1894" s="72"/>
      <c r="AH1894" s="72"/>
      <c r="AK1894" s="72"/>
      <c r="AN1894" s="72"/>
      <c r="AQ1894" s="72"/>
      <c r="AT1894" s="72"/>
      <c r="AW1894" s="72"/>
      <c r="AZ1894" s="72"/>
    </row>
    <row r="1895" spans="1:52">
      <c r="A1895" s="131"/>
      <c r="B1895" s="72"/>
      <c r="D1895" s="72"/>
      <c r="G1895" s="72"/>
      <c r="J1895" s="72"/>
      <c r="M1895" s="72"/>
      <c r="P1895" s="72"/>
      <c r="S1895" s="72"/>
      <c r="V1895" s="72"/>
      <c r="Y1895" s="72"/>
      <c r="AB1895" s="72"/>
      <c r="AE1895" s="72"/>
      <c r="AH1895" s="72"/>
      <c r="AK1895" s="72"/>
      <c r="AN1895" s="72"/>
      <c r="AQ1895" s="72"/>
      <c r="AT1895" s="72"/>
      <c r="AW1895" s="72"/>
      <c r="AZ1895" s="72"/>
    </row>
    <row r="1896" spans="1:52">
      <c r="A1896" s="131"/>
      <c r="B1896" s="72"/>
      <c r="D1896" s="72"/>
      <c r="G1896" s="72"/>
      <c r="J1896" s="72"/>
      <c r="M1896" s="72"/>
      <c r="P1896" s="72"/>
      <c r="S1896" s="72"/>
      <c r="V1896" s="72"/>
      <c r="Y1896" s="72"/>
      <c r="AB1896" s="72"/>
      <c r="AE1896" s="72"/>
      <c r="AH1896" s="72"/>
      <c r="AK1896" s="72"/>
      <c r="AN1896" s="72"/>
      <c r="AQ1896" s="72"/>
      <c r="AT1896" s="72"/>
      <c r="AW1896" s="72"/>
      <c r="AZ1896" s="72"/>
    </row>
    <row r="1897" spans="1:52">
      <c r="A1897" s="131"/>
      <c r="B1897" s="72"/>
      <c r="D1897" s="72"/>
      <c r="G1897" s="72"/>
      <c r="J1897" s="72"/>
      <c r="M1897" s="72"/>
      <c r="P1897" s="72"/>
      <c r="S1897" s="72"/>
      <c r="V1897" s="72"/>
      <c r="Y1897" s="72"/>
      <c r="AB1897" s="72"/>
      <c r="AE1897" s="72"/>
      <c r="AH1897" s="72"/>
      <c r="AK1897" s="72"/>
      <c r="AN1897" s="72"/>
      <c r="AQ1897" s="72"/>
      <c r="AT1897" s="72"/>
      <c r="AW1897" s="72"/>
      <c r="AZ1897" s="72"/>
    </row>
    <row r="1898" spans="1:52">
      <c r="A1898" s="131"/>
      <c r="B1898" s="72"/>
      <c r="D1898" s="72"/>
      <c r="G1898" s="72"/>
      <c r="J1898" s="72"/>
      <c r="M1898" s="72"/>
      <c r="P1898" s="72"/>
      <c r="S1898" s="72"/>
      <c r="V1898" s="72"/>
      <c r="Y1898" s="72"/>
      <c r="AB1898" s="72"/>
      <c r="AE1898" s="72"/>
      <c r="AH1898" s="72"/>
      <c r="AK1898" s="72"/>
      <c r="AN1898" s="72"/>
      <c r="AQ1898" s="72"/>
      <c r="AT1898" s="72"/>
      <c r="AW1898" s="72"/>
      <c r="AZ1898" s="72"/>
    </row>
    <row r="1899" spans="1:52">
      <c r="A1899" s="131"/>
      <c r="B1899" s="72"/>
      <c r="D1899" s="72"/>
      <c r="G1899" s="72"/>
      <c r="J1899" s="72"/>
      <c r="M1899" s="72"/>
      <c r="P1899" s="72"/>
      <c r="S1899" s="72"/>
      <c r="V1899" s="72"/>
      <c r="Y1899" s="72"/>
      <c r="AB1899" s="72"/>
      <c r="AE1899" s="72"/>
      <c r="AH1899" s="72"/>
      <c r="AK1899" s="72"/>
      <c r="AN1899" s="72"/>
      <c r="AQ1899" s="72"/>
      <c r="AT1899" s="72"/>
      <c r="AW1899" s="72"/>
      <c r="AZ1899" s="72"/>
    </row>
    <row r="1900" spans="1:52">
      <c r="A1900" s="131"/>
      <c r="B1900" s="72"/>
      <c r="D1900" s="72"/>
      <c r="G1900" s="72"/>
      <c r="J1900" s="72"/>
      <c r="M1900" s="72"/>
      <c r="P1900" s="72"/>
      <c r="S1900" s="72"/>
      <c r="V1900" s="72"/>
      <c r="Y1900" s="72"/>
      <c r="AB1900" s="72"/>
      <c r="AE1900" s="72"/>
      <c r="AH1900" s="72"/>
      <c r="AK1900" s="72"/>
      <c r="AN1900" s="72"/>
      <c r="AQ1900" s="72"/>
      <c r="AT1900" s="72"/>
      <c r="AW1900" s="72"/>
      <c r="AZ1900" s="72"/>
    </row>
    <row r="1901" spans="1:52">
      <c r="A1901" s="131"/>
      <c r="B1901" s="72"/>
      <c r="D1901" s="72"/>
      <c r="G1901" s="72"/>
      <c r="J1901" s="72"/>
      <c r="M1901" s="72"/>
      <c r="P1901" s="72"/>
      <c r="S1901" s="72"/>
      <c r="V1901" s="72"/>
      <c r="Y1901" s="72"/>
      <c r="AB1901" s="72"/>
      <c r="AE1901" s="72"/>
      <c r="AH1901" s="72"/>
      <c r="AK1901" s="72"/>
      <c r="AN1901" s="72"/>
      <c r="AQ1901" s="72"/>
      <c r="AT1901" s="72"/>
      <c r="AW1901" s="72"/>
      <c r="AZ1901" s="72"/>
    </row>
    <row r="1902" spans="1:52">
      <c r="A1902" s="131"/>
      <c r="B1902" s="72"/>
      <c r="D1902" s="72"/>
      <c r="G1902" s="72"/>
      <c r="J1902" s="72"/>
      <c r="M1902" s="72"/>
      <c r="P1902" s="72"/>
      <c r="S1902" s="72"/>
      <c r="V1902" s="72"/>
      <c r="Y1902" s="72"/>
      <c r="AB1902" s="72"/>
      <c r="AE1902" s="72"/>
      <c r="AH1902" s="72"/>
      <c r="AK1902" s="72"/>
      <c r="AN1902" s="72"/>
      <c r="AQ1902" s="72"/>
      <c r="AT1902" s="72"/>
      <c r="AW1902" s="72"/>
      <c r="AZ1902" s="72"/>
    </row>
    <row r="1903" spans="1:52">
      <c r="A1903" s="131"/>
      <c r="B1903" s="72"/>
      <c r="D1903" s="72"/>
      <c r="G1903" s="72"/>
      <c r="J1903" s="72"/>
      <c r="M1903" s="72"/>
      <c r="P1903" s="72"/>
      <c r="S1903" s="72"/>
      <c r="V1903" s="72"/>
      <c r="Y1903" s="72"/>
      <c r="AB1903" s="72"/>
      <c r="AE1903" s="72"/>
      <c r="AH1903" s="72"/>
      <c r="AK1903" s="72"/>
      <c r="AN1903" s="72"/>
      <c r="AQ1903" s="72"/>
      <c r="AT1903" s="72"/>
      <c r="AW1903" s="72"/>
      <c r="AZ1903" s="72"/>
    </row>
    <row r="1904" spans="1:52">
      <c r="A1904" s="131"/>
      <c r="B1904" s="72"/>
      <c r="D1904" s="72"/>
      <c r="G1904" s="72"/>
      <c r="J1904" s="72"/>
      <c r="M1904" s="72"/>
      <c r="P1904" s="72"/>
      <c r="S1904" s="72"/>
      <c r="V1904" s="72"/>
      <c r="Y1904" s="72"/>
      <c r="AB1904" s="72"/>
      <c r="AE1904" s="72"/>
      <c r="AH1904" s="72"/>
      <c r="AK1904" s="72"/>
      <c r="AN1904" s="72"/>
      <c r="AQ1904" s="72"/>
      <c r="AT1904" s="72"/>
      <c r="AW1904" s="72"/>
      <c r="AZ1904" s="72"/>
    </row>
    <row r="1905" spans="1:52">
      <c r="A1905" s="131"/>
      <c r="B1905" s="72"/>
      <c r="D1905" s="72"/>
      <c r="G1905" s="72"/>
      <c r="J1905" s="72"/>
      <c r="M1905" s="72"/>
      <c r="P1905" s="72"/>
      <c r="S1905" s="72"/>
      <c r="V1905" s="72"/>
      <c r="Y1905" s="72"/>
      <c r="AB1905" s="72"/>
      <c r="AE1905" s="72"/>
      <c r="AH1905" s="72"/>
      <c r="AK1905" s="72"/>
      <c r="AN1905" s="72"/>
      <c r="AQ1905" s="72"/>
      <c r="AT1905" s="72"/>
      <c r="AW1905" s="72"/>
      <c r="AZ1905" s="72"/>
    </row>
    <row r="1906" spans="1:52">
      <c r="A1906" s="131"/>
      <c r="B1906" s="72"/>
      <c r="D1906" s="72"/>
      <c r="G1906" s="72"/>
      <c r="J1906" s="72"/>
      <c r="M1906" s="72"/>
      <c r="P1906" s="72"/>
      <c r="S1906" s="72"/>
      <c r="V1906" s="72"/>
      <c r="Y1906" s="72"/>
      <c r="AB1906" s="72"/>
      <c r="AE1906" s="72"/>
      <c r="AH1906" s="72"/>
      <c r="AK1906" s="72"/>
      <c r="AN1906" s="72"/>
      <c r="AQ1906" s="72"/>
      <c r="AT1906" s="72"/>
      <c r="AW1906" s="72"/>
      <c r="AZ1906" s="72"/>
    </row>
    <row r="1907" spans="1:52">
      <c r="A1907" s="131"/>
      <c r="B1907" s="72"/>
      <c r="D1907" s="72"/>
      <c r="G1907" s="72"/>
      <c r="J1907" s="72"/>
      <c r="M1907" s="72"/>
      <c r="P1907" s="72"/>
      <c r="S1907" s="72"/>
      <c r="V1907" s="72"/>
      <c r="Y1907" s="72"/>
      <c r="AB1907" s="72"/>
      <c r="AE1907" s="72"/>
      <c r="AH1907" s="72"/>
      <c r="AK1907" s="72"/>
      <c r="AN1907" s="72"/>
      <c r="AQ1907" s="72"/>
      <c r="AT1907" s="72"/>
      <c r="AW1907" s="72"/>
      <c r="AZ1907" s="72"/>
    </row>
    <row r="1908" spans="1:52">
      <c r="A1908" s="131"/>
      <c r="B1908" s="72"/>
      <c r="D1908" s="72"/>
      <c r="G1908" s="72"/>
      <c r="J1908" s="72"/>
      <c r="M1908" s="72"/>
      <c r="P1908" s="72"/>
      <c r="S1908" s="72"/>
      <c r="V1908" s="72"/>
      <c r="Y1908" s="72"/>
      <c r="AB1908" s="72"/>
      <c r="AE1908" s="72"/>
      <c r="AH1908" s="72"/>
      <c r="AK1908" s="72"/>
      <c r="AN1908" s="72"/>
      <c r="AQ1908" s="72"/>
      <c r="AT1908" s="72"/>
      <c r="AW1908" s="72"/>
      <c r="AZ1908" s="72"/>
    </row>
    <row r="1909" spans="1:52">
      <c r="A1909" s="131"/>
      <c r="B1909" s="72"/>
      <c r="D1909" s="72"/>
      <c r="G1909" s="72"/>
      <c r="J1909" s="72"/>
      <c r="M1909" s="72"/>
      <c r="P1909" s="72"/>
      <c r="S1909" s="72"/>
      <c r="V1909" s="72"/>
      <c r="Y1909" s="72"/>
      <c r="AB1909" s="72"/>
      <c r="AE1909" s="72"/>
      <c r="AH1909" s="72"/>
      <c r="AK1909" s="72"/>
      <c r="AN1909" s="72"/>
      <c r="AQ1909" s="72"/>
      <c r="AT1909" s="72"/>
      <c r="AW1909" s="72"/>
      <c r="AZ1909" s="72"/>
    </row>
    <row r="1910" spans="1:52">
      <c r="A1910" s="131"/>
      <c r="B1910" s="72"/>
      <c r="D1910" s="72"/>
      <c r="G1910" s="72"/>
      <c r="J1910" s="72"/>
      <c r="M1910" s="72"/>
      <c r="P1910" s="72"/>
      <c r="S1910" s="72"/>
      <c r="V1910" s="72"/>
      <c r="Y1910" s="72"/>
      <c r="AB1910" s="72"/>
      <c r="AE1910" s="72"/>
      <c r="AH1910" s="72"/>
      <c r="AK1910" s="72"/>
      <c r="AN1910" s="72"/>
      <c r="AQ1910" s="72"/>
      <c r="AT1910" s="72"/>
      <c r="AW1910" s="72"/>
      <c r="AZ1910" s="72"/>
    </row>
    <row r="1911" spans="1:52">
      <c r="A1911" s="131"/>
      <c r="B1911" s="72"/>
      <c r="D1911" s="72"/>
      <c r="G1911" s="72"/>
      <c r="J1911" s="72"/>
      <c r="M1911" s="72"/>
      <c r="P1911" s="72"/>
      <c r="S1911" s="72"/>
      <c r="V1911" s="72"/>
      <c r="Y1911" s="72"/>
      <c r="AB1911" s="72"/>
      <c r="AE1911" s="72"/>
      <c r="AH1911" s="72"/>
      <c r="AK1911" s="72"/>
      <c r="AN1911" s="72"/>
      <c r="AQ1911" s="72"/>
      <c r="AT1911" s="72"/>
      <c r="AW1911" s="72"/>
      <c r="AZ1911" s="72"/>
    </row>
    <row r="1912" spans="1:52">
      <c r="A1912" s="131"/>
      <c r="B1912" s="72"/>
      <c r="D1912" s="72"/>
      <c r="G1912" s="72"/>
      <c r="J1912" s="72"/>
      <c r="M1912" s="72"/>
      <c r="P1912" s="72"/>
      <c r="S1912" s="72"/>
      <c r="V1912" s="72"/>
      <c r="Y1912" s="72"/>
      <c r="AB1912" s="72"/>
      <c r="AE1912" s="72"/>
      <c r="AH1912" s="72"/>
      <c r="AK1912" s="72"/>
      <c r="AN1912" s="72"/>
      <c r="AQ1912" s="72"/>
      <c r="AT1912" s="72"/>
      <c r="AW1912" s="72"/>
      <c r="AZ1912" s="72"/>
    </row>
    <row r="1913" spans="1:52">
      <c r="A1913" s="131"/>
      <c r="B1913" s="72"/>
      <c r="D1913" s="72"/>
      <c r="G1913" s="72"/>
      <c r="J1913" s="72"/>
      <c r="M1913" s="72"/>
      <c r="P1913" s="72"/>
      <c r="S1913" s="72"/>
      <c r="V1913" s="72"/>
      <c r="Y1913" s="72"/>
      <c r="AB1913" s="72"/>
      <c r="AE1913" s="72"/>
      <c r="AH1913" s="72"/>
      <c r="AK1913" s="72"/>
      <c r="AN1913" s="72"/>
      <c r="AQ1913" s="72"/>
      <c r="AT1913" s="72"/>
      <c r="AW1913" s="72"/>
      <c r="AZ1913" s="72"/>
    </row>
    <row r="1914" spans="1:52">
      <c r="A1914" s="131"/>
      <c r="B1914" s="72"/>
      <c r="D1914" s="72"/>
      <c r="G1914" s="72"/>
      <c r="J1914" s="72"/>
      <c r="M1914" s="72"/>
      <c r="P1914" s="72"/>
      <c r="S1914" s="72"/>
      <c r="V1914" s="72"/>
      <c r="Y1914" s="72"/>
      <c r="AB1914" s="72"/>
      <c r="AE1914" s="72"/>
      <c r="AH1914" s="72"/>
      <c r="AK1914" s="72"/>
      <c r="AN1914" s="72"/>
      <c r="AQ1914" s="72"/>
      <c r="AT1914" s="72"/>
      <c r="AW1914" s="72"/>
      <c r="AZ1914" s="72"/>
    </row>
    <row r="1915" spans="1:52">
      <c r="A1915" s="131"/>
      <c r="B1915" s="72"/>
      <c r="D1915" s="72"/>
      <c r="G1915" s="72"/>
      <c r="J1915" s="72"/>
      <c r="M1915" s="72"/>
      <c r="P1915" s="72"/>
      <c r="S1915" s="72"/>
      <c r="V1915" s="72"/>
      <c r="Y1915" s="72"/>
      <c r="AB1915" s="72"/>
      <c r="AE1915" s="72"/>
      <c r="AH1915" s="72"/>
      <c r="AK1915" s="72"/>
      <c r="AN1915" s="72"/>
      <c r="AQ1915" s="72"/>
      <c r="AT1915" s="72"/>
      <c r="AW1915" s="72"/>
      <c r="AZ1915" s="72"/>
    </row>
    <row r="1916" spans="1:52">
      <c r="A1916" s="131"/>
      <c r="B1916" s="72"/>
      <c r="D1916" s="72"/>
      <c r="G1916" s="72"/>
      <c r="J1916" s="72"/>
      <c r="M1916" s="72"/>
      <c r="P1916" s="72"/>
      <c r="S1916" s="72"/>
      <c r="V1916" s="72"/>
      <c r="Y1916" s="72"/>
      <c r="AB1916" s="72"/>
      <c r="AE1916" s="72"/>
      <c r="AH1916" s="72"/>
      <c r="AK1916" s="72"/>
      <c r="AN1916" s="72"/>
      <c r="AQ1916" s="72"/>
      <c r="AT1916" s="72"/>
      <c r="AW1916" s="72"/>
      <c r="AZ1916" s="72"/>
    </row>
    <row r="1917" spans="1:52">
      <c r="A1917" s="131"/>
      <c r="B1917" s="72"/>
      <c r="D1917" s="72"/>
      <c r="G1917" s="72"/>
      <c r="J1917" s="72"/>
      <c r="M1917" s="72"/>
      <c r="P1917" s="72"/>
      <c r="S1917" s="72"/>
      <c r="V1917" s="72"/>
      <c r="Y1917" s="72"/>
      <c r="AB1917" s="72"/>
      <c r="AE1917" s="72"/>
      <c r="AH1917" s="72"/>
      <c r="AK1917" s="72"/>
      <c r="AN1917" s="72"/>
      <c r="AQ1917" s="72"/>
      <c r="AT1917" s="72"/>
      <c r="AW1917" s="72"/>
      <c r="AZ1917" s="72"/>
    </row>
    <row r="1918" spans="1:52">
      <c r="A1918" s="131"/>
      <c r="B1918" s="72"/>
      <c r="D1918" s="72"/>
      <c r="G1918" s="72"/>
      <c r="J1918" s="72"/>
      <c r="M1918" s="72"/>
      <c r="P1918" s="72"/>
      <c r="S1918" s="72"/>
      <c r="V1918" s="72"/>
      <c r="Y1918" s="72"/>
      <c r="AB1918" s="72"/>
      <c r="AE1918" s="72"/>
      <c r="AH1918" s="72"/>
      <c r="AK1918" s="72"/>
      <c r="AN1918" s="72"/>
      <c r="AQ1918" s="72"/>
      <c r="AT1918" s="72"/>
      <c r="AW1918" s="72"/>
      <c r="AZ1918" s="72"/>
    </row>
    <row r="1919" spans="1:52">
      <c r="A1919" s="131"/>
      <c r="B1919" s="72"/>
      <c r="D1919" s="72"/>
      <c r="G1919" s="72"/>
      <c r="J1919" s="72"/>
      <c r="M1919" s="72"/>
      <c r="P1919" s="72"/>
      <c r="S1919" s="72"/>
      <c r="V1919" s="72"/>
      <c r="Y1919" s="72"/>
      <c r="AB1919" s="72"/>
      <c r="AE1919" s="72"/>
      <c r="AH1919" s="72"/>
      <c r="AK1919" s="72"/>
      <c r="AN1919" s="72"/>
      <c r="AQ1919" s="72"/>
      <c r="AT1919" s="72"/>
      <c r="AW1919" s="72"/>
      <c r="AZ1919" s="72"/>
    </row>
    <row r="1920" spans="1:52">
      <c r="A1920" s="131"/>
      <c r="B1920" s="72"/>
      <c r="D1920" s="72"/>
      <c r="G1920" s="72"/>
      <c r="J1920" s="72"/>
      <c r="M1920" s="72"/>
      <c r="P1920" s="72"/>
      <c r="S1920" s="72"/>
      <c r="V1920" s="72"/>
      <c r="Y1920" s="72"/>
      <c r="AB1920" s="72"/>
      <c r="AE1920" s="72"/>
      <c r="AH1920" s="72"/>
      <c r="AK1920" s="72"/>
      <c r="AN1920" s="72"/>
      <c r="AQ1920" s="72"/>
      <c r="AT1920" s="72"/>
      <c r="AW1920" s="72"/>
      <c r="AZ1920" s="72"/>
    </row>
    <row r="1921" spans="1:52">
      <c r="A1921" s="131"/>
      <c r="B1921" s="72"/>
      <c r="D1921" s="72"/>
      <c r="G1921" s="72"/>
      <c r="J1921" s="72"/>
      <c r="M1921" s="72"/>
      <c r="P1921" s="72"/>
      <c r="S1921" s="72"/>
      <c r="V1921" s="72"/>
      <c r="Y1921" s="72"/>
      <c r="AB1921" s="72"/>
      <c r="AE1921" s="72"/>
      <c r="AH1921" s="72"/>
      <c r="AK1921" s="72"/>
      <c r="AN1921" s="72"/>
      <c r="AQ1921" s="72"/>
      <c r="AT1921" s="72"/>
      <c r="AW1921" s="72"/>
      <c r="AZ1921" s="72"/>
    </row>
    <row r="1922" spans="1:52">
      <c r="A1922" s="131"/>
      <c r="B1922" s="72"/>
      <c r="D1922" s="72"/>
      <c r="G1922" s="72"/>
      <c r="J1922" s="72"/>
      <c r="M1922" s="72"/>
      <c r="P1922" s="72"/>
      <c r="S1922" s="72"/>
      <c r="V1922" s="72"/>
      <c r="Y1922" s="72"/>
      <c r="AB1922" s="72"/>
      <c r="AE1922" s="72"/>
      <c r="AH1922" s="72"/>
      <c r="AK1922" s="72"/>
      <c r="AN1922" s="72"/>
      <c r="AQ1922" s="72"/>
      <c r="AT1922" s="72"/>
      <c r="AW1922" s="72"/>
      <c r="AZ1922" s="72"/>
    </row>
    <row r="1923" spans="1:52">
      <c r="A1923" s="131"/>
      <c r="B1923" s="72"/>
      <c r="D1923" s="72"/>
      <c r="G1923" s="72"/>
      <c r="J1923" s="72"/>
      <c r="M1923" s="72"/>
      <c r="P1923" s="72"/>
      <c r="S1923" s="72"/>
      <c r="V1923" s="72"/>
      <c r="Y1923" s="72"/>
      <c r="AB1923" s="72"/>
      <c r="AE1923" s="72"/>
      <c r="AH1923" s="72"/>
      <c r="AK1923" s="72"/>
      <c r="AN1923" s="72"/>
      <c r="AQ1923" s="72"/>
      <c r="AT1923" s="72"/>
      <c r="AW1923" s="72"/>
      <c r="AZ1923" s="72"/>
    </row>
    <row r="1924" spans="1:52">
      <c r="A1924" s="131"/>
      <c r="B1924" s="72"/>
      <c r="D1924" s="72"/>
      <c r="G1924" s="72"/>
      <c r="J1924" s="72"/>
      <c r="M1924" s="72"/>
      <c r="P1924" s="72"/>
      <c r="S1924" s="72"/>
      <c r="V1924" s="72"/>
      <c r="Y1924" s="72"/>
      <c r="AB1924" s="72"/>
      <c r="AE1924" s="72"/>
      <c r="AH1924" s="72"/>
      <c r="AK1924" s="72"/>
      <c r="AN1924" s="72"/>
      <c r="AQ1924" s="72"/>
      <c r="AT1924" s="72"/>
      <c r="AW1924" s="72"/>
      <c r="AZ1924" s="72"/>
    </row>
    <row r="1925" spans="1:52">
      <c r="A1925" s="131"/>
      <c r="B1925" s="72"/>
      <c r="D1925" s="72"/>
      <c r="G1925" s="72"/>
      <c r="J1925" s="72"/>
      <c r="M1925" s="72"/>
      <c r="P1925" s="72"/>
      <c r="S1925" s="72"/>
      <c r="V1925" s="72"/>
      <c r="Y1925" s="72"/>
      <c r="AB1925" s="72"/>
      <c r="AE1925" s="72"/>
      <c r="AH1925" s="72"/>
      <c r="AK1925" s="72"/>
      <c r="AN1925" s="72"/>
      <c r="AQ1925" s="72"/>
      <c r="AT1925" s="72"/>
      <c r="AW1925" s="72"/>
      <c r="AZ1925" s="72"/>
    </row>
    <row r="1926" spans="1:52">
      <c r="A1926" s="131"/>
      <c r="B1926" s="72"/>
      <c r="D1926" s="72"/>
      <c r="G1926" s="72"/>
      <c r="J1926" s="72"/>
      <c r="M1926" s="72"/>
      <c r="P1926" s="72"/>
      <c r="S1926" s="72"/>
      <c r="V1926" s="72"/>
      <c r="Y1926" s="72"/>
      <c r="AB1926" s="72"/>
      <c r="AE1926" s="72"/>
      <c r="AH1926" s="72"/>
      <c r="AK1926" s="72"/>
      <c r="AN1926" s="72"/>
      <c r="AQ1926" s="72"/>
      <c r="AT1926" s="72"/>
      <c r="AW1926" s="72"/>
      <c r="AZ1926" s="72"/>
    </row>
    <row r="1927" spans="1:52">
      <c r="A1927" s="131"/>
      <c r="B1927" s="72"/>
      <c r="D1927" s="72"/>
      <c r="G1927" s="72"/>
      <c r="J1927" s="72"/>
      <c r="M1927" s="72"/>
      <c r="P1927" s="72"/>
      <c r="S1927" s="72"/>
      <c r="V1927" s="72"/>
      <c r="Y1927" s="72"/>
      <c r="AB1927" s="72"/>
      <c r="AE1927" s="72"/>
      <c r="AH1927" s="72"/>
      <c r="AK1927" s="72"/>
      <c r="AN1927" s="72"/>
      <c r="AQ1927" s="72"/>
      <c r="AT1927" s="72"/>
      <c r="AW1927" s="72"/>
      <c r="AZ1927" s="72"/>
    </row>
    <row r="1928" spans="1:52">
      <c r="A1928" s="131"/>
      <c r="B1928" s="72"/>
      <c r="D1928" s="72"/>
      <c r="G1928" s="72"/>
      <c r="J1928" s="72"/>
      <c r="M1928" s="72"/>
      <c r="P1928" s="72"/>
      <c r="S1928" s="72"/>
      <c r="V1928" s="72"/>
      <c r="Y1928" s="72"/>
      <c r="AB1928" s="72"/>
      <c r="AE1928" s="72"/>
      <c r="AH1928" s="72"/>
      <c r="AK1928" s="72"/>
      <c r="AN1928" s="72"/>
      <c r="AQ1928" s="72"/>
      <c r="AT1928" s="72"/>
      <c r="AW1928" s="72"/>
      <c r="AZ1928" s="72"/>
    </row>
    <row r="1929" spans="1:52">
      <c r="A1929" s="131"/>
      <c r="B1929" s="72"/>
      <c r="D1929" s="72"/>
      <c r="G1929" s="72"/>
      <c r="J1929" s="72"/>
      <c r="M1929" s="72"/>
      <c r="P1929" s="72"/>
      <c r="S1929" s="72"/>
      <c r="V1929" s="72"/>
      <c r="Y1929" s="72"/>
      <c r="AB1929" s="72"/>
      <c r="AE1929" s="72"/>
      <c r="AH1929" s="72"/>
      <c r="AK1929" s="72"/>
      <c r="AN1929" s="72"/>
      <c r="AQ1929" s="72"/>
      <c r="AT1929" s="72"/>
      <c r="AW1929" s="72"/>
      <c r="AZ1929" s="72"/>
    </row>
    <row r="1930" spans="1:52">
      <c r="A1930" s="131"/>
      <c r="B1930" s="72"/>
      <c r="D1930" s="72"/>
      <c r="G1930" s="72"/>
      <c r="J1930" s="72"/>
      <c r="M1930" s="72"/>
      <c r="P1930" s="72"/>
      <c r="S1930" s="72"/>
      <c r="V1930" s="72"/>
      <c r="Y1930" s="72"/>
      <c r="AB1930" s="72"/>
      <c r="AE1930" s="72"/>
      <c r="AH1930" s="72"/>
      <c r="AK1930" s="72"/>
      <c r="AN1930" s="72"/>
      <c r="AQ1930" s="72"/>
      <c r="AT1930" s="72"/>
      <c r="AW1930" s="72"/>
      <c r="AZ1930" s="72"/>
    </row>
    <row r="1931" spans="1:52">
      <c r="A1931" s="131"/>
      <c r="B1931" s="72"/>
      <c r="D1931" s="72"/>
      <c r="G1931" s="72"/>
      <c r="J1931" s="72"/>
      <c r="M1931" s="72"/>
      <c r="P1931" s="72"/>
      <c r="S1931" s="72"/>
      <c r="V1931" s="72"/>
      <c r="Y1931" s="72"/>
      <c r="AB1931" s="72"/>
      <c r="AE1931" s="72"/>
      <c r="AH1931" s="72"/>
      <c r="AK1931" s="72"/>
      <c r="AN1931" s="72"/>
      <c r="AQ1931" s="72"/>
      <c r="AT1931" s="72"/>
      <c r="AW1931" s="72"/>
      <c r="AZ1931" s="72"/>
    </row>
    <row r="1932" spans="1:52">
      <c r="A1932" s="131"/>
      <c r="B1932" s="72"/>
      <c r="D1932" s="72"/>
      <c r="G1932" s="72"/>
      <c r="J1932" s="72"/>
      <c r="M1932" s="72"/>
      <c r="P1932" s="72"/>
      <c r="S1932" s="72"/>
      <c r="V1932" s="72"/>
      <c r="Y1932" s="72"/>
      <c r="AB1932" s="72"/>
      <c r="AE1932" s="72"/>
      <c r="AH1932" s="72"/>
      <c r="AK1932" s="72"/>
      <c r="AN1932" s="72"/>
      <c r="AQ1932" s="72"/>
      <c r="AT1932" s="72"/>
      <c r="AW1932" s="72"/>
      <c r="AZ1932" s="72"/>
    </row>
    <row r="1933" spans="1:52">
      <c r="A1933" s="131"/>
      <c r="B1933" s="72"/>
      <c r="D1933" s="72"/>
      <c r="G1933" s="72"/>
      <c r="J1933" s="72"/>
      <c r="M1933" s="72"/>
      <c r="P1933" s="72"/>
      <c r="S1933" s="72"/>
      <c r="V1933" s="72"/>
      <c r="Y1933" s="72"/>
      <c r="AB1933" s="72"/>
      <c r="AE1933" s="72"/>
      <c r="AH1933" s="72"/>
      <c r="AK1933" s="72"/>
      <c r="AN1933" s="72"/>
      <c r="AQ1933" s="72"/>
      <c r="AT1933" s="72"/>
      <c r="AW1933" s="72"/>
      <c r="AZ1933" s="72"/>
    </row>
    <row r="1934" spans="1:52">
      <c r="A1934" s="131"/>
      <c r="B1934" s="72"/>
      <c r="D1934" s="72"/>
      <c r="G1934" s="72"/>
      <c r="J1934" s="72"/>
      <c r="M1934" s="72"/>
      <c r="P1934" s="72"/>
      <c r="S1934" s="72"/>
      <c r="V1934" s="72"/>
      <c r="Y1934" s="72"/>
      <c r="AB1934" s="72"/>
      <c r="AE1934" s="72"/>
      <c r="AH1934" s="72"/>
      <c r="AK1934" s="72"/>
      <c r="AN1934" s="72"/>
      <c r="AQ1934" s="72"/>
      <c r="AT1934" s="72"/>
      <c r="AW1934" s="72"/>
      <c r="AZ1934" s="72"/>
    </row>
    <row r="1935" spans="1:52">
      <c r="A1935" s="131"/>
      <c r="B1935" s="72"/>
      <c r="D1935" s="72"/>
      <c r="G1935" s="72"/>
      <c r="J1935" s="72"/>
      <c r="M1935" s="72"/>
      <c r="P1935" s="72"/>
      <c r="S1935" s="72"/>
      <c r="V1935" s="72"/>
      <c r="Y1935" s="72"/>
      <c r="AB1935" s="72"/>
      <c r="AE1935" s="72"/>
      <c r="AH1935" s="72"/>
      <c r="AK1935" s="72"/>
      <c r="AN1935" s="72"/>
      <c r="AQ1935" s="72"/>
      <c r="AT1935" s="72"/>
      <c r="AW1935" s="72"/>
      <c r="AZ1935" s="72"/>
    </row>
    <row r="1936" spans="1:52">
      <c r="A1936" s="131"/>
      <c r="B1936" s="72"/>
      <c r="D1936" s="72"/>
      <c r="G1936" s="72"/>
      <c r="J1936" s="72"/>
      <c r="M1936" s="72"/>
      <c r="P1936" s="72"/>
      <c r="S1936" s="72"/>
      <c r="V1936" s="72"/>
      <c r="Y1936" s="72"/>
      <c r="AB1936" s="72"/>
      <c r="AE1936" s="72"/>
      <c r="AH1936" s="72"/>
      <c r="AK1936" s="72"/>
      <c r="AN1936" s="72"/>
      <c r="AQ1936" s="72"/>
      <c r="AT1936" s="72"/>
      <c r="AW1936" s="72"/>
      <c r="AZ1936" s="72"/>
    </row>
    <row r="1937" spans="1:52">
      <c r="A1937" s="131"/>
      <c r="B1937" s="72"/>
      <c r="D1937" s="72"/>
      <c r="G1937" s="72"/>
      <c r="J1937" s="72"/>
      <c r="M1937" s="72"/>
      <c r="P1937" s="72"/>
      <c r="S1937" s="72"/>
      <c r="V1937" s="72"/>
      <c r="Y1937" s="72"/>
      <c r="AB1937" s="72"/>
      <c r="AE1937" s="72"/>
      <c r="AH1937" s="72"/>
      <c r="AK1937" s="72"/>
      <c r="AN1937" s="72"/>
      <c r="AQ1937" s="72"/>
      <c r="AT1937" s="72"/>
      <c r="AW1937" s="72"/>
      <c r="AZ1937" s="72"/>
    </row>
    <row r="1938" spans="1:52">
      <c r="A1938" s="131"/>
      <c r="B1938" s="72"/>
      <c r="D1938" s="72"/>
      <c r="G1938" s="72"/>
      <c r="J1938" s="72"/>
      <c r="M1938" s="72"/>
      <c r="P1938" s="72"/>
      <c r="S1938" s="72"/>
      <c r="V1938" s="72"/>
      <c r="Y1938" s="72"/>
      <c r="AB1938" s="72"/>
      <c r="AE1938" s="72"/>
      <c r="AH1938" s="72"/>
      <c r="AK1938" s="72"/>
      <c r="AN1938" s="72"/>
      <c r="AQ1938" s="72"/>
      <c r="AT1938" s="72"/>
      <c r="AW1938" s="72"/>
      <c r="AZ1938" s="72"/>
    </row>
    <row r="1939" spans="1:52">
      <c r="A1939" s="131"/>
      <c r="B1939" s="72"/>
      <c r="D1939" s="72"/>
      <c r="G1939" s="72"/>
      <c r="J1939" s="72"/>
      <c r="M1939" s="72"/>
      <c r="P1939" s="72"/>
      <c r="S1939" s="72"/>
      <c r="V1939" s="72"/>
      <c r="Y1939" s="72"/>
      <c r="AB1939" s="72"/>
      <c r="AE1939" s="72"/>
      <c r="AH1939" s="72"/>
      <c r="AK1939" s="72"/>
      <c r="AN1939" s="72"/>
      <c r="AQ1939" s="72"/>
      <c r="AT1939" s="72"/>
      <c r="AW1939" s="72"/>
      <c r="AZ1939" s="72"/>
    </row>
    <row r="1940" spans="1:52">
      <c r="A1940" s="131"/>
      <c r="B1940" s="72"/>
      <c r="D1940" s="72"/>
      <c r="G1940" s="72"/>
      <c r="J1940" s="72"/>
      <c r="M1940" s="72"/>
      <c r="P1940" s="72"/>
      <c r="S1940" s="72"/>
      <c r="V1940" s="72"/>
      <c r="Y1940" s="72"/>
      <c r="AB1940" s="72"/>
      <c r="AE1940" s="72"/>
      <c r="AH1940" s="72"/>
      <c r="AK1940" s="72"/>
      <c r="AN1940" s="72"/>
      <c r="AQ1940" s="72"/>
      <c r="AT1940" s="72"/>
      <c r="AW1940" s="72"/>
      <c r="AZ1940" s="72"/>
    </row>
    <row r="1941" spans="1:52">
      <c r="A1941" s="131"/>
      <c r="B1941" s="72"/>
      <c r="D1941" s="72"/>
      <c r="G1941" s="72"/>
      <c r="J1941" s="72"/>
      <c r="M1941" s="72"/>
      <c r="P1941" s="72"/>
      <c r="S1941" s="72"/>
      <c r="V1941" s="72"/>
      <c r="Y1941" s="72"/>
      <c r="AB1941" s="72"/>
      <c r="AE1941" s="72"/>
      <c r="AH1941" s="72"/>
      <c r="AK1941" s="72"/>
      <c r="AN1941" s="72"/>
      <c r="AQ1941" s="72"/>
      <c r="AT1941" s="72"/>
      <c r="AW1941" s="72"/>
      <c r="AZ1941" s="72"/>
    </row>
    <row r="1942" spans="1:52">
      <c r="A1942" s="131"/>
      <c r="B1942" s="72"/>
      <c r="D1942" s="72"/>
      <c r="G1942" s="72"/>
      <c r="J1942" s="72"/>
      <c r="M1942" s="72"/>
      <c r="P1942" s="72"/>
      <c r="S1942" s="72"/>
      <c r="V1942" s="72"/>
      <c r="Y1942" s="72"/>
      <c r="AB1942" s="72"/>
      <c r="AE1942" s="72"/>
      <c r="AH1942" s="72"/>
      <c r="AK1942" s="72"/>
      <c r="AN1942" s="72"/>
      <c r="AQ1942" s="72"/>
      <c r="AT1942" s="72"/>
      <c r="AW1942" s="72"/>
      <c r="AZ1942" s="72"/>
    </row>
    <row r="1943" spans="1:52">
      <c r="A1943" s="131"/>
      <c r="B1943" s="72"/>
      <c r="D1943" s="72"/>
      <c r="G1943" s="72"/>
      <c r="J1943" s="72"/>
      <c r="M1943" s="72"/>
      <c r="P1943" s="72"/>
      <c r="S1943" s="72"/>
      <c r="V1943" s="72"/>
      <c r="Y1943" s="72"/>
      <c r="AB1943" s="72"/>
      <c r="AE1943" s="72"/>
      <c r="AH1943" s="72"/>
      <c r="AK1943" s="72"/>
      <c r="AN1943" s="72"/>
      <c r="AQ1943" s="72"/>
      <c r="AT1943" s="72"/>
      <c r="AW1943" s="72"/>
      <c r="AZ1943" s="72"/>
    </row>
    <row r="1944" spans="1:52">
      <c r="A1944" s="131"/>
      <c r="B1944" s="72"/>
      <c r="D1944" s="72"/>
      <c r="G1944" s="72"/>
      <c r="J1944" s="72"/>
      <c r="M1944" s="72"/>
      <c r="P1944" s="72"/>
      <c r="S1944" s="72"/>
      <c r="V1944" s="72"/>
      <c r="Y1944" s="72"/>
      <c r="AB1944" s="72"/>
      <c r="AE1944" s="72"/>
      <c r="AH1944" s="72"/>
      <c r="AK1944" s="72"/>
      <c r="AN1944" s="72"/>
      <c r="AQ1944" s="72"/>
      <c r="AT1944" s="72"/>
      <c r="AW1944" s="72"/>
      <c r="AZ1944" s="72"/>
    </row>
    <row r="1945" spans="1:52">
      <c r="A1945" s="131"/>
      <c r="B1945" s="72"/>
      <c r="D1945" s="72"/>
      <c r="G1945" s="72"/>
      <c r="J1945" s="72"/>
      <c r="M1945" s="72"/>
      <c r="P1945" s="72"/>
      <c r="S1945" s="72"/>
      <c r="V1945" s="72"/>
      <c r="Y1945" s="72"/>
      <c r="AB1945" s="72"/>
      <c r="AE1945" s="72"/>
      <c r="AH1945" s="72"/>
      <c r="AK1945" s="72"/>
      <c r="AN1945" s="72"/>
      <c r="AQ1945" s="72"/>
      <c r="AT1945" s="72"/>
      <c r="AW1945" s="72"/>
      <c r="AZ1945" s="72"/>
    </row>
    <row r="1946" spans="1:52">
      <c r="A1946" s="131"/>
      <c r="B1946" s="72"/>
      <c r="D1946" s="72"/>
      <c r="G1946" s="72"/>
      <c r="J1946" s="72"/>
      <c r="M1946" s="72"/>
      <c r="P1946" s="72"/>
      <c r="S1946" s="72"/>
      <c r="V1946" s="72"/>
      <c r="Y1946" s="72"/>
      <c r="AB1946" s="72"/>
      <c r="AE1946" s="72"/>
      <c r="AH1946" s="72"/>
      <c r="AK1946" s="72"/>
      <c r="AN1946" s="72"/>
      <c r="AQ1946" s="72"/>
      <c r="AT1946" s="72"/>
      <c r="AW1946" s="72"/>
      <c r="AZ1946" s="72"/>
    </row>
    <row r="1947" spans="1:52">
      <c r="A1947" s="131"/>
      <c r="B1947" s="72"/>
      <c r="D1947" s="72"/>
      <c r="G1947" s="72"/>
      <c r="J1947" s="72"/>
      <c r="M1947" s="72"/>
      <c r="P1947" s="72"/>
      <c r="S1947" s="72"/>
      <c r="V1947" s="72"/>
      <c r="Y1947" s="72"/>
      <c r="AB1947" s="72"/>
      <c r="AE1947" s="72"/>
      <c r="AH1947" s="72"/>
      <c r="AK1947" s="72"/>
      <c r="AN1947" s="72"/>
      <c r="AQ1947" s="72"/>
      <c r="AT1947" s="72"/>
      <c r="AW1947" s="72"/>
      <c r="AZ1947" s="72"/>
    </row>
    <row r="1948" spans="1:52">
      <c r="A1948" s="131"/>
      <c r="B1948" s="72"/>
      <c r="D1948" s="72"/>
      <c r="G1948" s="72"/>
      <c r="J1948" s="72"/>
      <c r="M1948" s="72"/>
      <c r="P1948" s="72"/>
      <c r="S1948" s="72"/>
      <c r="V1948" s="72"/>
      <c r="Y1948" s="72"/>
      <c r="AB1948" s="72"/>
      <c r="AE1948" s="72"/>
      <c r="AH1948" s="72"/>
      <c r="AK1948" s="72"/>
      <c r="AN1948" s="72"/>
      <c r="AQ1948" s="72"/>
      <c r="AT1948" s="72"/>
      <c r="AW1948" s="72"/>
      <c r="AZ1948" s="72"/>
    </row>
    <row r="1949" spans="1:52">
      <c r="A1949" s="131"/>
      <c r="B1949" s="72"/>
      <c r="D1949" s="72"/>
      <c r="G1949" s="72"/>
      <c r="J1949" s="72"/>
      <c r="M1949" s="72"/>
      <c r="P1949" s="72"/>
      <c r="S1949" s="72"/>
      <c r="V1949" s="72"/>
      <c r="Y1949" s="72"/>
      <c r="AB1949" s="72"/>
      <c r="AE1949" s="72"/>
      <c r="AH1949" s="72"/>
      <c r="AK1949" s="72"/>
      <c r="AN1949" s="72"/>
      <c r="AQ1949" s="72"/>
      <c r="AT1949" s="72"/>
      <c r="AW1949" s="72"/>
      <c r="AZ1949" s="72"/>
    </row>
    <row r="1950" spans="1:52">
      <c r="A1950" s="131"/>
      <c r="B1950" s="72"/>
      <c r="D1950" s="72"/>
      <c r="G1950" s="72"/>
      <c r="J1950" s="72"/>
      <c r="M1950" s="72"/>
      <c r="P1950" s="72"/>
      <c r="S1950" s="72"/>
      <c r="V1950" s="72"/>
      <c r="Y1950" s="72"/>
      <c r="AB1950" s="72"/>
      <c r="AE1950" s="72"/>
      <c r="AH1950" s="72"/>
      <c r="AK1950" s="72"/>
      <c r="AN1950" s="72"/>
      <c r="AQ1950" s="72"/>
      <c r="AT1950" s="72"/>
      <c r="AW1950" s="72"/>
      <c r="AZ1950" s="72"/>
    </row>
    <row r="1951" spans="1:52">
      <c r="A1951" s="131"/>
      <c r="B1951" s="72"/>
      <c r="D1951" s="72"/>
      <c r="G1951" s="72"/>
      <c r="J1951" s="72"/>
      <c r="M1951" s="72"/>
      <c r="P1951" s="72"/>
      <c r="S1951" s="72"/>
      <c r="V1951" s="72"/>
      <c r="Y1951" s="72"/>
      <c r="AB1951" s="72"/>
      <c r="AE1951" s="72"/>
      <c r="AH1951" s="72"/>
      <c r="AK1951" s="72"/>
      <c r="AN1951" s="72"/>
      <c r="AQ1951" s="72"/>
      <c r="AT1951" s="72"/>
      <c r="AW1951" s="72"/>
      <c r="AZ1951" s="72"/>
    </row>
    <row r="1952" spans="1:52">
      <c r="A1952" s="131"/>
      <c r="B1952" s="72"/>
      <c r="D1952" s="72"/>
      <c r="G1952" s="72"/>
      <c r="J1952" s="72"/>
      <c r="M1952" s="72"/>
      <c r="P1952" s="72"/>
      <c r="S1952" s="72"/>
      <c r="V1952" s="72"/>
      <c r="Y1952" s="72"/>
      <c r="AB1952" s="72"/>
      <c r="AE1952" s="72"/>
      <c r="AH1952" s="72"/>
      <c r="AK1952" s="72"/>
      <c r="AN1952" s="72"/>
      <c r="AQ1952" s="72"/>
      <c r="AT1952" s="72"/>
      <c r="AW1952" s="72"/>
      <c r="AZ1952" s="72"/>
    </row>
    <row r="1953" spans="1:52">
      <c r="A1953" s="131"/>
      <c r="B1953" s="72"/>
      <c r="D1953" s="72"/>
      <c r="G1953" s="72"/>
      <c r="J1953" s="72"/>
      <c r="M1953" s="72"/>
      <c r="P1953" s="72"/>
      <c r="S1953" s="72"/>
      <c r="V1953" s="72"/>
      <c r="Y1953" s="72"/>
      <c r="AB1953" s="72"/>
      <c r="AE1953" s="72"/>
      <c r="AH1953" s="72"/>
      <c r="AK1953" s="72"/>
      <c r="AN1953" s="72"/>
      <c r="AQ1953" s="72"/>
      <c r="AT1953" s="72"/>
      <c r="AW1953" s="72"/>
      <c r="AZ1953" s="72"/>
    </row>
    <row r="1954" spans="1:52">
      <c r="A1954" s="131"/>
      <c r="B1954" s="72"/>
      <c r="D1954" s="72"/>
      <c r="G1954" s="72"/>
      <c r="J1954" s="72"/>
      <c r="M1954" s="72"/>
      <c r="P1954" s="72"/>
      <c r="S1954" s="72"/>
      <c r="V1954" s="72"/>
      <c r="Y1954" s="72"/>
      <c r="AB1954" s="72"/>
      <c r="AE1954" s="72"/>
      <c r="AH1954" s="72"/>
      <c r="AK1954" s="72"/>
      <c r="AN1954" s="72"/>
      <c r="AQ1954" s="72"/>
      <c r="AT1954" s="72"/>
      <c r="AW1954" s="72"/>
      <c r="AZ1954" s="72"/>
    </row>
    <row r="1955" spans="1:52">
      <c r="A1955" s="131"/>
      <c r="B1955" s="72"/>
      <c r="D1955" s="72"/>
      <c r="G1955" s="72"/>
      <c r="J1955" s="72"/>
      <c r="M1955" s="72"/>
      <c r="P1955" s="72"/>
      <c r="S1955" s="72"/>
      <c r="V1955" s="72"/>
      <c r="Y1955" s="72"/>
      <c r="AB1955" s="72"/>
      <c r="AE1955" s="72"/>
      <c r="AH1955" s="72"/>
      <c r="AK1955" s="72"/>
      <c r="AN1955" s="72"/>
      <c r="AQ1955" s="72"/>
      <c r="AT1955" s="72"/>
      <c r="AW1955" s="72"/>
      <c r="AZ1955" s="72"/>
    </row>
    <row r="1956" spans="1:52">
      <c r="A1956" s="131"/>
      <c r="B1956" s="72"/>
      <c r="D1956" s="72"/>
      <c r="G1956" s="72"/>
      <c r="J1956" s="72"/>
      <c r="M1956" s="72"/>
      <c r="P1956" s="72"/>
      <c r="S1956" s="72"/>
      <c r="V1956" s="72"/>
      <c r="Y1956" s="72"/>
      <c r="AB1956" s="72"/>
      <c r="AE1956" s="72"/>
      <c r="AH1956" s="72"/>
      <c r="AK1956" s="72"/>
      <c r="AN1956" s="72"/>
      <c r="AQ1956" s="72"/>
      <c r="AT1956" s="72"/>
      <c r="AW1956" s="72"/>
      <c r="AZ1956" s="72"/>
    </row>
    <row r="1957" spans="1:52">
      <c r="A1957" s="131"/>
      <c r="B1957" s="72"/>
      <c r="D1957" s="72"/>
      <c r="G1957" s="72"/>
      <c r="J1957" s="72"/>
      <c r="M1957" s="72"/>
      <c r="P1957" s="72"/>
      <c r="S1957" s="72"/>
      <c r="V1957" s="72"/>
      <c r="Y1957" s="72"/>
      <c r="AB1957" s="72"/>
      <c r="AE1957" s="72"/>
      <c r="AH1957" s="72"/>
      <c r="AK1957" s="72"/>
      <c r="AN1957" s="72"/>
      <c r="AQ1957" s="72"/>
      <c r="AT1957" s="72"/>
      <c r="AW1957" s="72"/>
      <c r="AZ1957" s="72"/>
    </row>
    <row r="1958" spans="1:52">
      <c r="A1958" s="131"/>
      <c r="B1958" s="72"/>
      <c r="D1958" s="72"/>
      <c r="G1958" s="72"/>
      <c r="J1958" s="72"/>
      <c r="M1958" s="72"/>
      <c r="P1958" s="72"/>
      <c r="S1958" s="72"/>
      <c r="V1958" s="72"/>
      <c r="Y1958" s="72"/>
      <c r="AB1958" s="72"/>
      <c r="AE1958" s="72"/>
      <c r="AH1958" s="72"/>
      <c r="AK1958" s="72"/>
      <c r="AN1958" s="72"/>
      <c r="AQ1958" s="72"/>
      <c r="AT1958" s="72"/>
      <c r="AW1958" s="72"/>
      <c r="AZ1958" s="72"/>
    </row>
    <row r="1959" spans="1:52">
      <c r="A1959" s="131"/>
      <c r="B1959" s="72"/>
      <c r="D1959" s="72"/>
      <c r="G1959" s="72"/>
      <c r="J1959" s="72"/>
      <c r="M1959" s="72"/>
      <c r="P1959" s="72"/>
      <c r="S1959" s="72"/>
      <c r="V1959" s="72"/>
      <c r="Y1959" s="72"/>
      <c r="AB1959" s="72"/>
      <c r="AE1959" s="72"/>
      <c r="AH1959" s="72"/>
      <c r="AK1959" s="72"/>
      <c r="AN1959" s="72"/>
      <c r="AQ1959" s="72"/>
      <c r="AT1959" s="72"/>
      <c r="AW1959" s="72"/>
      <c r="AZ1959" s="72"/>
    </row>
    <row r="1960" spans="1:52">
      <c r="A1960" s="131"/>
      <c r="B1960" s="72"/>
      <c r="D1960" s="72"/>
      <c r="G1960" s="72"/>
      <c r="J1960" s="72"/>
      <c r="M1960" s="72"/>
      <c r="P1960" s="72"/>
      <c r="S1960" s="72"/>
      <c r="V1960" s="72"/>
      <c r="Y1960" s="72"/>
      <c r="AB1960" s="72"/>
      <c r="AE1960" s="72"/>
      <c r="AH1960" s="72"/>
      <c r="AK1960" s="72"/>
      <c r="AN1960" s="72"/>
      <c r="AQ1960" s="72"/>
      <c r="AT1960" s="72"/>
      <c r="AW1960" s="72"/>
      <c r="AZ1960" s="72"/>
    </row>
    <row r="1961" spans="1:52">
      <c r="A1961" s="131"/>
      <c r="B1961" s="72"/>
      <c r="D1961" s="72"/>
      <c r="G1961" s="72"/>
      <c r="J1961" s="72"/>
      <c r="M1961" s="72"/>
      <c r="P1961" s="72"/>
      <c r="S1961" s="72"/>
      <c r="V1961" s="72"/>
      <c r="Y1961" s="72"/>
      <c r="AB1961" s="72"/>
      <c r="AE1961" s="72"/>
      <c r="AH1961" s="72"/>
      <c r="AK1961" s="72"/>
      <c r="AN1961" s="72"/>
      <c r="AQ1961" s="72"/>
      <c r="AT1961" s="72"/>
      <c r="AW1961" s="72"/>
      <c r="AZ1961" s="72"/>
    </row>
    <row r="1962" spans="1:52">
      <c r="A1962" s="131"/>
      <c r="B1962" s="72"/>
      <c r="D1962" s="72"/>
      <c r="G1962" s="72"/>
      <c r="J1962" s="72"/>
      <c r="M1962" s="72"/>
      <c r="P1962" s="72"/>
      <c r="S1962" s="72"/>
      <c r="V1962" s="72"/>
      <c r="Y1962" s="72"/>
      <c r="AB1962" s="72"/>
      <c r="AE1962" s="72"/>
      <c r="AH1962" s="72"/>
      <c r="AK1962" s="72"/>
      <c r="AN1962" s="72"/>
      <c r="AQ1962" s="72"/>
      <c r="AT1962" s="72"/>
      <c r="AW1962" s="72"/>
      <c r="AZ1962" s="72"/>
    </row>
    <row r="1963" spans="1:52">
      <c r="A1963" s="131"/>
      <c r="B1963" s="72"/>
      <c r="D1963" s="72"/>
      <c r="G1963" s="72"/>
      <c r="J1963" s="72"/>
      <c r="M1963" s="72"/>
      <c r="P1963" s="72"/>
      <c r="S1963" s="72"/>
      <c r="V1963" s="72"/>
      <c r="Y1963" s="72"/>
      <c r="AB1963" s="72"/>
      <c r="AE1963" s="72"/>
      <c r="AH1963" s="72"/>
      <c r="AK1963" s="72"/>
      <c r="AN1963" s="72"/>
      <c r="AQ1963" s="72"/>
      <c r="AT1963" s="72"/>
      <c r="AW1963" s="72"/>
      <c r="AZ1963" s="72"/>
    </row>
    <row r="1964" spans="1:52">
      <c r="A1964" s="131"/>
      <c r="B1964" s="72"/>
      <c r="D1964" s="72"/>
      <c r="G1964" s="72"/>
      <c r="J1964" s="72"/>
      <c r="M1964" s="72"/>
      <c r="P1964" s="72"/>
      <c r="S1964" s="72"/>
      <c r="V1964" s="72"/>
      <c r="Y1964" s="72"/>
      <c r="AB1964" s="72"/>
      <c r="AE1964" s="72"/>
      <c r="AH1964" s="72"/>
      <c r="AK1964" s="72"/>
      <c r="AN1964" s="72"/>
      <c r="AQ1964" s="72"/>
      <c r="AT1964" s="72"/>
      <c r="AW1964" s="72"/>
      <c r="AZ1964" s="72"/>
    </row>
    <row r="1965" spans="1:52">
      <c r="A1965" s="131"/>
      <c r="B1965" s="72"/>
      <c r="D1965" s="72"/>
      <c r="G1965" s="72"/>
      <c r="J1965" s="72"/>
      <c r="M1965" s="72"/>
      <c r="P1965" s="72"/>
      <c r="S1965" s="72"/>
      <c r="V1965" s="72"/>
      <c r="Y1965" s="72"/>
      <c r="AB1965" s="72"/>
      <c r="AE1965" s="72"/>
      <c r="AH1965" s="72"/>
      <c r="AK1965" s="72"/>
      <c r="AN1965" s="72"/>
      <c r="AQ1965" s="72"/>
      <c r="AT1965" s="72"/>
      <c r="AW1965" s="72"/>
      <c r="AZ1965" s="72"/>
    </row>
    <row r="1966" spans="1:52">
      <c r="A1966" s="131"/>
      <c r="B1966" s="72"/>
      <c r="D1966" s="72"/>
      <c r="G1966" s="72"/>
      <c r="J1966" s="72"/>
      <c r="M1966" s="72"/>
      <c r="P1966" s="72"/>
      <c r="S1966" s="72"/>
      <c r="V1966" s="72"/>
      <c r="Y1966" s="72"/>
      <c r="AB1966" s="72"/>
      <c r="AE1966" s="72"/>
      <c r="AH1966" s="72"/>
      <c r="AK1966" s="72"/>
      <c r="AN1966" s="72"/>
      <c r="AQ1966" s="72"/>
      <c r="AT1966" s="72"/>
      <c r="AW1966" s="72"/>
      <c r="AZ1966" s="72"/>
    </row>
    <row r="1967" spans="1:52">
      <c r="A1967" s="131"/>
      <c r="B1967" s="72"/>
      <c r="D1967" s="72"/>
      <c r="G1967" s="72"/>
      <c r="J1967" s="72"/>
      <c r="M1967" s="72"/>
      <c r="P1967" s="72"/>
      <c r="S1967" s="72"/>
      <c r="V1967" s="72"/>
      <c r="Y1967" s="72"/>
      <c r="AB1967" s="72"/>
      <c r="AE1967" s="72"/>
      <c r="AH1967" s="72"/>
      <c r="AK1967" s="72"/>
      <c r="AN1967" s="72"/>
      <c r="AQ1967" s="72"/>
      <c r="AT1967" s="72"/>
      <c r="AW1967" s="72"/>
      <c r="AZ1967" s="72"/>
    </row>
    <row r="1968" spans="1:52">
      <c r="A1968" s="131"/>
      <c r="B1968" s="72"/>
      <c r="D1968" s="72"/>
      <c r="G1968" s="72"/>
      <c r="J1968" s="72"/>
      <c r="M1968" s="72"/>
      <c r="P1968" s="72"/>
      <c r="S1968" s="72"/>
      <c r="V1968" s="72"/>
      <c r="Y1968" s="72"/>
      <c r="AB1968" s="72"/>
      <c r="AE1968" s="72"/>
      <c r="AH1968" s="72"/>
      <c r="AK1968" s="72"/>
      <c r="AN1968" s="72"/>
      <c r="AQ1968" s="72"/>
      <c r="AT1968" s="72"/>
      <c r="AW1968" s="72"/>
      <c r="AZ1968" s="72"/>
    </row>
    <row r="1969" spans="1:52">
      <c r="A1969" s="131"/>
      <c r="B1969" s="72"/>
      <c r="D1969" s="72"/>
      <c r="G1969" s="72"/>
      <c r="J1969" s="72"/>
      <c r="M1969" s="72"/>
      <c r="P1969" s="72"/>
      <c r="S1969" s="72"/>
      <c r="V1969" s="72"/>
      <c r="Y1969" s="72"/>
      <c r="AB1969" s="72"/>
      <c r="AE1969" s="72"/>
      <c r="AH1969" s="72"/>
      <c r="AK1969" s="72"/>
      <c r="AN1969" s="72"/>
      <c r="AQ1969" s="72"/>
      <c r="AT1969" s="72"/>
      <c r="AW1969" s="72"/>
      <c r="AZ1969" s="72"/>
    </row>
    <row r="1970" spans="1:52">
      <c r="A1970" s="131"/>
      <c r="B1970" s="72"/>
      <c r="D1970" s="72"/>
      <c r="G1970" s="72"/>
      <c r="J1970" s="72"/>
      <c r="M1970" s="72"/>
      <c r="P1970" s="72"/>
      <c r="S1970" s="72"/>
      <c r="V1970" s="72"/>
      <c r="Y1970" s="72"/>
      <c r="AB1970" s="72"/>
      <c r="AE1970" s="72"/>
      <c r="AH1970" s="72"/>
      <c r="AK1970" s="72"/>
      <c r="AN1970" s="72"/>
      <c r="AQ1970" s="72"/>
      <c r="AT1970" s="72"/>
      <c r="AW1970" s="72"/>
      <c r="AZ1970" s="72"/>
    </row>
    <row r="1971" spans="1:52">
      <c r="A1971" s="131"/>
      <c r="B1971" s="72"/>
      <c r="D1971" s="72"/>
      <c r="G1971" s="72"/>
      <c r="J1971" s="72"/>
      <c r="M1971" s="72"/>
      <c r="P1971" s="72"/>
      <c r="S1971" s="72"/>
      <c r="V1971" s="72"/>
      <c r="Y1971" s="72"/>
      <c r="AB1971" s="72"/>
      <c r="AE1971" s="72"/>
      <c r="AH1971" s="72"/>
      <c r="AK1971" s="72"/>
      <c r="AN1971" s="72"/>
      <c r="AQ1971" s="72"/>
      <c r="AT1971" s="72"/>
      <c r="AW1971" s="72"/>
      <c r="AZ1971" s="72"/>
    </row>
    <row r="1972" spans="1:52">
      <c r="A1972" s="131"/>
      <c r="B1972" s="72"/>
      <c r="D1972" s="72"/>
      <c r="G1972" s="72"/>
      <c r="J1972" s="72"/>
      <c r="M1972" s="72"/>
      <c r="P1972" s="72"/>
      <c r="S1972" s="72"/>
      <c r="V1972" s="72"/>
      <c r="Y1972" s="72"/>
      <c r="AB1972" s="72"/>
      <c r="AE1972" s="72"/>
      <c r="AH1972" s="72"/>
      <c r="AK1972" s="72"/>
      <c r="AN1972" s="72"/>
      <c r="AQ1972" s="72"/>
      <c r="AT1972" s="72"/>
      <c r="AW1972" s="72"/>
      <c r="AZ1972" s="72"/>
    </row>
    <row r="1973" spans="1:52">
      <c r="A1973" s="131"/>
      <c r="B1973" s="72"/>
      <c r="D1973" s="72"/>
      <c r="G1973" s="72"/>
      <c r="J1973" s="72"/>
      <c r="M1973" s="72"/>
      <c r="P1973" s="72"/>
      <c r="S1973" s="72"/>
      <c r="V1973" s="72"/>
      <c r="Y1973" s="72"/>
      <c r="AB1973" s="72"/>
      <c r="AE1973" s="72"/>
      <c r="AH1973" s="72"/>
      <c r="AK1973" s="72"/>
      <c r="AN1973" s="72"/>
      <c r="AQ1973" s="72"/>
      <c r="AT1973" s="72"/>
      <c r="AW1973" s="72"/>
      <c r="AZ1973" s="72"/>
    </row>
    <row r="1974" spans="1:52">
      <c r="A1974" s="131"/>
      <c r="B1974" s="72"/>
      <c r="D1974" s="72"/>
      <c r="G1974" s="72"/>
      <c r="J1974" s="72"/>
      <c r="M1974" s="72"/>
      <c r="P1974" s="72"/>
      <c r="S1974" s="72"/>
      <c r="V1974" s="72"/>
      <c r="Y1974" s="72"/>
      <c r="AB1974" s="72"/>
      <c r="AE1974" s="72"/>
      <c r="AH1974" s="72"/>
      <c r="AK1974" s="72"/>
      <c r="AN1974" s="72"/>
      <c r="AQ1974" s="72"/>
      <c r="AT1974" s="72"/>
      <c r="AW1974" s="72"/>
      <c r="AZ1974" s="72"/>
    </row>
    <row r="1975" spans="1:52">
      <c r="A1975" s="131"/>
      <c r="B1975" s="72"/>
      <c r="D1975" s="72"/>
      <c r="G1975" s="72"/>
      <c r="J1975" s="72"/>
      <c r="M1975" s="72"/>
      <c r="P1975" s="72"/>
      <c r="S1975" s="72"/>
      <c r="V1975" s="72"/>
      <c r="Y1975" s="72"/>
      <c r="AB1975" s="72"/>
      <c r="AE1975" s="72"/>
      <c r="AH1975" s="72"/>
      <c r="AK1975" s="72"/>
      <c r="AN1975" s="72"/>
      <c r="AQ1975" s="72"/>
      <c r="AT1975" s="72"/>
      <c r="AW1975" s="72"/>
      <c r="AZ1975" s="72"/>
    </row>
    <row r="1976" spans="1:52">
      <c r="A1976" s="131"/>
      <c r="B1976" s="72"/>
      <c r="D1976" s="72"/>
      <c r="G1976" s="72"/>
      <c r="J1976" s="72"/>
      <c r="M1976" s="72"/>
      <c r="P1976" s="72"/>
      <c r="S1976" s="72"/>
      <c r="V1976" s="72"/>
      <c r="Y1976" s="72"/>
      <c r="AB1976" s="72"/>
      <c r="AE1976" s="72"/>
      <c r="AH1976" s="72"/>
      <c r="AK1976" s="72"/>
      <c r="AN1976" s="72"/>
      <c r="AQ1976" s="72"/>
      <c r="AT1976" s="72"/>
      <c r="AW1976" s="72"/>
      <c r="AZ1976" s="72"/>
    </row>
    <row r="1977" spans="1:52">
      <c r="A1977" s="131"/>
      <c r="B1977" s="72"/>
      <c r="D1977" s="72"/>
      <c r="G1977" s="72"/>
      <c r="J1977" s="72"/>
      <c r="M1977" s="72"/>
      <c r="P1977" s="72"/>
      <c r="S1977" s="72"/>
      <c r="V1977" s="72"/>
      <c r="Y1977" s="72"/>
      <c r="AB1977" s="72"/>
      <c r="AE1977" s="72"/>
      <c r="AH1977" s="72"/>
      <c r="AK1977" s="72"/>
      <c r="AN1977" s="72"/>
      <c r="AQ1977" s="72"/>
      <c r="AT1977" s="72"/>
      <c r="AW1977" s="72"/>
      <c r="AZ1977" s="72"/>
    </row>
    <row r="1978" spans="1:52">
      <c r="A1978" s="131"/>
      <c r="B1978" s="72"/>
      <c r="D1978" s="72"/>
      <c r="G1978" s="72"/>
      <c r="J1978" s="72"/>
      <c r="M1978" s="72"/>
      <c r="P1978" s="72"/>
      <c r="S1978" s="72"/>
      <c r="V1978" s="72"/>
      <c r="Y1978" s="72"/>
      <c r="AB1978" s="72"/>
      <c r="AE1978" s="72"/>
      <c r="AH1978" s="72"/>
      <c r="AK1978" s="72"/>
      <c r="AN1978" s="72"/>
      <c r="AQ1978" s="72"/>
      <c r="AT1978" s="72"/>
      <c r="AW1978" s="72"/>
      <c r="AZ1978" s="72"/>
    </row>
    <row r="1979" spans="1:52">
      <c r="A1979" s="131"/>
      <c r="B1979" s="72"/>
      <c r="D1979" s="72"/>
      <c r="G1979" s="72"/>
      <c r="J1979" s="72"/>
      <c r="M1979" s="72"/>
      <c r="P1979" s="72"/>
      <c r="S1979" s="72"/>
      <c r="V1979" s="72"/>
      <c r="Y1979" s="72"/>
      <c r="AB1979" s="72"/>
      <c r="AE1979" s="72"/>
      <c r="AH1979" s="72"/>
      <c r="AK1979" s="72"/>
      <c r="AN1979" s="72"/>
      <c r="AQ1979" s="72"/>
      <c r="AT1979" s="72"/>
      <c r="AW1979" s="72"/>
      <c r="AZ1979" s="72"/>
    </row>
    <row r="1980" spans="1:52">
      <c r="A1980" s="131"/>
      <c r="B1980" s="72"/>
      <c r="D1980" s="72"/>
      <c r="G1980" s="72"/>
      <c r="J1980" s="72"/>
      <c r="M1980" s="72"/>
      <c r="P1980" s="72"/>
      <c r="S1980" s="72"/>
      <c r="V1980" s="72"/>
      <c r="Y1980" s="72"/>
      <c r="AB1980" s="72"/>
      <c r="AE1980" s="72"/>
      <c r="AH1980" s="72"/>
      <c r="AK1980" s="72"/>
      <c r="AN1980" s="72"/>
      <c r="AQ1980" s="72"/>
      <c r="AT1980" s="72"/>
      <c r="AW1980" s="72"/>
      <c r="AZ1980" s="72"/>
    </row>
    <row r="1981" spans="1:52">
      <c r="A1981" s="131"/>
      <c r="B1981" s="72"/>
      <c r="D1981" s="72"/>
      <c r="G1981" s="72"/>
      <c r="J1981" s="72"/>
      <c r="M1981" s="72"/>
      <c r="P1981" s="72"/>
      <c r="S1981" s="72"/>
      <c r="V1981" s="72"/>
      <c r="Y1981" s="72"/>
      <c r="AB1981" s="72"/>
      <c r="AE1981" s="72"/>
      <c r="AH1981" s="72"/>
      <c r="AK1981" s="72"/>
      <c r="AN1981" s="72"/>
      <c r="AQ1981" s="72"/>
      <c r="AT1981" s="72"/>
      <c r="AW1981" s="72"/>
      <c r="AZ1981" s="72"/>
    </row>
    <row r="1982" spans="1:52">
      <c r="A1982" s="131"/>
      <c r="B1982" s="72"/>
      <c r="D1982" s="72"/>
      <c r="G1982" s="72"/>
      <c r="J1982" s="72"/>
      <c r="M1982" s="72"/>
      <c r="P1982" s="72"/>
      <c r="S1982" s="72"/>
      <c r="V1982" s="72"/>
      <c r="Y1982" s="72"/>
      <c r="AB1982" s="72"/>
      <c r="AE1982" s="72"/>
      <c r="AH1982" s="72"/>
      <c r="AK1982" s="72"/>
      <c r="AN1982" s="72"/>
      <c r="AQ1982" s="72"/>
      <c r="AT1982" s="72"/>
      <c r="AW1982" s="72"/>
      <c r="AZ1982" s="72"/>
    </row>
    <row r="1983" spans="1:52">
      <c r="A1983" s="131"/>
      <c r="B1983" s="72"/>
      <c r="D1983" s="72"/>
      <c r="G1983" s="72"/>
      <c r="J1983" s="72"/>
      <c r="M1983" s="72"/>
      <c r="P1983" s="72"/>
      <c r="S1983" s="72"/>
      <c r="V1983" s="72"/>
      <c r="Y1983" s="72"/>
      <c r="AB1983" s="72"/>
      <c r="AE1983" s="72"/>
      <c r="AH1983" s="72"/>
      <c r="AK1983" s="72"/>
      <c r="AN1983" s="72"/>
      <c r="AQ1983" s="72"/>
      <c r="AT1983" s="72"/>
      <c r="AW1983" s="72"/>
      <c r="AZ1983" s="72"/>
    </row>
    <row r="1984" spans="1:52">
      <c r="A1984" s="131"/>
      <c r="B1984" s="72"/>
      <c r="D1984" s="72"/>
      <c r="G1984" s="72"/>
      <c r="J1984" s="72"/>
      <c r="M1984" s="72"/>
      <c r="P1984" s="72"/>
      <c r="S1984" s="72"/>
      <c r="V1984" s="72"/>
      <c r="Y1984" s="72"/>
      <c r="AB1984" s="72"/>
      <c r="AE1984" s="72"/>
      <c r="AH1984" s="72"/>
      <c r="AK1984" s="72"/>
      <c r="AN1984" s="72"/>
      <c r="AQ1984" s="72"/>
      <c r="AT1984" s="72"/>
      <c r="AW1984" s="72"/>
      <c r="AZ1984" s="72"/>
    </row>
    <row r="1985" spans="1:52">
      <c r="A1985" s="131"/>
      <c r="B1985" s="72"/>
      <c r="D1985" s="72"/>
      <c r="G1985" s="72"/>
      <c r="J1985" s="72"/>
      <c r="M1985" s="72"/>
      <c r="P1985" s="72"/>
      <c r="S1985" s="72"/>
      <c r="V1985" s="72"/>
      <c r="Y1985" s="72"/>
      <c r="AB1985" s="72"/>
      <c r="AE1985" s="72"/>
      <c r="AH1985" s="72"/>
      <c r="AK1985" s="72"/>
      <c r="AN1985" s="72"/>
      <c r="AQ1985" s="72"/>
      <c r="AT1985" s="72"/>
      <c r="AW1985" s="72"/>
      <c r="AZ1985" s="72"/>
    </row>
    <row r="1986" spans="1:52">
      <c r="A1986" s="131"/>
      <c r="B1986" s="72"/>
      <c r="D1986" s="72"/>
      <c r="G1986" s="72"/>
      <c r="J1986" s="72"/>
      <c r="M1986" s="72"/>
      <c r="P1986" s="72"/>
      <c r="S1986" s="72"/>
      <c r="V1986" s="72"/>
      <c r="Y1986" s="72"/>
      <c r="AB1986" s="72"/>
      <c r="AE1986" s="72"/>
      <c r="AH1986" s="72"/>
      <c r="AK1986" s="72"/>
      <c r="AN1986" s="72"/>
      <c r="AQ1986" s="72"/>
      <c r="AT1986" s="72"/>
      <c r="AW1986" s="72"/>
      <c r="AZ1986" s="72"/>
    </row>
    <row r="1987" spans="1:52">
      <c r="A1987" s="131"/>
      <c r="B1987" s="72"/>
      <c r="D1987" s="72"/>
      <c r="G1987" s="72"/>
      <c r="J1987" s="72"/>
      <c r="M1987" s="72"/>
      <c r="P1987" s="72"/>
      <c r="S1987" s="72"/>
      <c r="V1987" s="72"/>
      <c r="Y1987" s="72"/>
      <c r="AB1987" s="72"/>
      <c r="AE1987" s="72"/>
      <c r="AH1987" s="72"/>
      <c r="AK1987" s="72"/>
      <c r="AN1987" s="72"/>
      <c r="AQ1987" s="72"/>
      <c r="AT1987" s="72"/>
      <c r="AW1987" s="72"/>
      <c r="AZ1987" s="72"/>
    </row>
    <row r="1988" spans="1:52">
      <c r="A1988" s="131"/>
      <c r="B1988" s="72"/>
      <c r="D1988" s="72"/>
      <c r="G1988" s="72"/>
      <c r="J1988" s="72"/>
      <c r="M1988" s="72"/>
      <c r="P1988" s="72"/>
      <c r="S1988" s="72"/>
      <c r="V1988" s="72"/>
      <c r="Y1988" s="72"/>
      <c r="AB1988" s="72"/>
      <c r="AE1988" s="72"/>
      <c r="AH1988" s="72"/>
      <c r="AK1988" s="72"/>
      <c r="AN1988" s="72"/>
      <c r="AQ1988" s="72"/>
      <c r="AT1988" s="72"/>
      <c r="AW1988" s="72"/>
      <c r="AZ1988" s="72"/>
    </row>
    <row r="1989" spans="1:52">
      <c r="A1989" s="131"/>
      <c r="B1989" s="72"/>
      <c r="D1989" s="72"/>
      <c r="G1989" s="72"/>
      <c r="J1989" s="72"/>
      <c r="M1989" s="72"/>
      <c r="P1989" s="72"/>
      <c r="S1989" s="72"/>
      <c r="V1989" s="72"/>
      <c r="Y1989" s="72"/>
      <c r="AB1989" s="72"/>
      <c r="AE1989" s="72"/>
      <c r="AH1989" s="72"/>
      <c r="AK1989" s="72"/>
      <c r="AN1989" s="72"/>
      <c r="AQ1989" s="72"/>
      <c r="AT1989" s="72"/>
      <c r="AW1989" s="72"/>
      <c r="AZ1989" s="72"/>
    </row>
    <row r="1990" spans="1:52">
      <c r="A1990" s="131"/>
      <c r="B1990" s="72"/>
      <c r="D1990" s="72"/>
      <c r="G1990" s="72"/>
      <c r="J1990" s="72"/>
      <c r="M1990" s="72"/>
      <c r="P1990" s="72"/>
      <c r="S1990" s="72"/>
      <c r="V1990" s="72"/>
      <c r="Y1990" s="72"/>
      <c r="AB1990" s="72"/>
      <c r="AE1990" s="72"/>
      <c r="AH1990" s="72"/>
      <c r="AK1990" s="72"/>
      <c r="AN1990" s="72"/>
      <c r="AQ1990" s="72"/>
      <c r="AT1990" s="72"/>
      <c r="AW1990" s="72"/>
      <c r="AZ1990" s="72"/>
    </row>
    <row r="1991" spans="1:52">
      <c r="A1991" s="131"/>
      <c r="B1991" s="72"/>
      <c r="D1991" s="72"/>
      <c r="G1991" s="72"/>
      <c r="J1991" s="72"/>
      <c r="M1991" s="72"/>
      <c r="P1991" s="72"/>
      <c r="S1991" s="72"/>
      <c r="V1991" s="72"/>
      <c r="Y1991" s="72"/>
      <c r="AB1991" s="72"/>
      <c r="AE1991" s="72"/>
      <c r="AH1991" s="72"/>
      <c r="AK1991" s="72"/>
      <c r="AN1991" s="72"/>
      <c r="AQ1991" s="72"/>
      <c r="AT1991" s="72"/>
      <c r="AW1991" s="72"/>
      <c r="AZ1991" s="72"/>
    </row>
    <row r="1992" spans="1:52">
      <c r="A1992" s="131"/>
      <c r="B1992" s="72"/>
      <c r="D1992" s="72"/>
      <c r="G1992" s="72"/>
      <c r="J1992" s="72"/>
      <c r="M1992" s="72"/>
      <c r="P1992" s="72"/>
      <c r="S1992" s="72"/>
      <c r="V1992" s="72"/>
      <c r="Y1992" s="72"/>
      <c r="AB1992" s="72"/>
      <c r="AE1992" s="72"/>
      <c r="AH1992" s="72"/>
      <c r="AK1992" s="72"/>
      <c r="AN1992" s="72"/>
      <c r="AQ1992" s="72"/>
      <c r="AT1992" s="72"/>
      <c r="AW1992" s="72"/>
      <c r="AZ1992" s="72"/>
    </row>
    <row r="1993" spans="1:52">
      <c r="A1993" s="131"/>
      <c r="B1993" s="72"/>
      <c r="D1993" s="72"/>
      <c r="G1993" s="72"/>
      <c r="J1993" s="72"/>
      <c r="M1993" s="72"/>
      <c r="P1993" s="72"/>
      <c r="S1993" s="72"/>
      <c r="V1993" s="72"/>
      <c r="Y1993" s="72"/>
      <c r="AB1993" s="72"/>
      <c r="AE1993" s="72"/>
      <c r="AH1993" s="72"/>
      <c r="AK1993" s="72"/>
      <c r="AN1993" s="72"/>
      <c r="AQ1993" s="72"/>
      <c r="AT1993" s="72"/>
      <c r="AW1993" s="72"/>
      <c r="AZ1993" s="72"/>
    </row>
    <row r="1994" spans="1:52">
      <c r="A1994" s="131"/>
      <c r="B1994" s="72"/>
      <c r="D1994" s="72"/>
      <c r="G1994" s="72"/>
      <c r="J1994" s="72"/>
      <c r="M1994" s="72"/>
      <c r="P1994" s="72"/>
      <c r="S1994" s="72"/>
      <c r="V1994" s="72"/>
      <c r="Y1994" s="72"/>
      <c r="AB1994" s="72"/>
      <c r="AE1994" s="72"/>
      <c r="AH1994" s="72"/>
      <c r="AK1994" s="72"/>
      <c r="AN1994" s="72"/>
      <c r="AQ1994" s="72"/>
      <c r="AT1994" s="72"/>
      <c r="AW1994" s="72"/>
      <c r="AZ1994" s="72"/>
    </row>
    <row r="1995" spans="1:52">
      <c r="A1995" s="131"/>
      <c r="B1995" s="72"/>
      <c r="D1995" s="72"/>
      <c r="G1995" s="72"/>
      <c r="J1995" s="72"/>
      <c r="M1995" s="72"/>
      <c r="P1995" s="72"/>
      <c r="S1995" s="72"/>
      <c r="V1995" s="72"/>
      <c r="Y1995" s="72"/>
      <c r="AB1995" s="72"/>
      <c r="AE1995" s="72"/>
      <c r="AH1995" s="72"/>
      <c r="AK1995" s="72"/>
      <c r="AN1995" s="72"/>
      <c r="AQ1995" s="72"/>
      <c r="AT1995" s="72"/>
      <c r="AW1995" s="72"/>
      <c r="AZ1995" s="72"/>
    </row>
    <row r="1996" spans="1:52">
      <c r="A1996" s="131"/>
      <c r="B1996" s="72"/>
      <c r="D1996" s="72"/>
      <c r="G1996" s="72"/>
      <c r="J1996" s="72"/>
      <c r="M1996" s="72"/>
      <c r="P1996" s="72"/>
      <c r="S1996" s="72"/>
      <c r="V1996" s="72"/>
      <c r="Y1996" s="72"/>
      <c r="AB1996" s="72"/>
      <c r="AE1996" s="72"/>
      <c r="AH1996" s="72"/>
      <c r="AK1996" s="72"/>
      <c r="AN1996" s="72"/>
      <c r="AQ1996" s="72"/>
      <c r="AT1996" s="72"/>
      <c r="AW1996" s="72"/>
      <c r="AZ1996" s="72"/>
    </row>
    <row r="1997" spans="1:52">
      <c r="A1997" s="131"/>
      <c r="B1997" s="72"/>
      <c r="D1997" s="72"/>
      <c r="G1997" s="72"/>
      <c r="J1997" s="72"/>
      <c r="M1997" s="72"/>
      <c r="P1997" s="72"/>
      <c r="S1997" s="72"/>
      <c r="V1997" s="72"/>
      <c r="Y1997" s="72"/>
      <c r="AB1997" s="72"/>
      <c r="AE1997" s="72"/>
      <c r="AH1997" s="72"/>
      <c r="AK1997" s="72"/>
      <c r="AN1997" s="72"/>
      <c r="AQ1997" s="72"/>
      <c r="AT1997" s="72"/>
      <c r="AW1997" s="72"/>
      <c r="AZ1997" s="72"/>
    </row>
    <row r="1998" spans="1:52">
      <c r="A1998" s="131"/>
      <c r="B1998" s="72"/>
      <c r="D1998" s="72"/>
      <c r="G1998" s="72"/>
      <c r="J1998" s="72"/>
      <c r="M1998" s="72"/>
      <c r="P1998" s="72"/>
      <c r="S1998" s="72"/>
      <c r="V1998" s="72"/>
      <c r="Y1998" s="72"/>
      <c r="AB1998" s="72"/>
      <c r="AE1998" s="72"/>
      <c r="AH1998" s="72"/>
      <c r="AK1998" s="72"/>
      <c r="AN1998" s="72"/>
      <c r="AQ1998" s="72"/>
      <c r="AT1998" s="72"/>
      <c r="AW1998" s="72"/>
      <c r="AZ1998" s="72"/>
    </row>
    <row r="1999" spans="1:52">
      <c r="A1999" s="131"/>
      <c r="B1999" s="72"/>
      <c r="D1999" s="72"/>
      <c r="G1999" s="72"/>
      <c r="J1999" s="72"/>
      <c r="M1999" s="72"/>
      <c r="P1999" s="72"/>
      <c r="S1999" s="72"/>
      <c r="V1999" s="72"/>
      <c r="Y1999" s="72"/>
      <c r="AB1999" s="72"/>
      <c r="AE1999" s="72"/>
      <c r="AH1999" s="72"/>
      <c r="AK1999" s="72"/>
      <c r="AN1999" s="72"/>
      <c r="AQ1999" s="72"/>
      <c r="AT1999" s="72"/>
      <c r="AW1999" s="72"/>
      <c r="AZ1999" s="72"/>
    </row>
    <row r="2000" spans="1:52">
      <c r="A2000" s="131"/>
      <c r="B2000" s="72"/>
      <c r="D2000" s="72"/>
      <c r="G2000" s="72"/>
      <c r="J2000" s="72"/>
      <c r="M2000" s="72"/>
      <c r="P2000" s="72"/>
      <c r="S2000" s="72"/>
      <c r="V2000" s="72"/>
      <c r="Y2000" s="72"/>
      <c r="AB2000" s="72"/>
      <c r="AE2000" s="72"/>
      <c r="AH2000" s="72"/>
      <c r="AK2000" s="72"/>
      <c r="AN2000" s="72"/>
      <c r="AQ2000" s="72"/>
      <c r="AT2000" s="72"/>
      <c r="AW2000" s="72"/>
      <c r="AZ2000" s="72"/>
    </row>
    <row r="2001" spans="1:52">
      <c r="A2001" s="131"/>
      <c r="B2001" s="72"/>
      <c r="D2001" s="72"/>
      <c r="G2001" s="72"/>
      <c r="J2001" s="72"/>
      <c r="M2001" s="72"/>
      <c r="P2001" s="72"/>
      <c r="S2001" s="72"/>
      <c r="V2001" s="72"/>
      <c r="Y2001" s="72"/>
      <c r="AB2001" s="72"/>
      <c r="AE2001" s="72"/>
      <c r="AH2001" s="72"/>
      <c r="AK2001" s="72"/>
      <c r="AN2001" s="72"/>
      <c r="AQ2001" s="72"/>
      <c r="AT2001" s="72"/>
      <c r="AW2001" s="72"/>
      <c r="AZ2001" s="72"/>
    </row>
    <row r="2002" spans="1:52">
      <c r="A2002" s="131"/>
      <c r="B2002" s="72"/>
      <c r="D2002" s="72"/>
      <c r="G2002" s="72"/>
      <c r="J2002" s="72"/>
      <c r="M2002" s="72"/>
      <c r="P2002" s="72"/>
      <c r="S2002" s="72"/>
      <c r="V2002" s="72"/>
      <c r="Y2002" s="72"/>
      <c r="AB2002" s="72"/>
      <c r="AE2002" s="72"/>
      <c r="AH2002" s="72"/>
      <c r="AK2002" s="72"/>
      <c r="AN2002" s="72"/>
      <c r="AQ2002" s="72"/>
      <c r="AT2002" s="72"/>
      <c r="AW2002" s="72"/>
      <c r="AZ2002" s="72"/>
    </row>
    <row r="2003" spans="1:52">
      <c r="A2003" s="131"/>
      <c r="B2003" s="72"/>
      <c r="D2003" s="72"/>
      <c r="G2003" s="72"/>
      <c r="J2003" s="72"/>
      <c r="M2003" s="72"/>
      <c r="P2003" s="72"/>
      <c r="S2003" s="72"/>
      <c r="V2003" s="72"/>
      <c r="Y2003" s="72"/>
      <c r="AB2003" s="72"/>
      <c r="AE2003" s="72"/>
      <c r="AH2003" s="72"/>
      <c r="AK2003" s="72"/>
      <c r="AN2003" s="72"/>
      <c r="AQ2003" s="72"/>
      <c r="AT2003" s="72"/>
      <c r="AW2003" s="72"/>
      <c r="AZ2003" s="72"/>
    </row>
    <row r="2004" spans="1:52">
      <c r="A2004" s="131"/>
      <c r="B2004" s="72"/>
      <c r="D2004" s="72"/>
      <c r="G2004" s="72"/>
      <c r="J2004" s="72"/>
      <c r="M2004" s="72"/>
      <c r="P2004" s="72"/>
      <c r="S2004" s="72"/>
      <c r="V2004" s="72"/>
      <c r="Y2004" s="72"/>
      <c r="AB2004" s="72"/>
      <c r="AE2004" s="72"/>
      <c r="AH2004" s="72"/>
      <c r="AK2004" s="72"/>
      <c r="AN2004" s="72"/>
      <c r="AQ2004" s="72"/>
      <c r="AT2004" s="72"/>
      <c r="AW2004" s="72"/>
      <c r="AZ2004" s="72"/>
    </row>
    <row r="2005" spans="1:52">
      <c r="A2005" s="131"/>
      <c r="B2005" s="72"/>
      <c r="D2005" s="72"/>
      <c r="G2005" s="72"/>
      <c r="J2005" s="72"/>
      <c r="M2005" s="72"/>
      <c r="P2005" s="72"/>
      <c r="S2005" s="72"/>
      <c r="V2005" s="72"/>
      <c r="Y2005" s="72"/>
      <c r="AB2005" s="72"/>
      <c r="AE2005" s="72"/>
      <c r="AH2005" s="72"/>
      <c r="AK2005" s="72"/>
      <c r="AN2005" s="72"/>
      <c r="AQ2005" s="72"/>
      <c r="AT2005" s="72"/>
      <c r="AW2005" s="72"/>
      <c r="AZ2005" s="72"/>
    </row>
    <row r="2006" spans="1:52">
      <c r="A2006" s="131"/>
      <c r="B2006" s="72"/>
      <c r="D2006" s="72"/>
      <c r="G2006" s="72"/>
      <c r="J2006" s="72"/>
      <c r="M2006" s="72"/>
      <c r="P2006" s="72"/>
      <c r="S2006" s="72"/>
      <c r="V2006" s="72"/>
      <c r="Y2006" s="72"/>
      <c r="AB2006" s="72"/>
      <c r="AE2006" s="72"/>
      <c r="AH2006" s="72"/>
      <c r="AK2006" s="72"/>
      <c r="AN2006" s="72"/>
      <c r="AQ2006" s="72"/>
      <c r="AT2006" s="72"/>
      <c r="AW2006" s="72"/>
      <c r="AZ2006" s="72"/>
    </row>
    <row r="2007" spans="1:52">
      <c r="A2007" s="131"/>
      <c r="B2007" s="72"/>
      <c r="D2007" s="72"/>
      <c r="G2007" s="72"/>
      <c r="J2007" s="72"/>
      <c r="M2007" s="72"/>
      <c r="P2007" s="72"/>
      <c r="S2007" s="72"/>
      <c r="V2007" s="72"/>
      <c r="Y2007" s="72"/>
      <c r="AB2007" s="72"/>
      <c r="AE2007" s="72"/>
      <c r="AH2007" s="72"/>
      <c r="AK2007" s="72"/>
      <c r="AN2007" s="72"/>
      <c r="AQ2007" s="72"/>
      <c r="AT2007" s="72"/>
      <c r="AW2007" s="72"/>
      <c r="AZ2007" s="72"/>
    </row>
    <row r="2008" spans="1:52">
      <c r="A2008" s="131"/>
      <c r="B2008" s="72"/>
      <c r="D2008" s="72"/>
      <c r="G2008" s="72"/>
      <c r="J2008" s="72"/>
      <c r="M2008" s="72"/>
      <c r="P2008" s="72"/>
      <c r="S2008" s="72"/>
      <c r="V2008" s="72"/>
      <c r="Y2008" s="72"/>
      <c r="AB2008" s="72"/>
      <c r="AE2008" s="72"/>
      <c r="AH2008" s="72"/>
      <c r="AK2008" s="72"/>
      <c r="AN2008" s="72"/>
      <c r="AQ2008" s="72"/>
      <c r="AT2008" s="72"/>
      <c r="AW2008" s="72"/>
      <c r="AZ2008" s="72"/>
    </row>
    <row r="2009" spans="1:52">
      <c r="A2009" s="131"/>
      <c r="B2009" s="72"/>
      <c r="D2009" s="72"/>
      <c r="G2009" s="72"/>
      <c r="J2009" s="72"/>
      <c r="M2009" s="72"/>
      <c r="P2009" s="72"/>
      <c r="S2009" s="72"/>
      <c r="V2009" s="72"/>
      <c r="Y2009" s="72"/>
      <c r="AB2009" s="72"/>
      <c r="AE2009" s="72"/>
      <c r="AH2009" s="72"/>
      <c r="AK2009" s="72"/>
      <c r="AN2009" s="72"/>
      <c r="AQ2009" s="72"/>
      <c r="AT2009" s="72"/>
      <c r="AW2009" s="72"/>
      <c r="AZ2009" s="72"/>
    </row>
    <row r="2010" spans="1:52">
      <c r="A2010" s="131"/>
      <c r="B2010" s="72"/>
      <c r="D2010" s="72"/>
      <c r="G2010" s="72"/>
      <c r="J2010" s="72"/>
      <c r="M2010" s="72"/>
      <c r="P2010" s="72"/>
      <c r="S2010" s="72"/>
      <c r="V2010" s="72"/>
      <c r="Y2010" s="72"/>
      <c r="AB2010" s="72"/>
      <c r="AE2010" s="72"/>
      <c r="AH2010" s="72"/>
      <c r="AK2010" s="72"/>
      <c r="AN2010" s="72"/>
      <c r="AQ2010" s="72"/>
      <c r="AT2010" s="72"/>
      <c r="AW2010" s="72"/>
      <c r="AZ2010" s="72"/>
    </row>
    <row r="2011" spans="1:52">
      <c r="A2011" s="131"/>
      <c r="B2011" s="72"/>
      <c r="D2011" s="72"/>
      <c r="G2011" s="72"/>
      <c r="J2011" s="72"/>
      <c r="M2011" s="72"/>
      <c r="P2011" s="72"/>
      <c r="S2011" s="72"/>
      <c r="V2011" s="72"/>
      <c r="Y2011" s="72"/>
      <c r="AB2011" s="72"/>
      <c r="AE2011" s="72"/>
      <c r="AH2011" s="72"/>
      <c r="AK2011" s="72"/>
      <c r="AN2011" s="72"/>
      <c r="AQ2011" s="72"/>
      <c r="AT2011" s="72"/>
      <c r="AW2011" s="72"/>
      <c r="AZ2011" s="72"/>
    </row>
    <row r="2012" spans="1:52">
      <c r="A2012" s="131"/>
      <c r="B2012" s="72"/>
      <c r="D2012" s="72"/>
      <c r="G2012" s="72"/>
      <c r="J2012" s="72"/>
      <c r="M2012" s="72"/>
      <c r="P2012" s="72"/>
      <c r="S2012" s="72"/>
      <c r="V2012" s="72"/>
      <c r="Y2012" s="72"/>
      <c r="AB2012" s="72"/>
      <c r="AE2012" s="72"/>
      <c r="AH2012" s="72"/>
      <c r="AK2012" s="72"/>
      <c r="AN2012" s="72"/>
      <c r="AQ2012" s="72"/>
      <c r="AT2012" s="72"/>
      <c r="AW2012" s="72"/>
      <c r="AZ2012" s="72"/>
    </row>
    <row r="2013" spans="1:52">
      <c r="A2013" s="131"/>
      <c r="B2013" s="72"/>
      <c r="D2013" s="72"/>
      <c r="G2013" s="72"/>
      <c r="J2013" s="72"/>
      <c r="M2013" s="72"/>
      <c r="P2013" s="72"/>
      <c r="S2013" s="72"/>
      <c r="V2013" s="72"/>
      <c r="Y2013" s="72"/>
      <c r="AB2013" s="72"/>
      <c r="AE2013" s="72"/>
      <c r="AH2013" s="72"/>
      <c r="AK2013" s="72"/>
      <c r="AN2013" s="72"/>
      <c r="AQ2013" s="72"/>
      <c r="AT2013" s="72"/>
      <c r="AW2013" s="72"/>
      <c r="AZ2013" s="72"/>
    </row>
    <row r="2014" spans="1:52">
      <c r="A2014" s="131"/>
      <c r="B2014" s="72"/>
      <c r="D2014" s="72"/>
      <c r="G2014" s="72"/>
      <c r="J2014" s="72"/>
      <c r="M2014" s="72"/>
      <c r="P2014" s="72"/>
      <c r="S2014" s="72"/>
      <c r="V2014" s="72"/>
      <c r="Y2014" s="72"/>
      <c r="AB2014" s="72"/>
      <c r="AE2014" s="72"/>
      <c r="AH2014" s="72"/>
      <c r="AK2014" s="72"/>
      <c r="AN2014" s="72"/>
      <c r="AQ2014" s="72"/>
      <c r="AT2014" s="72"/>
      <c r="AW2014" s="72"/>
      <c r="AZ2014" s="72"/>
    </row>
    <row r="2015" spans="1:52">
      <c r="A2015" s="131"/>
      <c r="B2015" s="72"/>
      <c r="D2015" s="72"/>
      <c r="G2015" s="72"/>
      <c r="J2015" s="72"/>
      <c r="M2015" s="72"/>
      <c r="P2015" s="72"/>
      <c r="S2015" s="72"/>
      <c r="V2015" s="72"/>
      <c r="Y2015" s="72"/>
      <c r="AB2015" s="72"/>
      <c r="AE2015" s="72"/>
      <c r="AH2015" s="72"/>
      <c r="AK2015" s="72"/>
      <c r="AN2015" s="72"/>
      <c r="AQ2015" s="72"/>
      <c r="AT2015" s="72"/>
      <c r="AW2015" s="72"/>
      <c r="AZ2015" s="72"/>
    </row>
    <row r="2016" spans="1:52">
      <c r="A2016" s="131"/>
      <c r="B2016" s="72"/>
      <c r="D2016" s="72"/>
      <c r="G2016" s="72"/>
      <c r="J2016" s="72"/>
      <c r="M2016" s="72"/>
      <c r="P2016" s="72"/>
      <c r="S2016" s="72"/>
      <c r="V2016" s="72"/>
      <c r="Y2016" s="72"/>
      <c r="AB2016" s="72"/>
      <c r="AE2016" s="72"/>
      <c r="AH2016" s="72"/>
      <c r="AK2016" s="72"/>
      <c r="AN2016" s="72"/>
      <c r="AQ2016" s="72"/>
      <c r="AT2016" s="72"/>
      <c r="AW2016" s="72"/>
      <c r="AZ2016" s="72"/>
    </row>
    <row r="2017" spans="1:52">
      <c r="A2017" s="131"/>
      <c r="B2017" s="72"/>
      <c r="D2017" s="72"/>
      <c r="G2017" s="72"/>
      <c r="J2017" s="72"/>
      <c r="M2017" s="72"/>
      <c r="P2017" s="72"/>
      <c r="S2017" s="72"/>
      <c r="V2017" s="72"/>
      <c r="Y2017" s="72"/>
      <c r="AB2017" s="72"/>
      <c r="AE2017" s="72"/>
      <c r="AH2017" s="72"/>
      <c r="AK2017" s="72"/>
      <c r="AN2017" s="72"/>
      <c r="AQ2017" s="72"/>
      <c r="AT2017" s="72"/>
      <c r="AW2017" s="72"/>
      <c r="AZ2017" s="72"/>
    </row>
    <row r="2018" spans="1:52">
      <c r="A2018" s="131"/>
      <c r="B2018" s="72"/>
      <c r="D2018" s="72"/>
      <c r="G2018" s="72"/>
      <c r="J2018" s="72"/>
      <c r="M2018" s="72"/>
      <c r="P2018" s="72"/>
      <c r="S2018" s="72"/>
      <c r="V2018" s="72"/>
      <c r="Y2018" s="72"/>
      <c r="AB2018" s="72"/>
      <c r="AE2018" s="72"/>
      <c r="AH2018" s="72"/>
      <c r="AK2018" s="72"/>
      <c r="AN2018" s="72"/>
      <c r="AQ2018" s="72"/>
      <c r="AT2018" s="72"/>
      <c r="AW2018" s="72"/>
      <c r="AZ2018" s="72"/>
    </row>
    <row r="2019" spans="1:52">
      <c r="A2019" s="131"/>
      <c r="B2019" s="72"/>
      <c r="D2019" s="72"/>
      <c r="G2019" s="72"/>
      <c r="J2019" s="72"/>
      <c r="M2019" s="72"/>
      <c r="P2019" s="72"/>
      <c r="S2019" s="72"/>
      <c r="V2019" s="72"/>
      <c r="Y2019" s="72"/>
      <c r="AB2019" s="72"/>
      <c r="AE2019" s="72"/>
      <c r="AH2019" s="72"/>
      <c r="AK2019" s="72"/>
      <c r="AN2019" s="72"/>
      <c r="AQ2019" s="72"/>
      <c r="AT2019" s="72"/>
      <c r="AW2019" s="72"/>
      <c r="AZ2019" s="72"/>
    </row>
    <row r="2020" spans="1:52">
      <c r="A2020" s="131"/>
      <c r="B2020" s="72"/>
      <c r="D2020" s="72"/>
      <c r="G2020" s="72"/>
      <c r="J2020" s="72"/>
      <c r="M2020" s="72"/>
      <c r="P2020" s="72"/>
      <c r="S2020" s="72"/>
      <c r="V2020" s="72"/>
      <c r="Y2020" s="72"/>
      <c r="AB2020" s="72"/>
      <c r="AE2020" s="72"/>
      <c r="AH2020" s="72"/>
      <c r="AK2020" s="72"/>
      <c r="AN2020" s="72"/>
      <c r="AQ2020" s="72"/>
      <c r="AT2020" s="72"/>
      <c r="AW2020" s="72"/>
      <c r="AZ2020" s="72"/>
    </row>
    <row r="2021" spans="1:52">
      <c r="A2021" s="131"/>
      <c r="B2021" s="72"/>
      <c r="D2021" s="72"/>
      <c r="G2021" s="72"/>
      <c r="J2021" s="72"/>
      <c r="M2021" s="72"/>
      <c r="P2021" s="72"/>
      <c r="S2021" s="72"/>
      <c r="V2021" s="72"/>
      <c r="Y2021" s="72"/>
      <c r="AB2021" s="72"/>
      <c r="AE2021" s="72"/>
      <c r="AH2021" s="72"/>
      <c r="AK2021" s="72"/>
      <c r="AN2021" s="72"/>
      <c r="AQ2021" s="72"/>
      <c r="AT2021" s="72"/>
      <c r="AW2021" s="72"/>
      <c r="AZ2021" s="72"/>
    </row>
    <row r="2022" spans="1:52">
      <c r="A2022" s="131"/>
      <c r="B2022" s="72"/>
      <c r="D2022" s="72"/>
      <c r="G2022" s="72"/>
      <c r="J2022" s="72"/>
      <c r="M2022" s="72"/>
      <c r="P2022" s="72"/>
      <c r="S2022" s="72"/>
      <c r="V2022" s="72"/>
      <c r="Y2022" s="72"/>
      <c r="AB2022" s="72"/>
      <c r="AE2022" s="72"/>
      <c r="AH2022" s="72"/>
      <c r="AK2022" s="72"/>
      <c r="AN2022" s="72"/>
      <c r="AQ2022" s="72"/>
      <c r="AT2022" s="72"/>
      <c r="AW2022" s="72"/>
      <c r="AZ2022" s="72"/>
    </row>
    <row r="2023" spans="1:52">
      <c r="A2023" s="131"/>
      <c r="B2023" s="72"/>
      <c r="D2023" s="72"/>
      <c r="G2023" s="72"/>
      <c r="J2023" s="72"/>
      <c r="M2023" s="72"/>
      <c r="P2023" s="72"/>
      <c r="S2023" s="72"/>
      <c r="V2023" s="72"/>
      <c r="Y2023" s="72"/>
      <c r="AB2023" s="72"/>
      <c r="AE2023" s="72"/>
      <c r="AH2023" s="72"/>
      <c r="AK2023" s="72"/>
      <c r="AN2023" s="72"/>
      <c r="AQ2023" s="72"/>
      <c r="AT2023" s="72"/>
      <c r="AW2023" s="72"/>
      <c r="AZ2023" s="72"/>
    </row>
    <row r="2024" spans="1:52">
      <c r="A2024" s="131"/>
      <c r="B2024" s="72"/>
      <c r="D2024" s="72"/>
      <c r="G2024" s="72"/>
      <c r="J2024" s="72"/>
      <c r="M2024" s="72"/>
      <c r="P2024" s="72"/>
      <c r="S2024" s="72"/>
      <c r="V2024" s="72"/>
      <c r="Y2024" s="72"/>
      <c r="AB2024" s="72"/>
      <c r="AE2024" s="72"/>
      <c r="AH2024" s="72"/>
      <c r="AK2024" s="72"/>
      <c r="AN2024" s="72"/>
      <c r="AQ2024" s="72"/>
      <c r="AT2024" s="72"/>
      <c r="AW2024" s="72"/>
      <c r="AZ2024" s="72"/>
    </row>
    <row r="2025" spans="1:52">
      <c r="A2025" s="131"/>
      <c r="B2025" s="72"/>
      <c r="D2025" s="72"/>
      <c r="G2025" s="72"/>
      <c r="J2025" s="72"/>
      <c r="M2025" s="72"/>
      <c r="P2025" s="72"/>
      <c r="S2025" s="72"/>
      <c r="V2025" s="72"/>
      <c r="Y2025" s="72"/>
      <c r="AB2025" s="72"/>
      <c r="AE2025" s="72"/>
      <c r="AH2025" s="72"/>
      <c r="AK2025" s="72"/>
      <c r="AN2025" s="72"/>
      <c r="AQ2025" s="72"/>
      <c r="AT2025" s="72"/>
      <c r="AW2025" s="72"/>
      <c r="AZ2025" s="72"/>
    </row>
    <row r="2026" spans="1:52">
      <c r="A2026" s="131"/>
      <c r="B2026" s="72"/>
      <c r="D2026" s="72"/>
      <c r="G2026" s="72"/>
      <c r="J2026" s="72"/>
      <c r="M2026" s="72"/>
      <c r="P2026" s="72"/>
      <c r="S2026" s="72"/>
      <c r="V2026" s="72"/>
      <c r="Y2026" s="72"/>
      <c r="AB2026" s="72"/>
      <c r="AE2026" s="72"/>
      <c r="AH2026" s="72"/>
      <c r="AK2026" s="72"/>
      <c r="AN2026" s="72"/>
      <c r="AQ2026" s="72"/>
      <c r="AT2026" s="72"/>
      <c r="AW2026" s="72"/>
      <c r="AZ2026" s="72"/>
    </row>
    <row r="2027" spans="1:52">
      <c r="A2027" s="131"/>
      <c r="B2027" s="72"/>
      <c r="D2027" s="72"/>
      <c r="G2027" s="72"/>
      <c r="J2027" s="72"/>
      <c r="M2027" s="72"/>
      <c r="P2027" s="72"/>
      <c r="S2027" s="72"/>
      <c r="V2027" s="72"/>
      <c r="Y2027" s="72"/>
      <c r="AB2027" s="72"/>
      <c r="AE2027" s="72"/>
      <c r="AH2027" s="72"/>
      <c r="AK2027" s="72"/>
      <c r="AN2027" s="72"/>
      <c r="AQ2027" s="72"/>
      <c r="AT2027" s="72"/>
      <c r="AW2027" s="72"/>
      <c r="AZ2027" s="72"/>
    </row>
    <row r="2028" spans="1:52">
      <c r="A2028" s="131"/>
      <c r="B2028" s="72"/>
      <c r="D2028" s="72"/>
      <c r="G2028" s="72"/>
      <c r="J2028" s="72"/>
      <c r="M2028" s="72"/>
      <c r="P2028" s="72"/>
      <c r="S2028" s="72"/>
      <c r="V2028" s="72"/>
      <c r="Y2028" s="72"/>
      <c r="AB2028" s="72"/>
      <c r="AE2028" s="72"/>
      <c r="AH2028" s="72"/>
      <c r="AK2028" s="72"/>
      <c r="AN2028" s="72"/>
      <c r="AQ2028" s="72"/>
      <c r="AT2028" s="72"/>
      <c r="AW2028" s="72"/>
      <c r="AZ2028" s="72"/>
    </row>
    <row r="2029" spans="1:52">
      <c r="A2029" s="131"/>
      <c r="B2029" s="72"/>
      <c r="D2029" s="72"/>
      <c r="G2029" s="72"/>
      <c r="J2029" s="72"/>
      <c r="M2029" s="72"/>
      <c r="P2029" s="72"/>
      <c r="S2029" s="72"/>
      <c r="V2029" s="72"/>
      <c r="Y2029" s="72"/>
      <c r="AB2029" s="72"/>
      <c r="AE2029" s="72"/>
      <c r="AH2029" s="72"/>
      <c r="AK2029" s="72"/>
      <c r="AN2029" s="72"/>
      <c r="AQ2029" s="72"/>
      <c r="AT2029" s="72"/>
      <c r="AW2029" s="72"/>
      <c r="AZ2029" s="72"/>
    </row>
    <row r="2030" spans="1:52">
      <c r="A2030" s="131"/>
      <c r="B2030" s="72"/>
      <c r="D2030" s="72"/>
      <c r="G2030" s="72"/>
      <c r="J2030" s="72"/>
      <c r="M2030" s="72"/>
      <c r="P2030" s="72"/>
      <c r="S2030" s="72"/>
      <c r="V2030" s="72"/>
      <c r="Y2030" s="72"/>
      <c r="AB2030" s="72"/>
      <c r="AE2030" s="72"/>
      <c r="AH2030" s="72"/>
      <c r="AK2030" s="72"/>
      <c r="AN2030" s="72"/>
      <c r="AQ2030" s="72"/>
      <c r="AT2030" s="72"/>
      <c r="AW2030" s="72"/>
      <c r="AZ2030" s="72"/>
    </row>
    <row r="2031" spans="1:52">
      <c r="A2031" s="131"/>
      <c r="B2031" s="72"/>
      <c r="D2031" s="72"/>
      <c r="G2031" s="72"/>
      <c r="J2031" s="72"/>
      <c r="M2031" s="72"/>
      <c r="P2031" s="72"/>
      <c r="S2031" s="72"/>
      <c r="V2031" s="72"/>
      <c r="Y2031" s="72"/>
      <c r="AB2031" s="72"/>
      <c r="AE2031" s="72"/>
      <c r="AH2031" s="72"/>
      <c r="AK2031" s="72"/>
      <c r="AN2031" s="72"/>
      <c r="AQ2031" s="72"/>
      <c r="AT2031" s="72"/>
      <c r="AW2031" s="72"/>
      <c r="AZ2031" s="72"/>
    </row>
    <row r="2032" spans="1:52">
      <c r="A2032" s="131"/>
      <c r="B2032" s="72"/>
      <c r="D2032" s="72"/>
      <c r="G2032" s="72"/>
      <c r="J2032" s="72"/>
      <c r="M2032" s="72"/>
      <c r="P2032" s="72"/>
      <c r="S2032" s="72"/>
      <c r="V2032" s="72"/>
      <c r="Y2032" s="72"/>
      <c r="AB2032" s="72"/>
      <c r="AE2032" s="72"/>
      <c r="AH2032" s="72"/>
      <c r="AK2032" s="72"/>
      <c r="AN2032" s="72"/>
      <c r="AQ2032" s="72"/>
      <c r="AT2032" s="72"/>
      <c r="AW2032" s="72"/>
      <c r="AZ2032" s="72"/>
    </row>
    <row r="2033" spans="1:52">
      <c r="A2033" s="131"/>
      <c r="B2033" s="72"/>
      <c r="D2033" s="72"/>
      <c r="G2033" s="72"/>
      <c r="J2033" s="72"/>
      <c r="M2033" s="72"/>
      <c r="P2033" s="72"/>
      <c r="S2033" s="72"/>
      <c r="V2033" s="72"/>
      <c r="Y2033" s="72"/>
      <c r="AB2033" s="72"/>
      <c r="AE2033" s="72"/>
      <c r="AH2033" s="72"/>
      <c r="AK2033" s="72"/>
      <c r="AN2033" s="72"/>
      <c r="AQ2033" s="72"/>
      <c r="AT2033" s="72"/>
      <c r="AW2033" s="72"/>
      <c r="AZ2033" s="72"/>
    </row>
    <row r="2034" spans="1:52">
      <c r="A2034" s="131"/>
      <c r="B2034" s="72"/>
      <c r="D2034" s="72"/>
      <c r="G2034" s="72"/>
      <c r="J2034" s="72"/>
      <c r="M2034" s="72"/>
      <c r="P2034" s="72"/>
      <c r="S2034" s="72"/>
      <c r="V2034" s="72"/>
      <c r="Y2034" s="72"/>
      <c r="AB2034" s="72"/>
      <c r="AE2034" s="72"/>
      <c r="AH2034" s="72"/>
      <c r="AK2034" s="72"/>
      <c r="AN2034" s="72"/>
      <c r="AQ2034" s="72"/>
      <c r="AT2034" s="72"/>
      <c r="AW2034" s="72"/>
      <c r="AZ2034" s="72"/>
    </row>
    <row r="2035" spans="1:52">
      <c r="A2035" s="131"/>
      <c r="B2035" s="72"/>
      <c r="D2035" s="72"/>
      <c r="G2035" s="72"/>
      <c r="J2035" s="72"/>
      <c r="M2035" s="72"/>
      <c r="P2035" s="72"/>
      <c r="S2035" s="72"/>
      <c r="V2035" s="72"/>
      <c r="Y2035" s="72"/>
      <c r="AB2035" s="72"/>
      <c r="AE2035" s="72"/>
      <c r="AH2035" s="72"/>
      <c r="AK2035" s="72"/>
      <c r="AN2035" s="72"/>
      <c r="AQ2035" s="72"/>
      <c r="AT2035" s="72"/>
      <c r="AW2035" s="72"/>
      <c r="AZ2035" s="72"/>
    </row>
    <row r="2036" spans="1:52">
      <c r="A2036" s="131"/>
      <c r="B2036" s="72"/>
      <c r="D2036" s="72"/>
      <c r="G2036" s="72"/>
      <c r="J2036" s="72"/>
      <c r="M2036" s="72"/>
      <c r="P2036" s="72"/>
      <c r="S2036" s="72"/>
      <c r="V2036" s="72"/>
      <c r="Y2036" s="72"/>
      <c r="AB2036" s="72"/>
      <c r="AE2036" s="72"/>
      <c r="AH2036" s="72"/>
      <c r="AK2036" s="72"/>
      <c r="AN2036" s="72"/>
      <c r="AQ2036" s="72"/>
      <c r="AT2036" s="72"/>
      <c r="AW2036" s="72"/>
      <c r="AZ2036" s="72"/>
    </row>
    <row r="2037" spans="1:52">
      <c r="A2037" s="131"/>
      <c r="B2037" s="72"/>
      <c r="D2037" s="72"/>
      <c r="G2037" s="72"/>
      <c r="J2037" s="72"/>
      <c r="M2037" s="72"/>
      <c r="P2037" s="72"/>
      <c r="S2037" s="72"/>
      <c r="V2037" s="72"/>
      <c r="Y2037" s="72"/>
      <c r="AB2037" s="72"/>
      <c r="AE2037" s="72"/>
      <c r="AH2037" s="72"/>
      <c r="AK2037" s="72"/>
      <c r="AN2037" s="72"/>
      <c r="AQ2037" s="72"/>
      <c r="AT2037" s="72"/>
      <c r="AW2037" s="72"/>
      <c r="AZ2037" s="72"/>
    </row>
    <row r="2038" spans="1:52">
      <c r="A2038" s="131"/>
      <c r="B2038" s="72"/>
      <c r="D2038" s="72"/>
      <c r="G2038" s="72"/>
      <c r="J2038" s="72"/>
      <c r="M2038" s="72"/>
      <c r="P2038" s="72"/>
      <c r="S2038" s="72"/>
      <c r="V2038" s="72"/>
      <c r="Y2038" s="72"/>
      <c r="AB2038" s="72"/>
      <c r="AE2038" s="72"/>
      <c r="AH2038" s="72"/>
      <c r="AK2038" s="72"/>
      <c r="AN2038" s="72"/>
      <c r="AQ2038" s="72"/>
      <c r="AT2038" s="72"/>
      <c r="AW2038" s="72"/>
      <c r="AZ2038" s="72"/>
    </row>
    <row r="2039" spans="1:52">
      <c r="A2039" s="131"/>
      <c r="B2039" s="72"/>
      <c r="D2039" s="72"/>
      <c r="G2039" s="72"/>
      <c r="J2039" s="72"/>
      <c r="M2039" s="72"/>
      <c r="P2039" s="72"/>
      <c r="S2039" s="72"/>
      <c r="V2039" s="72"/>
      <c r="Y2039" s="72"/>
      <c r="AB2039" s="72"/>
      <c r="AE2039" s="72"/>
      <c r="AH2039" s="72"/>
      <c r="AK2039" s="72"/>
      <c r="AN2039" s="72"/>
      <c r="AQ2039" s="72"/>
      <c r="AT2039" s="72"/>
      <c r="AW2039" s="72"/>
      <c r="AZ2039" s="72"/>
    </row>
    <row r="2040" spans="1:52">
      <c r="A2040" s="131"/>
      <c r="B2040" s="72"/>
      <c r="D2040" s="72"/>
      <c r="G2040" s="72"/>
      <c r="J2040" s="72"/>
      <c r="M2040" s="72"/>
      <c r="P2040" s="72"/>
      <c r="S2040" s="72"/>
      <c r="V2040" s="72"/>
      <c r="Y2040" s="72"/>
      <c r="AB2040" s="72"/>
      <c r="AE2040" s="72"/>
      <c r="AH2040" s="72"/>
      <c r="AK2040" s="72"/>
      <c r="AN2040" s="72"/>
      <c r="AQ2040" s="72"/>
      <c r="AT2040" s="72"/>
      <c r="AW2040" s="72"/>
      <c r="AZ2040" s="72"/>
    </row>
    <row r="2041" spans="1:52">
      <c r="A2041" s="131"/>
      <c r="B2041" s="72"/>
      <c r="D2041" s="72"/>
      <c r="G2041" s="72"/>
      <c r="J2041" s="72"/>
      <c r="M2041" s="72"/>
      <c r="P2041" s="72"/>
      <c r="S2041" s="72"/>
      <c r="V2041" s="72"/>
      <c r="Y2041" s="72"/>
      <c r="AB2041" s="72"/>
      <c r="AE2041" s="72"/>
      <c r="AH2041" s="72"/>
      <c r="AK2041" s="72"/>
      <c r="AN2041" s="72"/>
      <c r="AQ2041" s="72"/>
      <c r="AT2041" s="72"/>
      <c r="AW2041" s="72"/>
      <c r="AZ2041" s="72"/>
    </row>
    <row r="2042" spans="1:52">
      <c r="A2042" s="131"/>
      <c r="B2042" s="72"/>
      <c r="D2042" s="72"/>
      <c r="G2042" s="72"/>
      <c r="J2042" s="72"/>
      <c r="M2042" s="72"/>
      <c r="P2042" s="72"/>
      <c r="S2042" s="72"/>
      <c r="V2042" s="72"/>
      <c r="Y2042" s="72"/>
      <c r="AB2042" s="72"/>
      <c r="AE2042" s="72"/>
      <c r="AH2042" s="72"/>
      <c r="AK2042" s="72"/>
      <c r="AN2042" s="72"/>
      <c r="AQ2042" s="72"/>
      <c r="AT2042" s="72"/>
      <c r="AW2042" s="72"/>
      <c r="AZ2042" s="72"/>
    </row>
    <row r="2043" spans="1:52">
      <c r="A2043" s="131"/>
      <c r="B2043" s="72"/>
      <c r="D2043" s="72"/>
      <c r="G2043" s="72"/>
      <c r="J2043" s="72"/>
      <c r="M2043" s="72"/>
      <c r="P2043" s="72"/>
      <c r="S2043" s="72"/>
      <c r="V2043" s="72"/>
      <c r="Y2043" s="72"/>
      <c r="AB2043" s="72"/>
      <c r="AE2043" s="72"/>
      <c r="AH2043" s="72"/>
      <c r="AK2043" s="72"/>
      <c r="AN2043" s="72"/>
      <c r="AQ2043" s="72"/>
      <c r="AT2043" s="72"/>
      <c r="AW2043" s="72"/>
      <c r="AZ2043" s="72"/>
    </row>
    <row r="2044" spans="1:52">
      <c r="A2044" s="131"/>
      <c r="B2044" s="72"/>
      <c r="D2044" s="72"/>
      <c r="G2044" s="72"/>
      <c r="J2044" s="72"/>
      <c r="M2044" s="72"/>
      <c r="P2044" s="72"/>
      <c r="S2044" s="72"/>
      <c r="V2044" s="72"/>
      <c r="Y2044" s="72"/>
      <c r="AB2044" s="72"/>
      <c r="AE2044" s="72"/>
      <c r="AH2044" s="72"/>
      <c r="AK2044" s="72"/>
      <c r="AN2044" s="72"/>
      <c r="AQ2044" s="72"/>
      <c r="AT2044" s="72"/>
      <c r="AW2044" s="72"/>
      <c r="AZ2044" s="72"/>
    </row>
    <row r="2045" spans="1:52">
      <c r="A2045" s="131"/>
      <c r="B2045" s="72"/>
      <c r="D2045" s="72"/>
      <c r="G2045" s="72"/>
      <c r="J2045" s="72"/>
      <c r="M2045" s="72"/>
      <c r="P2045" s="72"/>
      <c r="S2045" s="72"/>
      <c r="V2045" s="72"/>
      <c r="Y2045" s="72"/>
      <c r="AB2045" s="72"/>
      <c r="AE2045" s="72"/>
      <c r="AH2045" s="72"/>
      <c r="AK2045" s="72"/>
      <c r="AN2045" s="72"/>
      <c r="AQ2045" s="72"/>
      <c r="AT2045" s="72"/>
      <c r="AW2045" s="72"/>
      <c r="AZ2045" s="72"/>
    </row>
    <row r="2046" spans="1:52">
      <c r="A2046" s="131"/>
      <c r="B2046" s="72"/>
      <c r="D2046" s="72"/>
      <c r="G2046" s="72"/>
      <c r="J2046" s="72"/>
      <c r="M2046" s="72"/>
      <c r="P2046" s="72"/>
      <c r="S2046" s="72"/>
      <c r="V2046" s="72"/>
      <c r="Y2046" s="72"/>
      <c r="AB2046" s="72"/>
      <c r="AE2046" s="72"/>
      <c r="AH2046" s="72"/>
      <c r="AK2046" s="72"/>
      <c r="AN2046" s="72"/>
      <c r="AQ2046" s="72"/>
      <c r="AT2046" s="72"/>
      <c r="AW2046" s="72"/>
      <c r="AZ2046" s="72"/>
    </row>
    <row r="2047" spans="1:52">
      <c r="A2047" s="131"/>
      <c r="B2047" s="72"/>
      <c r="D2047" s="72"/>
      <c r="G2047" s="72"/>
      <c r="J2047" s="72"/>
      <c r="M2047" s="72"/>
      <c r="P2047" s="72"/>
      <c r="S2047" s="72"/>
      <c r="V2047" s="72"/>
      <c r="Y2047" s="72"/>
      <c r="AB2047" s="72"/>
      <c r="AE2047" s="72"/>
      <c r="AH2047" s="72"/>
      <c r="AK2047" s="72"/>
      <c r="AN2047" s="72"/>
      <c r="AQ2047" s="72"/>
      <c r="AT2047" s="72"/>
      <c r="AW2047" s="72"/>
      <c r="AZ2047" s="72"/>
    </row>
    <row r="2048" spans="1:52">
      <c r="A2048" s="131"/>
      <c r="B2048" s="72"/>
      <c r="D2048" s="72"/>
      <c r="G2048" s="72"/>
      <c r="J2048" s="72"/>
      <c r="M2048" s="72"/>
      <c r="P2048" s="72"/>
      <c r="S2048" s="72"/>
      <c r="V2048" s="72"/>
      <c r="Y2048" s="72"/>
      <c r="AB2048" s="72"/>
      <c r="AE2048" s="72"/>
      <c r="AH2048" s="72"/>
      <c r="AK2048" s="72"/>
      <c r="AN2048" s="72"/>
      <c r="AQ2048" s="72"/>
      <c r="AT2048" s="72"/>
      <c r="AW2048" s="72"/>
      <c r="AZ2048" s="72"/>
    </row>
    <row r="2049" spans="1:52">
      <c r="A2049" s="131"/>
      <c r="B2049" s="72"/>
      <c r="D2049" s="72"/>
      <c r="G2049" s="72"/>
      <c r="J2049" s="72"/>
      <c r="M2049" s="72"/>
      <c r="P2049" s="72"/>
      <c r="S2049" s="72"/>
      <c r="V2049" s="72"/>
      <c r="Y2049" s="72"/>
      <c r="AB2049" s="72"/>
      <c r="AE2049" s="72"/>
      <c r="AH2049" s="72"/>
      <c r="AK2049" s="72"/>
      <c r="AN2049" s="72"/>
      <c r="AQ2049" s="72"/>
      <c r="AT2049" s="72"/>
      <c r="AW2049" s="72"/>
      <c r="AZ2049" s="72"/>
    </row>
    <row r="2050" spans="1:52">
      <c r="A2050" s="131"/>
      <c r="B2050" s="72"/>
      <c r="D2050" s="72"/>
      <c r="G2050" s="72"/>
      <c r="J2050" s="72"/>
      <c r="M2050" s="72"/>
      <c r="P2050" s="72"/>
      <c r="S2050" s="72"/>
      <c r="V2050" s="72"/>
      <c r="Y2050" s="72"/>
      <c r="AB2050" s="72"/>
      <c r="AE2050" s="72"/>
      <c r="AH2050" s="72"/>
      <c r="AK2050" s="72"/>
      <c r="AN2050" s="72"/>
      <c r="AQ2050" s="72"/>
      <c r="AT2050" s="72"/>
      <c r="AW2050" s="72"/>
      <c r="AZ2050" s="72"/>
    </row>
    <row r="2051" spans="1:52">
      <c r="A2051" s="131"/>
      <c r="B2051" s="72"/>
      <c r="D2051" s="72"/>
      <c r="G2051" s="72"/>
      <c r="J2051" s="72"/>
      <c r="M2051" s="72"/>
      <c r="P2051" s="72"/>
      <c r="S2051" s="72"/>
      <c r="V2051" s="72"/>
      <c r="Y2051" s="72"/>
      <c r="AB2051" s="72"/>
      <c r="AE2051" s="72"/>
      <c r="AH2051" s="72"/>
      <c r="AK2051" s="72"/>
      <c r="AN2051" s="72"/>
      <c r="AQ2051" s="72"/>
      <c r="AT2051" s="72"/>
      <c r="AW2051" s="72"/>
      <c r="AZ2051" s="72"/>
    </row>
    <row r="2052" spans="1:52">
      <c r="A2052" s="131"/>
      <c r="B2052" s="72"/>
      <c r="D2052" s="72"/>
      <c r="G2052" s="72"/>
      <c r="J2052" s="72"/>
      <c r="M2052" s="72"/>
      <c r="P2052" s="72"/>
      <c r="S2052" s="72"/>
      <c r="V2052" s="72"/>
      <c r="Y2052" s="72"/>
      <c r="AB2052" s="72"/>
      <c r="AE2052" s="72"/>
      <c r="AH2052" s="72"/>
      <c r="AK2052" s="72"/>
      <c r="AN2052" s="72"/>
      <c r="AQ2052" s="72"/>
      <c r="AT2052" s="72"/>
      <c r="AW2052" s="72"/>
      <c r="AZ2052" s="72"/>
    </row>
    <row r="2053" spans="1:52">
      <c r="A2053" s="131"/>
      <c r="B2053" s="72"/>
      <c r="D2053" s="72"/>
      <c r="G2053" s="72"/>
      <c r="J2053" s="72"/>
      <c r="M2053" s="72"/>
      <c r="P2053" s="72"/>
      <c r="S2053" s="72"/>
      <c r="V2053" s="72"/>
      <c r="Y2053" s="72"/>
      <c r="AB2053" s="72"/>
      <c r="AE2053" s="72"/>
      <c r="AH2053" s="72"/>
      <c r="AK2053" s="72"/>
      <c r="AN2053" s="72"/>
      <c r="AQ2053" s="72"/>
      <c r="AT2053" s="72"/>
      <c r="AW2053" s="72"/>
      <c r="AZ2053" s="72"/>
    </row>
    <row r="2054" spans="1:52">
      <c r="A2054" s="131"/>
      <c r="B2054" s="72"/>
      <c r="D2054" s="72"/>
      <c r="G2054" s="72"/>
      <c r="J2054" s="72"/>
      <c r="M2054" s="72"/>
      <c r="P2054" s="72"/>
      <c r="S2054" s="72"/>
      <c r="V2054" s="72"/>
      <c r="Y2054" s="72"/>
      <c r="AB2054" s="72"/>
      <c r="AE2054" s="72"/>
      <c r="AH2054" s="72"/>
      <c r="AK2054" s="72"/>
      <c r="AN2054" s="72"/>
      <c r="AQ2054" s="72"/>
      <c r="AT2054" s="72"/>
      <c r="AW2054" s="72"/>
      <c r="AZ2054" s="72"/>
    </row>
    <row r="2055" spans="1:52">
      <c r="A2055" s="131"/>
      <c r="B2055" s="72"/>
      <c r="D2055" s="72"/>
      <c r="G2055" s="72"/>
      <c r="J2055" s="72"/>
      <c r="M2055" s="72"/>
      <c r="P2055" s="72"/>
      <c r="S2055" s="72"/>
      <c r="V2055" s="72"/>
      <c r="Y2055" s="72"/>
      <c r="AB2055" s="72"/>
      <c r="AE2055" s="72"/>
      <c r="AH2055" s="72"/>
      <c r="AK2055" s="72"/>
      <c r="AN2055" s="72"/>
      <c r="AQ2055" s="72"/>
      <c r="AT2055" s="72"/>
      <c r="AW2055" s="72"/>
      <c r="AZ2055" s="72"/>
    </row>
    <row r="2056" spans="1:52">
      <c r="A2056" s="131"/>
      <c r="B2056" s="72"/>
      <c r="D2056" s="72"/>
      <c r="G2056" s="72"/>
      <c r="J2056" s="72"/>
      <c r="M2056" s="72"/>
      <c r="P2056" s="72"/>
      <c r="S2056" s="72"/>
      <c r="V2056" s="72"/>
      <c r="Y2056" s="72"/>
      <c r="AB2056" s="72"/>
      <c r="AE2056" s="72"/>
      <c r="AH2056" s="72"/>
      <c r="AK2056" s="72"/>
      <c r="AN2056" s="72"/>
      <c r="AQ2056" s="72"/>
      <c r="AT2056" s="72"/>
      <c r="AW2056" s="72"/>
      <c r="AZ2056" s="72"/>
    </row>
    <row r="2057" spans="1:52">
      <c r="A2057" s="131"/>
      <c r="B2057" s="72"/>
      <c r="D2057" s="72"/>
      <c r="G2057" s="72"/>
      <c r="J2057" s="72"/>
      <c r="M2057" s="72"/>
      <c r="P2057" s="72"/>
      <c r="S2057" s="72"/>
      <c r="V2057" s="72"/>
      <c r="Y2057" s="72"/>
      <c r="AB2057" s="72"/>
      <c r="AE2057" s="72"/>
      <c r="AH2057" s="72"/>
      <c r="AK2057" s="72"/>
      <c r="AN2057" s="72"/>
      <c r="AQ2057" s="72"/>
      <c r="AT2057" s="72"/>
      <c r="AW2057" s="72"/>
      <c r="AZ2057" s="72"/>
    </row>
    <row r="2058" spans="1:52">
      <c r="A2058" s="131"/>
      <c r="B2058" s="72"/>
      <c r="D2058" s="72"/>
      <c r="G2058" s="72"/>
      <c r="J2058" s="72"/>
      <c r="M2058" s="72"/>
      <c r="P2058" s="72"/>
      <c r="S2058" s="72"/>
      <c r="V2058" s="72"/>
      <c r="Y2058" s="72"/>
      <c r="AB2058" s="72"/>
      <c r="AE2058" s="72"/>
      <c r="AH2058" s="72"/>
      <c r="AK2058" s="72"/>
      <c r="AN2058" s="72"/>
      <c r="AQ2058" s="72"/>
      <c r="AT2058" s="72"/>
      <c r="AW2058" s="72"/>
      <c r="AZ2058" s="72"/>
    </row>
    <row r="2059" spans="1:52">
      <c r="A2059" s="131"/>
      <c r="B2059" s="72"/>
      <c r="D2059" s="72"/>
      <c r="G2059" s="72"/>
      <c r="J2059" s="72"/>
      <c r="M2059" s="72"/>
      <c r="P2059" s="72"/>
      <c r="S2059" s="72"/>
      <c r="V2059" s="72"/>
      <c r="Y2059" s="72"/>
      <c r="AB2059" s="72"/>
      <c r="AE2059" s="72"/>
      <c r="AH2059" s="72"/>
      <c r="AK2059" s="72"/>
      <c r="AN2059" s="72"/>
      <c r="AQ2059" s="72"/>
      <c r="AT2059" s="72"/>
      <c r="AW2059" s="72"/>
      <c r="AZ2059" s="72"/>
    </row>
    <row r="2060" spans="1:52">
      <c r="A2060" s="131"/>
      <c r="B2060" s="72"/>
      <c r="D2060" s="72"/>
      <c r="G2060" s="72"/>
      <c r="J2060" s="72"/>
      <c r="M2060" s="72"/>
      <c r="P2060" s="72"/>
      <c r="S2060" s="72"/>
      <c r="V2060" s="72"/>
      <c r="Y2060" s="72"/>
      <c r="AB2060" s="72"/>
      <c r="AE2060" s="72"/>
      <c r="AH2060" s="72"/>
      <c r="AK2060" s="72"/>
      <c r="AN2060" s="72"/>
      <c r="AQ2060" s="72"/>
      <c r="AT2060" s="72"/>
      <c r="AW2060" s="72"/>
      <c r="AZ2060" s="72"/>
    </row>
    <row r="2061" spans="1:52">
      <c r="A2061" s="131"/>
      <c r="B2061" s="72"/>
      <c r="D2061" s="72"/>
      <c r="G2061" s="72"/>
      <c r="J2061" s="72"/>
      <c r="M2061" s="72"/>
      <c r="P2061" s="72"/>
      <c r="S2061" s="72"/>
      <c r="V2061" s="72"/>
      <c r="Y2061" s="72"/>
      <c r="AB2061" s="72"/>
      <c r="AE2061" s="72"/>
      <c r="AH2061" s="72"/>
      <c r="AK2061" s="72"/>
      <c r="AN2061" s="72"/>
      <c r="AQ2061" s="72"/>
      <c r="AT2061" s="72"/>
      <c r="AW2061" s="72"/>
      <c r="AZ2061" s="72"/>
    </row>
    <row r="2062" spans="1:52">
      <c r="A2062" s="131"/>
      <c r="B2062" s="72"/>
      <c r="D2062" s="72"/>
      <c r="G2062" s="72"/>
      <c r="J2062" s="72"/>
      <c r="M2062" s="72"/>
      <c r="P2062" s="72"/>
      <c r="S2062" s="72"/>
      <c r="V2062" s="72"/>
      <c r="Y2062" s="72"/>
      <c r="AB2062" s="72"/>
      <c r="AE2062" s="72"/>
      <c r="AH2062" s="72"/>
      <c r="AK2062" s="72"/>
      <c r="AN2062" s="72"/>
      <c r="AQ2062" s="72"/>
      <c r="AT2062" s="72"/>
      <c r="AW2062" s="72"/>
      <c r="AZ2062" s="72"/>
    </row>
    <row r="2063" spans="1:52">
      <c r="A2063" s="131"/>
      <c r="B2063" s="72"/>
      <c r="D2063" s="72"/>
      <c r="G2063" s="72"/>
      <c r="J2063" s="72"/>
      <c r="M2063" s="72"/>
      <c r="P2063" s="72"/>
      <c r="S2063" s="72"/>
      <c r="V2063" s="72"/>
      <c r="Y2063" s="72"/>
      <c r="AB2063" s="72"/>
      <c r="AE2063" s="72"/>
      <c r="AH2063" s="72"/>
      <c r="AK2063" s="72"/>
      <c r="AN2063" s="72"/>
      <c r="AQ2063" s="72"/>
      <c r="AT2063" s="72"/>
      <c r="AW2063" s="72"/>
      <c r="AZ2063" s="72"/>
    </row>
    <row r="2064" spans="1:52">
      <c r="A2064" s="131"/>
      <c r="B2064" s="72"/>
      <c r="D2064" s="72"/>
      <c r="G2064" s="72"/>
      <c r="J2064" s="72"/>
      <c r="M2064" s="72"/>
      <c r="P2064" s="72"/>
      <c r="S2064" s="72"/>
      <c r="V2064" s="72"/>
      <c r="Y2064" s="72"/>
      <c r="AB2064" s="72"/>
      <c r="AE2064" s="72"/>
      <c r="AH2064" s="72"/>
      <c r="AK2064" s="72"/>
      <c r="AN2064" s="72"/>
      <c r="AQ2064" s="72"/>
      <c r="AT2064" s="72"/>
      <c r="AW2064" s="72"/>
      <c r="AZ2064" s="72"/>
    </row>
    <row r="2065" spans="1:52">
      <c r="A2065" s="131"/>
      <c r="B2065" s="72"/>
      <c r="D2065" s="72"/>
      <c r="G2065" s="72"/>
      <c r="J2065" s="72"/>
      <c r="M2065" s="72"/>
      <c r="P2065" s="72"/>
      <c r="S2065" s="72"/>
      <c r="V2065" s="72"/>
      <c r="Y2065" s="72"/>
      <c r="AB2065" s="72"/>
      <c r="AE2065" s="72"/>
      <c r="AH2065" s="72"/>
      <c r="AK2065" s="72"/>
      <c r="AN2065" s="72"/>
      <c r="AQ2065" s="72"/>
      <c r="AT2065" s="72"/>
      <c r="AW2065" s="72"/>
      <c r="AZ2065" s="72"/>
    </row>
    <row r="2066" spans="1:52">
      <c r="A2066" s="131"/>
      <c r="B2066" s="72"/>
      <c r="D2066" s="72"/>
      <c r="G2066" s="72"/>
      <c r="J2066" s="72"/>
      <c r="M2066" s="72"/>
      <c r="P2066" s="72"/>
      <c r="S2066" s="72"/>
      <c r="V2066" s="72"/>
      <c r="Y2066" s="72"/>
      <c r="AB2066" s="72"/>
      <c r="AE2066" s="72"/>
      <c r="AH2066" s="72"/>
      <c r="AK2066" s="72"/>
      <c r="AN2066" s="72"/>
      <c r="AQ2066" s="72"/>
      <c r="AT2066" s="72"/>
      <c r="AW2066" s="72"/>
      <c r="AZ2066" s="72"/>
    </row>
    <row r="2067" spans="1:52">
      <c r="A2067" s="131"/>
      <c r="B2067" s="72"/>
      <c r="D2067" s="72"/>
      <c r="G2067" s="72"/>
      <c r="J2067" s="72"/>
      <c r="M2067" s="72"/>
      <c r="P2067" s="72"/>
      <c r="S2067" s="72"/>
      <c r="V2067" s="72"/>
      <c r="Y2067" s="72"/>
      <c r="AB2067" s="72"/>
      <c r="AE2067" s="72"/>
      <c r="AH2067" s="72"/>
      <c r="AK2067" s="72"/>
      <c r="AN2067" s="72"/>
      <c r="AQ2067" s="72"/>
      <c r="AT2067" s="72"/>
      <c r="AW2067" s="72"/>
      <c r="AZ2067" s="72"/>
    </row>
    <row r="2068" spans="1:52">
      <c r="A2068" s="131"/>
      <c r="B2068" s="72"/>
      <c r="D2068" s="72"/>
      <c r="G2068" s="72"/>
      <c r="J2068" s="72"/>
      <c r="M2068" s="72"/>
      <c r="P2068" s="72"/>
      <c r="S2068" s="72"/>
      <c r="V2068" s="72"/>
      <c r="Y2068" s="72"/>
      <c r="AB2068" s="72"/>
      <c r="AE2068" s="72"/>
      <c r="AH2068" s="72"/>
      <c r="AK2068" s="72"/>
      <c r="AN2068" s="72"/>
      <c r="AQ2068" s="72"/>
      <c r="AT2068" s="72"/>
      <c r="AW2068" s="72"/>
      <c r="AZ2068" s="72"/>
    </row>
    <row r="2069" spans="1:52">
      <c r="A2069" s="131"/>
      <c r="B2069" s="72"/>
      <c r="D2069" s="72"/>
      <c r="G2069" s="72"/>
      <c r="J2069" s="72"/>
      <c r="M2069" s="72"/>
      <c r="P2069" s="72"/>
      <c r="S2069" s="72"/>
      <c r="V2069" s="72"/>
      <c r="Y2069" s="72"/>
      <c r="AB2069" s="72"/>
      <c r="AE2069" s="72"/>
      <c r="AH2069" s="72"/>
      <c r="AK2069" s="72"/>
      <c r="AN2069" s="72"/>
      <c r="AQ2069" s="72"/>
      <c r="AT2069" s="72"/>
      <c r="AW2069" s="72"/>
      <c r="AZ2069" s="72"/>
    </row>
    <row r="2070" spans="1:52">
      <c r="A2070" s="131"/>
      <c r="B2070" s="72"/>
      <c r="D2070" s="72"/>
      <c r="G2070" s="72"/>
      <c r="J2070" s="72"/>
      <c r="M2070" s="72"/>
      <c r="P2070" s="72"/>
      <c r="S2070" s="72"/>
      <c r="V2070" s="72"/>
      <c r="Y2070" s="72"/>
      <c r="AB2070" s="72"/>
      <c r="AE2070" s="72"/>
      <c r="AH2070" s="72"/>
      <c r="AK2070" s="72"/>
      <c r="AN2070" s="72"/>
      <c r="AQ2070" s="72"/>
      <c r="AT2070" s="72"/>
      <c r="AW2070" s="72"/>
      <c r="AZ2070" s="72"/>
    </row>
    <row r="2071" spans="1:52">
      <c r="A2071" s="131"/>
      <c r="B2071" s="72"/>
      <c r="D2071" s="72"/>
      <c r="G2071" s="72"/>
      <c r="J2071" s="72"/>
      <c r="M2071" s="72"/>
      <c r="P2071" s="72"/>
      <c r="S2071" s="72"/>
      <c r="V2071" s="72"/>
      <c r="Y2071" s="72"/>
      <c r="AB2071" s="72"/>
      <c r="AE2071" s="72"/>
      <c r="AH2071" s="72"/>
      <c r="AK2071" s="72"/>
      <c r="AN2071" s="72"/>
      <c r="AQ2071" s="72"/>
      <c r="AT2071" s="72"/>
      <c r="AW2071" s="72"/>
      <c r="AZ2071" s="72"/>
    </row>
    <row r="2072" spans="1:52">
      <c r="A2072" s="131"/>
      <c r="B2072" s="72"/>
      <c r="D2072" s="72"/>
      <c r="G2072" s="72"/>
      <c r="J2072" s="72"/>
      <c r="M2072" s="72"/>
      <c r="P2072" s="72"/>
      <c r="S2072" s="72"/>
      <c r="V2072" s="72"/>
      <c r="Y2072" s="72"/>
      <c r="AB2072" s="72"/>
      <c r="AE2072" s="72"/>
      <c r="AH2072" s="72"/>
      <c r="AK2072" s="72"/>
      <c r="AN2072" s="72"/>
      <c r="AQ2072" s="72"/>
      <c r="AT2072" s="72"/>
      <c r="AW2072" s="72"/>
      <c r="AZ2072" s="72"/>
    </row>
    <row r="2073" spans="1:52">
      <c r="A2073" s="131"/>
      <c r="B2073" s="72"/>
      <c r="D2073" s="72"/>
      <c r="G2073" s="72"/>
      <c r="J2073" s="72"/>
      <c r="M2073" s="72"/>
      <c r="P2073" s="72"/>
      <c r="S2073" s="72"/>
      <c r="V2073" s="72"/>
      <c r="Y2073" s="72"/>
      <c r="AB2073" s="72"/>
      <c r="AE2073" s="72"/>
      <c r="AH2073" s="72"/>
      <c r="AK2073" s="72"/>
      <c r="AN2073" s="72"/>
      <c r="AQ2073" s="72"/>
      <c r="AT2073" s="72"/>
      <c r="AW2073" s="72"/>
      <c r="AZ2073" s="72"/>
    </row>
    <row r="2074" spans="1:52">
      <c r="A2074" s="131"/>
      <c r="B2074" s="72"/>
      <c r="D2074" s="72"/>
      <c r="G2074" s="72"/>
      <c r="J2074" s="72"/>
      <c r="M2074" s="72"/>
      <c r="P2074" s="72"/>
      <c r="S2074" s="72"/>
      <c r="V2074" s="72"/>
      <c r="Y2074" s="72"/>
      <c r="AB2074" s="72"/>
      <c r="AE2074" s="72"/>
      <c r="AH2074" s="72"/>
      <c r="AK2074" s="72"/>
      <c r="AN2074" s="72"/>
      <c r="AQ2074" s="72"/>
      <c r="AT2074" s="72"/>
      <c r="AW2074" s="72"/>
      <c r="AZ2074" s="72"/>
    </row>
    <row r="2075" spans="1:52">
      <c r="A2075" s="131"/>
      <c r="B2075" s="72"/>
      <c r="D2075" s="72"/>
      <c r="G2075" s="72"/>
      <c r="J2075" s="72"/>
      <c r="M2075" s="72"/>
      <c r="P2075" s="72"/>
      <c r="S2075" s="72"/>
      <c r="V2075" s="72"/>
      <c r="Y2075" s="72"/>
      <c r="AB2075" s="72"/>
      <c r="AE2075" s="72"/>
      <c r="AH2075" s="72"/>
      <c r="AK2075" s="72"/>
      <c r="AN2075" s="72"/>
      <c r="AQ2075" s="72"/>
      <c r="AT2075" s="72"/>
      <c r="AW2075" s="72"/>
      <c r="AZ2075" s="72"/>
    </row>
    <row r="2076" spans="1:52">
      <c r="A2076" s="131"/>
      <c r="B2076" s="72"/>
      <c r="D2076" s="72"/>
      <c r="G2076" s="72"/>
      <c r="J2076" s="72"/>
      <c r="M2076" s="72"/>
      <c r="P2076" s="72"/>
      <c r="S2076" s="72"/>
      <c r="V2076" s="72"/>
      <c r="Y2076" s="72"/>
      <c r="AB2076" s="72"/>
      <c r="AE2076" s="72"/>
      <c r="AH2076" s="72"/>
      <c r="AK2076" s="72"/>
      <c r="AN2076" s="72"/>
      <c r="AQ2076" s="72"/>
      <c r="AT2076" s="72"/>
      <c r="AW2076" s="72"/>
      <c r="AZ2076" s="72"/>
    </row>
    <row r="2077" spans="1:52">
      <c r="A2077" s="131"/>
      <c r="B2077" s="72"/>
      <c r="D2077" s="72"/>
      <c r="G2077" s="72"/>
      <c r="J2077" s="72"/>
      <c r="M2077" s="72"/>
      <c r="P2077" s="72"/>
      <c r="S2077" s="72"/>
      <c r="V2077" s="72"/>
      <c r="Y2077" s="72"/>
      <c r="AB2077" s="72"/>
      <c r="AE2077" s="72"/>
      <c r="AH2077" s="72"/>
      <c r="AK2077" s="72"/>
      <c r="AN2077" s="72"/>
      <c r="AQ2077" s="72"/>
      <c r="AT2077" s="72"/>
      <c r="AW2077" s="72"/>
      <c r="AZ2077" s="72"/>
    </row>
    <row r="2078" spans="1:52">
      <c r="A2078" s="131"/>
      <c r="B2078" s="72"/>
      <c r="D2078" s="72"/>
      <c r="G2078" s="72"/>
      <c r="J2078" s="72"/>
      <c r="M2078" s="72"/>
      <c r="P2078" s="72"/>
      <c r="S2078" s="72"/>
      <c r="V2078" s="72"/>
      <c r="Y2078" s="72"/>
      <c r="AB2078" s="72"/>
      <c r="AE2078" s="72"/>
      <c r="AH2078" s="72"/>
      <c r="AK2078" s="72"/>
      <c r="AN2078" s="72"/>
      <c r="AQ2078" s="72"/>
      <c r="AT2078" s="72"/>
      <c r="AW2078" s="72"/>
      <c r="AZ2078" s="72"/>
    </row>
    <row r="2079" spans="1:52">
      <c r="A2079" s="131"/>
      <c r="B2079" s="72"/>
      <c r="D2079" s="72"/>
      <c r="G2079" s="72"/>
      <c r="J2079" s="72"/>
      <c r="M2079" s="72"/>
      <c r="P2079" s="72"/>
      <c r="S2079" s="72"/>
      <c r="V2079" s="72"/>
      <c r="Y2079" s="72"/>
      <c r="AB2079" s="72"/>
      <c r="AE2079" s="72"/>
      <c r="AH2079" s="72"/>
      <c r="AK2079" s="72"/>
      <c r="AN2079" s="72"/>
      <c r="AQ2079" s="72"/>
      <c r="AT2079" s="72"/>
      <c r="AW2079" s="72"/>
      <c r="AZ2079" s="72"/>
    </row>
    <row r="2080" spans="1:52">
      <c r="A2080" s="131"/>
      <c r="B2080" s="72"/>
      <c r="D2080" s="72"/>
      <c r="G2080" s="72"/>
      <c r="J2080" s="72"/>
      <c r="M2080" s="72"/>
      <c r="P2080" s="72"/>
      <c r="S2080" s="72"/>
      <c r="V2080" s="72"/>
      <c r="Y2080" s="72"/>
      <c r="AB2080" s="72"/>
      <c r="AE2080" s="72"/>
      <c r="AH2080" s="72"/>
      <c r="AK2080" s="72"/>
      <c r="AN2080" s="72"/>
      <c r="AQ2080" s="72"/>
      <c r="AT2080" s="72"/>
      <c r="AW2080" s="72"/>
      <c r="AZ2080" s="72"/>
    </row>
    <row r="2081" spans="1:52">
      <c r="A2081" s="131"/>
      <c r="B2081" s="72"/>
      <c r="D2081" s="72"/>
      <c r="G2081" s="72"/>
      <c r="J2081" s="72"/>
      <c r="M2081" s="72"/>
      <c r="P2081" s="72"/>
      <c r="S2081" s="72"/>
      <c r="V2081" s="72"/>
      <c r="Y2081" s="72"/>
      <c r="AB2081" s="72"/>
      <c r="AE2081" s="72"/>
      <c r="AH2081" s="72"/>
      <c r="AK2081" s="72"/>
      <c r="AN2081" s="72"/>
      <c r="AQ2081" s="72"/>
      <c r="AT2081" s="72"/>
      <c r="AW2081" s="72"/>
      <c r="AZ2081" s="72"/>
    </row>
    <row r="2082" spans="1:52">
      <c r="A2082" s="131"/>
      <c r="B2082" s="72"/>
      <c r="D2082" s="72"/>
      <c r="G2082" s="72"/>
      <c r="J2082" s="72"/>
      <c r="M2082" s="72"/>
      <c r="P2082" s="72"/>
      <c r="S2082" s="72"/>
      <c r="V2082" s="72"/>
      <c r="Y2082" s="72"/>
      <c r="AB2082" s="72"/>
      <c r="AE2082" s="72"/>
      <c r="AH2082" s="72"/>
      <c r="AK2082" s="72"/>
      <c r="AN2082" s="72"/>
      <c r="AQ2082" s="72"/>
      <c r="AT2082" s="72"/>
      <c r="AW2082" s="72"/>
      <c r="AZ2082" s="72"/>
    </row>
    <row r="2083" spans="1:52">
      <c r="A2083" s="131"/>
      <c r="B2083" s="72"/>
      <c r="D2083" s="72"/>
      <c r="G2083" s="72"/>
      <c r="J2083" s="72"/>
      <c r="M2083" s="72"/>
      <c r="P2083" s="72"/>
      <c r="S2083" s="72"/>
      <c r="V2083" s="72"/>
      <c r="Y2083" s="72"/>
      <c r="AB2083" s="72"/>
      <c r="AE2083" s="72"/>
      <c r="AH2083" s="72"/>
      <c r="AK2083" s="72"/>
      <c r="AN2083" s="72"/>
      <c r="AQ2083" s="72"/>
      <c r="AT2083" s="72"/>
      <c r="AW2083" s="72"/>
      <c r="AZ2083" s="72"/>
    </row>
    <row r="2084" spans="1:52">
      <c r="A2084" s="131"/>
      <c r="B2084" s="72"/>
      <c r="D2084" s="72"/>
      <c r="G2084" s="72"/>
      <c r="J2084" s="72"/>
      <c r="M2084" s="72"/>
      <c r="P2084" s="72"/>
      <c r="S2084" s="72"/>
      <c r="V2084" s="72"/>
      <c r="Y2084" s="72"/>
      <c r="AB2084" s="72"/>
      <c r="AE2084" s="72"/>
      <c r="AH2084" s="72"/>
      <c r="AK2084" s="72"/>
      <c r="AN2084" s="72"/>
      <c r="AQ2084" s="72"/>
      <c r="AT2084" s="72"/>
      <c r="AW2084" s="72"/>
      <c r="AZ2084" s="72"/>
    </row>
    <row r="2085" spans="1:52">
      <c r="A2085" s="131"/>
      <c r="B2085" s="72"/>
      <c r="D2085" s="72"/>
      <c r="G2085" s="72"/>
      <c r="J2085" s="72"/>
      <c r="M2085" s="72"/>
      <c r="P2085" s="72"/>
      <c r="S2085" s="72"/>
      <c r="V2085" s="72"/>
      <c r="Y2085" s="72"/>
      <c r="AB2085" s="72"/>
      <c r="AE2085" s="72"/>
      <c r="AH2085" s="72"/>
      <c r="AK2085" s="72"/>
      <c r="AN2085" s="72"/>
      <c r="AQ2085" s="72"/>
      <c r="AT2085" s="72"/>
      <c r="AW2085" s="72"/>
      <c r="AZ2085" s="72"/>
    </row>
    <row r="2086" spans="1:52">
      <c r="A2086" s="131"/>
      <c r="B2086" s="72"/>
      <c r="D2086" s="72"/>
      <c r="G2086" s="72"/>
      <c r="J2086" s="72"/>
      <c r="M2086" s="72"/>
      <c r="P2086" s="72"/>
      <c r="S2086" s="72"/>
      <c r="V2086" s="72"/>
      <c r="Y2086" s="72"/>
      <c r="AB2086" s="72"/>
      <c r="AE2086" s="72"/>
      <c r="AH2086" s="72"/>
      <c r="AK2086" s="72"/>
      <c r="AN2086" s="72"/>
      <c r="AQ2086" s="72"/>
      <c r="AT2086" s="72"/>
      <c r="AW2086" s="72"/>
      <c r="AZ2086" s="72"/>
    </row>
    <row r="2087" spans="1:52">
      <c r="A2087" s="131"/>
      <c r="B2087" s="72"/>
      <c r="D2087" s="72"/>
      <c r="G2087" s="72"/>
      <c r="J2087" s="72"/>
      <c r="M2087" s="72"/>
      <c r="P2087" s="72"/>
      <c r="S2087" s="72"/>
      <c r="V2087" s="72"/>
      <c r="Y2087" s="72"/>
      <c r="AB2087" s="72"/>
      <c r="AE2087" s="72"/>
      <c r="AH2087" s="72"/>
      <c r="AK2087" s="72"/>
      <c r="AN2087" s="72"/>
      <c r="AQ2087" s="72"/>
      <c r="AT2087" s="72"/>
      <c r="AW2087" s="72"/>
      <c r="AZ2087" s="72"/>
    </row>
    <row r="2088" spans="1:52">
      <c r="A2088" s="131"/>
      <c r="B2088" s="72"/>
      <c r="D2088" s="72"/>
      <c r="G2088" s="72"/>
      <c r="J2088" s="72"/>
      <c r="M2088" s="72"/>
      <c r="P2088" s="72"/>
      <c r="S2088" s="72"/>
      <c r="V2088" s="72"/>
      <c r="Y2088" s="72"/>
      <c r="AB2088" s="72"/>
      <c r="AE2088" s="72"/>
      <c r="AH2088" s="72"/>
      <c r="AK2088" s="72"/>
      <c r="AN2088" s="72"/>
      <c r="AQ2088" s="72"/>
      <c r="AT2088" s="72"/>
      <c r="AW2088" s="72"/>
      <c r="AZ2088" s="72"/>
    </row>
    <row r="2089" spans="1:52">
      <c r="A2089" s="131"/>
      <c r="B2089" s="72"/>
      <c r="D2089" s="72"/>
      <c r="G2089" s="72"/>
      <c r="J2089" s="72"/>
      <c r="M2089" s="72"/>
      <c r="P2089" s="72"/>
      <c r="S2089" s="72"/>
      <c r="V2089" s="72"/>
      <c r="Y2089" s="72"/>
      <c r="AB2089" s="72"/>
      <c r="AE2089" s="72"/>
      <c r="AH2089" s="72"/>
      <c r="AK2089" s="72"/>
      <c r="AN2089" s="72"/>
      <c r="AQ2089" s="72"/>
      <c r="AT2089" s="72"/>
      <c r="AW2089" s="72"/>
      <c r="AZ2089" s="72"/>
    </row>
    <row r="2090" spans="1:52">
      <c r="A2090" s="131"/>
      <c r="B2090" s="72"/>
      <c r="D2090" s="72"/>
      <c r="G2090" s="72"/>
      <c r="J2090" s="72"/>
      <c r="M2090" s="72"/>
      <c r="P2090" s="72"/>
      <c r="S2090" s="72"/>
      <c r="V2090" s="72"/>
      <c r="Y2090" s="72"/>
      <c r="AB2090" s="72"/>
      <c r="AE2090" s="72"/>
      <c r="AH2090" s="72"/>
      <c r="AK2090" s="72"/>
      <c r="AN2090" s="72"/>
      <c r="AQ2090" s="72"/>
      <c r="AT2090" s="72"/>
      <c r="AW2090" s="72"/>
      <c r="AZ2090" s="72"/>
    </row>
    <row r="2091" spans="1:52">
      <c r="A2091" s="131"/>
      <c r="B2091" s="72"/>
      <c r="D2091" s="72"/>
      <c r="G2091" s="72"/>
      <c r="J2091" s="72"/>
      <c r="M2091" s="72"/>
      <c r="P2091" s="72"/>
      <c r="S2091" s="72"/>
      <c r="V2091" s="72"/>
      <c r="Y2091" s="72"/>
      <c r="AB2091" s="72"/>
      <c r="AE2091" s="72"/>
      <c r="AH2091" s="72"/>
      <c r="AK2091" s="72"/>
      <c r="AN2091" s="72"/>
      <c r="AQ2091" s="72"/>
      <c r="AT2091" s="72"/>
      <c r="AW2091" s="72"/>
      <c r="AZ2091" s="72"/>
    </row>
    <row r="2092" spans="1:52">
      <c r="A2092" s="131"/>
      <c r="B2092" s="72"/>
      <c r="D2092" s="72"/>
      <c r="G2092" s="72"/>
      <c r="J2092" s="72"/>
      <c r="M2092" s="72"/>
      <c r="P2092" s="72"/>
      <c r="S2092" s="72"/>
      <c r="V2092" s="72"/>
      <c r="Y2092" s="72"/>
      <c r="AB2092" s="72"/>
      <c r="AE2092" s="72"/>
      <c r="AH2092" s="72"/>
      <c r="AK2092" s="72"/>
      <c r="AN2092" s="72"/>
      <c r="AQ2092" s="72"/>
      <c r="AT2092" s="72"/>
      <c r="AW2092" s="72"/>
      <c r="AZ2092" s="72"/>
    </row>
    <row r="2093" spans="1:52">
      <c r="A2093" s="131"/>
      <c r="B2093" s="72"/>
      <c r="D2093" s="72"/>
      <c r="G2093" s="72"/>
      <c r="J2093" s="72"/>
      <c r="M2093" s="72"/>
      <c r="P2093" s="72"/>
      <c r="S2093" s="72"/>
      <c r="V2093" s="72"/>
      <c r="Y2093" s="72"/>
      <c r="AB2093" s="72"/>
      <c r="AE2093" s="72"/>
      <c r="AH2093" s="72"/>
      <c r="AK2093" s="72"/>
      <c r="AN2093" s="72"/>
      <c r="AQ2093" s="72"/>
      <c r="AT2093" s="72"/>
      <c r="AW2093" s="72"/>
      <c r="AZ2093" s="72"/>
    </row>
    <row r="2094" spans="1:52">
      <c r="A2094" s="131"/>
      <c r="B2094" s="72"/>
      <c r="D2094" s="72"/>
      <c r="G2094" s="72"/>
      <c r="J2094" s="72"/>
      <c r="M2094" s="72"/>
      <c r="P2094" s="72"/>
      <c r="S2094" s="72"/>
      <c r="V2094" s="72"/>
      <c r="Y2094" s="72"/>
      <c r="AB2094" s="72"/>
      <c r="AE2094" s="72"/>
      <c r="AH2094" s="72"/>
      <c r="AK2094" s="72"/>
      <c r="AN2094" s="72"/>
      <c r="AQ2094" s="72"/>
      <c r="AT2094" s="72"/>
      <c r="AW2094" s="72"/>
      <c r="AZ2094" s="72"/>
    </row>
    <row r="2095" spans="1:52">
      <c r="A2095" s="131"/>
      <c r="B2095" s="72"/>
      <c r="D2095" s="72"/>
      <c r="G2095" s="72"/>
      <c r="J2095" s="72"/>
      <c r="M2095" s="72"/>
      <c r="P2095" s="72"/>
      <c r="S2095" s="72"/>
      <c r="V2095" s="72"/>
      <c r="Y2095" s="72"/>
      <c r="AB2095" s="72"/>
      <c r="AE2095" s="72"/>
      <c r="AH2095" s="72"/>
      <c r="AK2095" s="72"/>
      <c r="AN2095" s="72"/>
      <c r="AQ2095" s="72"/>
      <c r="AT2095" s="72"/>
      <c r="AW2095" s="72"/>
      <c r="AZ2095" s="72"/>
    </row>
    <row r="2096" spans="1:52">
      <c r="A2096" s="131"/>
      <c r="B2096" s="72"/>
      <c r="D2096" s="72"/>
      <c r="G2096" s="72"/>
      <c r="J2096" s="72"/>
      <c r="M2096" s="72"/>
      <c r="P2096" s="72"/>
      <c r="S2096" s="72"/>
      <c r="V2096" s="72"/>
      <c r="Y2096" s="72"/>
      <c r="AB2096" s="72"/>
      <c r="AE2096" s="72"/>
      <c r="AH2096" s="72"/>
      <c r="AK2096" s="72"/>
      <c r="AN2096" s="72"/>
      <c r="AQ2096" s="72"/>
      <c r="AT2096" s="72"/>
      <c r="AW2096" s="72"/>
      <c r="AZ2096" s="72"/>
    </row>
    <row r="2097" spans="1:52">
      <c r="A2097" s="131"/>
      <c r="B2097" s="72"/>
      <c r="D2097" s="72"/>
      <c r="G2097" s="72"/>
      <c r="J2097" s="72"/>
      <c r="M2097" s="72"/>
      <c r="P2097" s="72"/>
      <c r="S2097" s="72"/>
      <c r="V2097" s="72"/>
      <c r="Y2097" s="72"/>
      <c r="AB2097" s="72"/>
      <c r="AE2097" s="72"/>
      <c r="AH2097" s="72"/>
      <c r="AK2097" s="72"/>
      <c r="AN2097" s="72"/>
      <c r="AQ2097" s="72"/>
      <c r="AT2097" s="72"/>
      <c r="AW2097" s="72"/>
      <c r="AZ2097" s="72"/>
    </row>
    <row r="2098" spans="1:52">
      <c r="A2098" s="131"/>
      <c r="B2098" s="72"/>
      <c r="D2098" s="72"/>
      <c r="G2098" s="72"/>
      <c r="J2098" s="72"/>
      <c r="M2098" s="72"/>
      <c r="P2098" s="72"/>
      <c r="S2098" s="72"/>
      <c r="V2098" s="72"/>
      <c r="Y2098" s="72"/>
      <c r="AB2098" s="72"/>
      <c r="AE2098" s="72"/>
      <c r="AH2098" s="72"/>
      <c r="AK2098" s="72"/>
      <c r="AN2098" s="72"/>
      <c r="AQ2098" s="72"/>
      <c r="AT2098" s="72"/>
      <c r="AW2098" s="72"/>
      <c r="AZ2098" s="72"/>
    </row>
    <row r="2099" spans="1:52">
      <c r="A2099" s="131"/>
      <c r="B2099" s="72"/>
      <c r="D2099" s="72"/>
      <c r="G2099" s="72"/>
      <c r="J2099" s="72"/>
      <c r="M2099" s="72"/>
      <c r="P2099" s="72"/>
      <c r="S2099" s="72"/>
      <c r="V2099" s="72"/>
      <c r="Y2099" s="72"/>
      <c r="AB2099" s="72"/>
      <c r="AE2099" s="72"/>
      <c r="AH2099" s="72"/>
      <c r="AK2099" s="72"/>
      <c r="AN2099" s="72"/>
      <c r="AQ2099" s="72"/>
      <c r="AT2099" s="72"/>
      <c r="AW2099" s="72"/>
      <c r="AZ2099" s="72"/>
    </row>
    <row r="2100" spans="1:52">
      <c r="A2100" s="131"/>
      <c r="B2100" s="72"/>
      <c r="D2100" s="72"/>
      <c r="G2100" s="72"/>
      <c r="J2100" s="72"/>
      <c r="M2100" s="72"/>
      <c r="P2100" s="72"/>
      <c r="S2100" s="72"/>
      <c r="V2100" s="72"/>
      <c r="Y2100" s="72"/>
      <c r="AB2100" s="72"/>
      <c r="AE2100" s="72"/>
      <c r="AH2100" s="72"/>
      <c r="AK2100" s="72"/>
      <c r="AN2100" s="72"/>
      <c r="AQ2100" s="72"/>
      <c r="AT2100" s="72"/>
      <c r="AW2100" s="72"/>
      <c r="AZ2100" s="72"/>
    </row>
    <row r="2101" spans="1:52">
      <c r="A2101" s="131"/>
      <c r="B2101" s="72"/>
      <c r="D2101" s="72"/>
      <c r="G2101" s="72"/>
      <c r="J2101" s="72"/>
      <c r="M2101" s="72"/>
      <c r="P2101" s="72"/>
      <c r="S2101" s="72"/>
      <c r="V2101" s="72"/>
      <c r="Y2101" s="72"/>
      <c r="AB2101" s="72"/>
      <c r="AE2101" s="72"/>
      <c r="AH2101" s="72"/>
      <c r="AK2101" s="72"/>
      <c r="AN2101" s="72"/>
      <c r="AQ2101" s="72"/>
      <c r="AT2101" s="72"/>
      <c r="AW2101" s="72"/>
      <c r="AZ2101" s="72"/>
    </row>
    <row r="2102" spans="1:52">
      <c r="A2102" s="131"/>
      <c r="B2102" s="72"/>
      <c r="D2102" s="72"/>
      <c r="G2102" s="72"/>
      <c r="J2102" s="72"/>
      <c r="M2102" s="72"/>
      <c r="P2102" s="72"/>
      <c r="S2102" s="72"/>
      <c r="V2102" s="72"/>
      <c r="Y2102" s="72"/>
      <c r="AB2102" s="72"/>
      <c r="AE2102" s="72"/>
      <c r="AH2102" s="72"/>
      <c r="AK2102" s="72"/>
      <c r="AN2102" s="72"/>
      <c r="AQ2102" s="72"/>
      <c r="AT2102" s="72"/>
      <c r="AW2102" s="72"/>
      <c r="AZ2102" s="72"/>
    </row>
    <row r="2103" spans="1:52">
      <c r="A2103" s="131"/>
      <c r="B2103" s="72"/>
      <c r="D2103" s="72"/>
      <c r="G2103" s="72"/>
      <c r="J2103" s="72"/>
      <c r="M2103" s="72"/>
      <c r="P2103" s="72"/>
      <c r="S2103" s="72"/>
      <c r="V2103" s="72"/>
      <c r="Y2103" s="72"/>
      <c r="AB2103" s="72"/>
      <c r="AE2103" s="72"/>
      <c r="AH2103" s="72"/>
      <c r="AK2103" s="72"/>
      <c r="AN2103" s="72"/>
      <c r="AQ2103" s="72"/>
      <c r="AT2103" s="72"/>
      <c r="AW2103" s="72"/>
      <c r="AZ2103" s="72"/>
    </row>
    <row r="2104" spans="1:52">
      <c r="A2104" s="131"/>
      <c r="B2104" s="72"/>
      <c r="D2104" s="72"/>
      <c r="G2104" s="72"/>
      <c r="J2104" s="72"/>
      <c r="M2104" s="72"/>
      <c r="P2104" s="72"/>
      <c r="S2104" s="72"/>
      <c r="V2104" s="72"/>
      <c r="Y2104" s="72"/>
      <c r="AB2104" s="72"/>
      <c r="AE2104" s="72"/>
      <c r="AH2104" s="72"/>
      <c r="AK2104" s="72"/>
      <c r="AN2104" s="72"/>
      <c r="AQ2104" s="72"/>
      <c r="AT2104" s="72"/>
      <c r="AW2104" s="72"/>
      <c r="AZ2104" s="72"/>
    </row>
    <row r="2105" spans="1:52">
      <c r="A2105" s="131"/>
      <c r="B2105" s="72"/>
      <c r="D2105" s="72"/>
      <c r="G2105" s="72"/>
      <c r="J2105" s="72"/>
      <c r="M2105" s="72"/>
      <c r="P2105" s="72"/>
      <c r="S2105" s="72"/>
      <c r="V2105" s="72"/>
      <c r="Y2105" s="72"/>
      <c r="AB2105" s="72"/>
      <c r="AE2105" s="72"/>
      <c r="AH2105" s="72"/>
      <c r="AK2105" s="72"/>
      <c r="AN2105" s="72"/>
      <c r="AQ2105" s="72"/>
      <c r="AT2105" s="72"/>
      <c r="AW2105" s="72"/>
      <c r="AZ2105" s="72"/>
    </row>
    <row r="2106" spans="1:52">
      <c r="A2106" s="131"/>
      <c r="B2106" s="72"/>
      <c r="D2106" s="72"/>
      <c r="G2106" s="72"/>
      <c r="J2106" s="72"/>
      <c r="M2106" s="72"/>
      <c r="P2106" s="72"/>
      <c r="S2106" s="72"/>
      <c r="V2106" s="72"/>
      <c r="Y2106" s="72"/>
      <c r="AB2106" s="72"/>
      <c r="AE2106" s="72"/>
      <c r="AH2106" s="72"/>
      <c r="AK2106" s="72"/>
      <c r="AN2106" s="72"/>
      <c r="AQ2106" s="72"/>
      <c r="AT2106" s="72"/>
      <c r="AW2106" s="72"/>
      <c r="AZ2106" s="72"/>
    </row>
    <row r="2107" spans="1:52">
      <c r="A2107" s="131"/>
      <c r="B2107" s="72"/>
      <c r="D2107" s="72"/>
      <c r="G2107" s="72"/>
      <c r="J2107" s="72"/>
      <c r="M2107" s="72"/>
      <c r="P2107" s="72"/>
      <c r="S2107" s="72"/>
      <c r="V2107" s="72"/>
      <c r="Y2107" s="72"/>
      <c r="AB2107" s="72"/>
      <c r="AE2107" s="72"/>
      <c r="AH2107" s="72"/>
      <c r="AK2107" s="72"/>
      <c r="AN2107" s="72"/>
      <c r="AQ2107" s="72"/>
      <c r="AT2107" s="72"/>
      <c r="AW2107" s="72"/>
      <c r="AZ2107" s="72"/>
    </row>
    <row r="2108" spans="1:52">
      <c r="A2108" s="131"/>
      <c r="B2108" s="72"/>
      <c r="D2108" s="72"/>
      <c r="G2108" s="72"/>
      <c r="J2108" s="72"/>
      <c r="M2108" s="72"/>
      <c r="P2108" s="72"/>
      <c r="S2108" s="72"/>
      <c r="V2108" s="72"/>
      <c r="Y2108" s="72"/>
      <c r="AB2108" s="72"/>
      <c r="AE2108" s="72"/>
      <c r="AH2108" s="72"/>
      <c r="AK2108" s="72"/>
      <c r="AN2108" s="72"/>
      <c r="AQ2108" s="72"/>
      <c r="AT2108" s="72"/>
      <c r="AW2108" s="72"/>
      <c r="AZ2108" s="72"/>
    </row>
    <row r="2109" spans="1:52">
      <c r="A2109" s="131"/>
      <c r="B2109" s="72"/>
      <c r="D2109" s="72"/>
      <c r="G2109" s="72"/>
      <c r="J2109" s="72"/>
      <c r="M2109" s="72"/>
      <c r="P2109" s="72"/>
      <c r="S2109" s="72"/>
      <c r="V2109" s="72"/>
      <c r="Y2109" s="72"/>
      <c r="AB2109" s="72"/>
      <c r="AE2109" s="72"/>
      <c r="AH2109" s="72"/>
      <c r="AK2109" s="72"/>
      <c r="AN2109" s="72"/>
      <c r="AQ2109" s="72"/>
      <c r="AT2109" s="72"/>
      <c r="AW2109" s="72"/>
      <c r="AZ2109" s="72"/>
    </row>
    <row r="2110" spans="1:52">
      <c r="A2110" s="131"/>
      <c r="B2110" s="72"/>
      <c r="D2110" s="72"/>
      <c r="G2110" s="72"/>
      <c r="J2110" s="72"/>
      <c r="M2110" s="72"/>
      <c r="P2110" s="72"/>
      <c r="S2110" s="72"/>
      <c r="V2110" s="72"/>
      <c r="Y2110" s="72"/>
      <c r="AB2110" s="72"/>
      <c r="AE2110" s="72"/>
      <c r="AH2110" s="72"/>
      <c r="AK2110" s="72"/>
      <c r="AN2110" s="72"/>
      <c r="AQ2110" s="72"/>
      <c r="AT2110" s="72"/>
      <c r="AW2110" s="72"/>
      <c r="AZ2110" s="72"/>
    </row>
    <row r="2111" spans="1:52">
      <c r="A2111" s="131"/>
      <c r="B2111" s="72"/>
      <c r="D2111" s="72"/>
      <c r="G2111" s="72"/>
      <c r="J2111" s="72"/>
      <c r="M2111" s="72"/>
      <c r="P2111" s="72"/>
      <c r="S2111" s="72"/>
      <c r="V2111" s="72"/>
      <c r="Y2111" s="72"/>
      <c r="AB2111" s="72"/>
      <c r="AE2111" s="72"/>
      <c r="AH2111" s="72"/>
      <c r="AK2111" s="72"/>
      <c r="AN2111" s="72"/>
      <c r="AQ2111" s="72"/>
      <c r="AT2111" s="72"/>
      <c r="AW2111" s="72"/>
      <c r="AZ2111" s="72"/>
    </row>
    <row r="2112" spans="1:52">
      <c r="A2112" s="131"/>
      <c r="B2112" s="72"/>
      <c r="D2112" s="72"/>
      <c r="G2112" s="72"/>
      <c r="J2112" s="72"/>
      <c r="M2112" s="72"/>
      <c r="P2112" s="72"/>
      <c r="S2112" s="72"/>
      <c r="V2112" s="72"/>
      <c r="Y2112" s="72"/>
      <c r="AB2112" s="72"/>
      <c r="AE2112" s="72"/>
      <c r="AH2112" s="72"/>
      <c r="AK2112" s="72"/>
      <c r="AN2112" s="72"/>
      <c r="AQ2112" s="72"/>
      <c r="AT2112" s="72"/>
      <c r="AW2112" s="72"/>
      <c r="AZ2112" s="72"/>
    </row>
    <row r="2113" spans="1:52">
      <c r="A2113" s="131"/>
      <c r="B2113" s="72"/>
      <c r="D2113" s="72"/>
      <c r="G2113" s="72"/>
      <c r="J2113" s="72"/>
      <c r="M2113" s="72"/>
      <c r="P2113" s="72"/>
      <c r="S2113" s="72"/>
      <c r="V2113" s="72"/>
      <c r="Y2113" s="72"/>
      <c r="AB2113" s="72"/>
      <c r="AE2113" s="72"/>
      <c r="AH2113" s="72"/>
      <c r="AK2113" s="72"/>
      <c r="AN2113" s="72"/>
      <c r="AQ2113" s="72"/>
      <c r="AT2113" s="72"/>
      <c r="AW2113" s="72"/>
      <c r="AZ2113" s="72"/>
    </row>
    <row r="2114" spans="1:52">
      <c r="A2114" s="131"/>
      <c r="B2114" s="72"/>
      <c r="D2114" s="72"/>
      <c r="G2114" s="72"/>
      <c r="J2114" s="72"/>
      <c r="M2114" s="72"/>
      <c r="P2114" s="72"/>
      <c r="S2114" s="72"/>
      <c r="V2114" s="72"/>
      <c r="Y2114" s="72"/>
      <c r="AB2114" s="72"/>
      <c r="AE2114" s="72"/>
      <c r="AH2114" s="72"/>
      <c r="AK2114" s="72"/>
      <c r="AN2114" s="72"/>
      <c r="AQ2114" s="72"/>
      <c r="AT2114" s="72"/>
      <c r="AW2114" s="72"/>
      <c r="AZ2114" s="72"/>
    </row>
    <row r="2115" spans="1:52">
      <c r="A2115" s="131"/>
      <c r="B2115" s="72"/>
      <c r="D2115" s="72"/>
      <c r="G2115" s="72"/>
      <c r="J2115" s="72"/>
      <c r="M2115" s="72"/>
      <c r="P2115" s="72"/>
      <c r="S2115" s="72"/>
      <c r="V2115" s="72"/>
      <c r="Y2115" s="72"/>
      <c r="AB2115" s="72"/>
      <c r="AE2115" s="72"/>
      <c r="AH2115" s="72"/>
      <c r="AK2115" s="72"/>
      <c r="AN2115" s="72"/>
      <c r="AQ2115" s="72"/>
      <c r="AT2115" s="72"/>
      <c r="AW2115" s="72"/>
      <c r="AZ2115" s="72"/>
    </row>
    <row r="2116" spans="1:52">
      <c r="A2116" s="131"/>
      <c r="B2116" s="72"/>
      <c r="D2116" s="72"/>
      <c r="G2116" s="72"/>
      <c r="J2116" s="72"/>
      <c r="M2116" s="72"/>
      <c r="P2116" s="72"/>
      <c r="S2116" s="72"/>
      <c r="V2116" s="72"/>
      <c r="Y2116" s="72"/>
      <c r="AB2116" s="72"/>
      <c r="AE2116" s="72"/>
      <c r="AH2116" s="72"/>
      <c r="AK2116" s="72"/>
      <c r="AN2116" s="72"/>
      <c r="AQ2116" s="72"/>
      <c r="AT2116" s="72"/>
      <c r="AW2116" s="72"/>
      <c r="AZ2116" s="72"/>
    </row>
    <row r="2117" spans="1:52">
      <c r="A2117" s="131"/>
      <c r="B2117" s="72"/>
      <c r="D2117" s="72"/>
      <c r="G2117" s="72"/>
      <c r="J2117" s="72"/>
      <c r="M2117" s="72"/>
      <c r="P2117" s="72"/>
      <c r="S2117" s="72"/>
      <c r="V2117" s="72"/>
      <c r="Y2117" s="72"/>
      <c r="AB2117" s="72"/>
      <c r="AE2117" s="72"/>
      <c r="AH2117" s="72"/>
      <c r="AK2117" s="72"/>
      <c r="AN2117" s="72"/>
      <c r="AQ2117" s="72"/>
      <c r="AT2117" s="72"/>
      <c r="AW2117" s="72"/>
      <c r="AZ2117" s="72"/>
    </row>
    <row r="2118" spans="1:52">
      <c r="A2118" s="131"/>
      <c r="B2118" s="72"/>
      <c r="D2118" s="72"/>
      <c r="G2118" s="72"/>
      <c r="J2118" s="72"/>
      <c r="M2118" s="72"/>
      <c r="P2118" s="72"/>
      <c r="S2118" s="72"/>
      <c r="V2118" s="72"/>
      <c r="Y2118" s="72"/>
      <c r="AB2118" s="72"/>
      <c r="AE2118" s="72"/>
      <c r="AH2118" s="72"/>
      <c r="AK2118" s="72"/>
      <c r="AN2118" s="72"/>
      <c r="AQ2118" s="72"/>
      <c r="AT2118" s="72"/>
      <c r="AW2118" s="72"/>
      <c r="AZ2118" s="72"/>
    </row>
    <row r="2119" spans="1:52">
      <c r="A2119" s="131"/>
      <c r="B2119" s="72"/>
      <c r="D2119" s="72"/>
      <c r="G2119" s="72"/>
      <c r="J2119" s="72"/>
      <c r="M2119" s="72"/>
      <c r="P2119" s="72"/>
      <c r="S2119" s="72"/>
      <c r="V2119" s="72"/>
      <c r="Y2119" s="72"/>
      <c r="AB2119" s="72"/>
      <c r="AE2119" s="72"/>
      <c r="AH2119" s="72"/>
      <c r="AK2119" s="72"/>
      <c r="AN2119" s="72"/>
      <c r="AQ2119" s="72"/>
      <c r="AT2119" s="72"/>
      <c r="AW2119" s="72"/>
      <c r="AZ2119" s="72"/>
    </row>
    <row r="2120" spans="1:52">
      <c r="A2120" s="131"/>
      <c r="B2120" s="72"/>
      <c r="D2120" s="72"/>
      <c r="G2120" s="72"/>
      <c r="J2120" s="72"/>
      <c r="M2120" s="72"/>
      <c r="P2120" s="72"/>
      <c r="S2120" s="72"/>
      <c r="V2120" s="72"/>
      <c r="Y2120" s="72"/>
      <c r="AB2120" s="72"/>
      <c r="AE2120" s="72"/>
      <c r="AH2120" s="72"/>
      <c r="AK2120" s="72"/>
      <c r="AN2120" s="72"/>
      <c r="AQ2120" s="72"/>
      <c r="AT2120" s="72"/>
      <c r="AW2120" s="72"/>
      <c r="AZ2120" s="72"/>
    </row>
    <row r="2121" spans="1:52">
      <c r="A2121" s="131"/>
      <c r="B2121" s="72"/>
      <c r="D2121" s="72"/>
      <c r="G2121" s="72"/>
      <c r="J2121" s="72"/>
      <c r="M2121" s="72"/>
      <c r="P2121" s="72"/>
      <c r="S2121" s="72"/>
      <c r="V2121" s="72"/>
      <c r="Y2121" s="72"/>
      <c r="AB2121" s="72"/>
      <c r="AE2121" s="72"/>
      <c r="AH2121" s="72"/>
      <c r="AK2121" s="72"/>
      <c r="AN2121" s="72"/>
      <c r="AQ2121" s="72"/>
      <c r="AT2121" s="72"/>
      <c r="AW2121" s="72"/>
      <c r="AZ2121" s="72"/>
    </row>
    <row r="2122" spans="1:52">
      <c r="A2122" s="131"/>
      <c r="B2122" s="72"/>
      <c r="D2122" s="72"/>
      <c r="G2122" s="72"/>
      <c r="J2122" s="72"/>
      <c r="M2122" s="72"/>
      <c r="P2122" s="72"/>
      <c r="S2122" s="72"/>
      <c r="V2122" s="72"/>
      <c r="Y2122" s="72"/>
      <c r="AB2122" s="72"/>
      <c r="AE2122" s="72"/>
      <c r="AH2122" s="72"/>
      <c r="AK2122" s="72"/>
      <c r="AN2122" s="72"/>
      <c r="AQ2122" s="72"/>
      <c r="AT2122" s="72"/>
      <c r="AW2122" s="72"/>
      <c r="AZ2122" s="72"/>
    </row>
    <row r="2123" spans="1:52">
      <c r="A2123" s="131"/>
      <c r="B2123" s="72"/>
      <c r="D2123" s="72"/>
      <c r="G2123" s="72"/>
      <c r="J2123" s="72"/>
      <c r="M2123" s="72"/>
      <c r="P2123" s="72"/>
      <c r="S2123" s="72"/>
      <c r="V2123" s="72"/>
      <c r="Y2123" s="72"/>
      <c r="AB2123" s="72"/>
      <c r="AE2123" s="72"/>
      <c r="AH2123" s="72"/>
      <c r="AK2123" s="72"/>
      <c r="AN2123" s="72"/>
      <c r="AQ2123" s="72"/>
      <c r="AT2123" s="72"/>
      <c r="AW2123" s="72"/>
      <c r="AZ2123" s="72"/>
    </row>
    <row r="2124" spans="1:52">
      <c r="A2124" s="131"/>
      <c r="B2124" s="72"/>
      <c r="D2124" s="72"/>
      <c r="G2124" s="72"/>
      <c r="J2124" s="72"/>
      <c r="M2124" s="72"/>
      <c r="P2124" s="72"/>
      <c r="S2124" s="72"/>
      <c r="V2124" s="72"/>
      <c r="Y2124" s="72"/>
      <c r="AB2124" s="72"/>
      <c r="AE2124" s="72"/>
      <c r="AH2124" s="72"/>
      <c r="AK2124" s="72"/>
      <c r="AN2124" s="72"/>
      <c r="AQ2124" s="72"/>
      <c r="AT2124" s="72"/>
      <c r="AW2124" s="72"/>
      <c r="AZ2124" s="72"/>
    </row>
    <row r="2125" spans="1:52">
      <c r="A2125" s="131"/>
      <c r="B2125" s="72"/>
      <c r="D2125" s="72"/>
      <c r="G2125" s="72"/>
      <c r="J2125" s="72"/>
      <c r="M2125" s="72"/>
      <c r="P2125" s="72"/>
      <c r="S2125" s="72"/>
      <c r="V2125" s="72"/>
      <c r="Y2125" s="72"/>
      <c r="AB2125" s="72"/>
      <c r="AE2125" s="72"/>
      <c r="AH2125" s="72"/>
      <c r="AK2125" s="72"/>
      <c r="AN2125" s="72"/>
      <c r="AQ2125" s="72"/>
      <c r="AT2125" s="72"/>
      <c r="AW2125" s="72"/>
      <c r="AZ2125" s="72"/>
    </row>
    <row r="2126" spans="1:52">
      <c r="A2126" s="131"/>
      <c r="B2126" s="72"/>
      <c r="D2126" s="72"/>
      <c r="G2126" s="72"/>
      <c r="J2126" s="72"/>
      <c r="M2126" s="72"/>
      <c r="P2126" s="72"/>
      <c r="S2126" s="72"/>
      <c r="V2126" s="72"/>
      <c r="Y2126" s="72"/>
      <c r="AB2126" s="72"/>
      <c r="AE2126" s="72"/>
      <c r="AH2126" s="72"/>
      <c r="AK2126" s="72"/>
      <c r="AN2126" s="72"/>
      <c r="AQ2126" s="72"/>
      <c r="AT2126" s="72"/>
      <c r="AW2126" s="72"/>
      <c r="AZ2126" s="72"/>
    </row>
    <row r="2127" spans="1:52">
      <c r="A2127" s="131"/>
      <c r="B2127" s="72"/>
      <c r="D2127" s="72"/>
      <c r="G2127" s="72"/>
      <c r="J2127" s="72"/>
      <c r="M2127" s="72"/>
      <c r="P2127" s="72"/>
      <c r="S2127" s="72"/>
      <c r="V2127" s="72"/>
      <c r="Y2127" s="72"/>
      <c r="AB2127" s="72"/>
      <c r="AE2127" s="72"/>
      <c r="AH2127" s="72"/>
      <c r="AK2127" s="72"/>
      <c r="AN2127" s="72"/>
      <c r="AQ2127" s="72"/>
      <c r="AT2127" s="72"/>
      <c r="AW2127" s="72"/>
      <c r="AZ2127" s="72"/>
    </row>
    <row r="2128" spans="1:52">
      <c r="A2128" s="131"/>
      <c r="B2128" s="72"/>
      <c r="D2128" s="72"/>
      <c r="G2128" s="72"/>
      <c r="J2128" s="72"/>
      <c r="M2128" s="72"/>
      <c r="P2128" s="72"/>
      <c r="S2128" s="72"/>
      <c r="V2128" s="72"/>
      <c r="Y2128" s="72"/>
      <c r="AB2128" s="72"/>
      <c r="AE2128" s="72"/>
      <c r="AH2128" s="72"/>
      <c r="AK2128" s="72"/>
      <c r="AN2128" s="72"/>
      <c r="AQ2128" s="72"/>
      <c r="AT2128" s="72"/>
      <c r="AW2128" s="72"/>
      <c r="AZ2128" s="72"/>
    </row>
    <row r="2129" spans="1:52">
      <c r="A2129" s="131"/>
      <c r="B2129" s="72"/>
      <c r="D2129" s="72"/>
      <c r="G2129" s="72"/>
      <c r="J2129" s="72"/>
      <c r="M2129" s="72"/>
      <c r="P2129" s="72"/>
      <c r="S2129" s="72"/>
      <c r="V2129" s="72"/>
      <c r="Y2129" s="72"/>
      <c r="AB2129" s="72"/>
      <c r="AE2129" s="72"/>
      <c r="AH2129" s="72"/>
      <c r="AK2129" s="72"/>
      <c r="AN2129" s="72"/>
      <c r="AQ2129" s="72"/>
      <c r="AT2129" s="72"/>
      <c r="AW2129" s="72"/>
      <c r="AZ2129" s="72"/>
    </row>
    <row r="2130" spans="1:52">
      <c r="A2130" s="131"/>
      <c r="B2130" s="72"/>
      <c r="D2130" s="72"/>
      <c r="G2130" s="72"/>
      <c r="J2130" s="72"/>
      <c r="M2130" s="72"/>
      <c r="P2130" s="72"/>
      <c r="S2130" s="72"/>
      <c r="V2130" s="72"/>
      <c r="Y2130" s="72"/>
      <c r="AB2130" s="72"/>
      <c r="AE2130" s="72"/>
      <c r="AH2130" s="72"/>
      <c r="AK2130" s="72"/>
      <c r="AN2130" s="72"/>
      <c r="AQ2130" s="72"/>
      <c r="AT2130" s="72"/>
      <c r="AW2130" s="72"/>
      <c r="AZ2130" s="72"/>
    </row>
    <row r="2131" spans="1:52">
      <c r="A2131" s="131"/>
      <c r="B2131" s="72"/>
      <c r="D2131" s="72"/>
      <c r="G2131" s="72"/>
      <c r="J2131" s="72"/>
      <c r="M2131" s="72"/>
      <c r="P2131" s="72"/>
      <c r="S2131" s="72"/>
      <c r="V2131" s="72"/>
      <c r="Y2131" s="72"/>
      <c r="AB2131" s="72"/>
      <c r="AE2131" s="72"/>
      <c r="AH2131" s="72"/>
      <c r="AK2131" s="72"/>
      <c r="AN2131" s="72"/>
      <c r="AQ2131" s="72"/>
      <c r="AT2131" s="72"/>
      <c r="AW2131" s="72"/>
      <c r="AZ2131" s="72"/>
    </row>
    <row r="2132" spans="1:52">
      <c r="A2132" s="131"/>
      <c r="B2132" s="72"/>
      <c r="D2132" s="72"/>
      <c r="G2132" s="72"/>
      <c r="J2132" s="72"/>
      <c r="M2132" s="72"/>
      <c r="P2132" s="72"/>
      <c r="S2132" s="72"/>
      <c r="V2132" s="72"/>
      <c r="Y2132" s="72"/>
      <c r="AB2132" s="72"/>
      <c r="AE2132" s="72"/>
      <c r="AH2132" s="72"/>
      <c r="AK2132" s="72"/>
      <c r="AN2132" s="72"/>
      <c r="AQ2132" s="72"/>
      <c r="AT2132" s="72"/>
      <c r="AW2132" s="72"/>
      <c r="AZ2132" s="72"/>
    </row>
    <row r="2133" spans="1:52">
      <c r="A2133" s="131"/>
      <c r="B2133" s="72"/>
      <c r="D2133" s="72"/>
      <c r="G2133" s="72"/>
      <c r="J2133" s="72"/>
      <c r="M2133" s="72"/>
      <c r="P2133" s="72"/>
      <c r="S2133" s="72"/>
      <c r="V2133" s="72"/>
      <c r="Y2133" s="72"/>
      <c r="AB2133" s="72"/>
      <c r="AE2133" s="72"/>
      <c r="AH2133" s="72"/>
      <c r="AK2133" s="72"/>
      <c r="AN2133" s="72"/>
      <c r="AQ2133" s="72"/>
      <c r="AT2133" s="72"/>
      <c r="AW2133" s="72"/>
      <c r="AZ2133" s="72"/>
    </row>
    <row r="2134" spans="1:52">
      <c r="A2134" s="131"/>
      <c r="B2134" s="72"/>
      <c r="D2134" s="72"/>
      <c r="G2134" s="72"/>
      <c r="J2134" s="72"/>
      <c r="M2134" s="72"/>
      <c r="P2134" s="72"/>
      <c r="S2134" s="72"/>
      <c r="V2134" s="72"/>
      <c r="Y2134" s="72"/>
      <c r="AB2134" s="72"/>
      <c r="AE2134" s="72"/>
      <c r="AH2134" s="72"/>
      <c r="AK2134" s="72"/>
      <c r="AN2134" s="72"/>
      <c r="AQ2134" s="72"/>
      <c r="AT2134" s="72"/>
      <c r="AW2134" s="72"/>
      <c r="AZ2134" s="72"/>
    </row>
    <row r="2135" spans="1:52">
      <c r="A2135" s="131"/>
      <c r="B2135" s="72"/>
      <c r="D2135" s="72"/>
      <c r="G2135" s="72"/>
      <c r="J2135" s="72"/>
      <c r="M2135" s="72"/>
      <c r="P2135" s="72"/>
      <c r="S2135" s="72"/>
      <c r="V2135" s="72"/>
      <c r="Y2135" s="72"/>
      <c r="AB2135" s="72"/>
      <c r="AE2135" s="72"/>
      <c r="AH2135" s="72"/>
      <c r="AK2135" s="72"/>
      <c r="AN2135" s="72"/>
      <c r="AQ2135" s="72"/>
      <c r="AT2135" s="72"/>
      <c r="AW2135" s="72"/>
      <c r="AZ2135" s="72"/>
    </row>
    <row r="2136" spans="1:52">
      <c r="A2136" s="131"/>
      <c r="B2136" s="72"/>
      <c r="D2136" s="72"/>
      <c r="G2136" s="72"/>
      <c r="J2136" s="72"/>
      <c r="M2136" s="72"/>
      <c r="P2136" s="72"/>
      <c r="S2136" s="72"/>
      <c r="V2136" s="72"/>
      <c r="Y2136" s="72"/>
      <c r="AB2136" s="72"/>
      <c r="AE2136" s="72"/>
      <c r="AH2136" s="72"/>
      <c r="AK2136" s="72"/>
      <c r="AN2136" s="72"/>
      <c r="AQ2136" s="72"/>
      <c r="AT2136" s="72"/>
      <c r="AW2136" s="72"/>
      <c r="AZ2136" s="72"/>
    </row>
    <row r="2137" spans="1:52">
      <c r="A2137" s="131"/>
      <c r="B2137" s="72"/>
      <c r="D2137" s="72"/>
      <c r="G2137" s="72"/>
      <c r="J2137" s="72"/>
      <c r="M2137" s="72"/>
      <c r="P2137" s="72"/>
      <c r="S2137" s="72"/>
      <c r="V2137" s="72"/>
      <c r="Y2137" s="72"/>
      <c r="AB2137" s="72"/>
      <c r="AE2137" s="72"/>
      <c r="AH2137" s="72"/>
      <c r="AK2137" s="72"/>
      <c r="AN2137" s="72"/>
      <c r="AQ2137" s="72"/>
      <c r="AT2137" s="72"/>
      <c r="AW2137" s="72"/>
      <c r="AZ2137" s="72"/>
    </row>
    <row r="2138" spans="1:52">
      <c r="A2138" s="131"/>
      <c r="B2138" s="72"/>
      <c r="D2138" s="72"/>
      <c r="G2138" s="72"/>
      <c r="J2138" s="72"/>
      <c r="M2138" s="72"/>
      <c r="P2138" s="72"/>
      <c r="S2138" s="72"/>
      <c r="V2138" s="72"/>
      <c r="Y2138" s="72"/>
      <c r="AB2138" s="72"/>
      <c r="AE2138" s="72"/>
      <c r="AH2138" s="72"/>
      <c r="AK2138" s="72"/>
      <c r="AN2138" s="72"/>
      <c r="AQ2138" s="72"/>
      <c r="AT2138" s="72"/>
      <c r="AW2138" s="72"/>
      <c r="AZ2138" s="72"/>
    </row>
    <row r="2139" spans="1:52">
      <c r="A2139" s="131"/>
      <c r="B2139" s="72"/>
      <c r="D2139" s="72"/>
      <c r="G2139" s="72"/>
      <c r="J2139" s="72"/>
      <c r="M2139" s="72"/>
      <c r="P2139" s="72"/>
      <c r="S2139" s="72"/>
      <c r="V2139" s="72"/>
      <c r="Y2139" s="72"/>
      <c r="AB2139" s="72"/>
      <c r="AE2139" s="72"/>
      <c r="AH2139" s="72"/>
      <c r="AK2139" s="72"/>
      <c r="AN2139" s="72"/>
      <c r="AQ2139" s="72"/>
      <c r="AT2139" s="72"/>
      <c r="AW2139" s="72"/>
      <c r="AZ2139" s="72"/>
    </row>
    <row r="2140" spans="1:52">
      <c r="A2140" s="131"/>
      <c r="B2140" s="72"/>
      <c r="D2140" s="72"/>
      <c r="G2140" s="72"/>
      <c r="J2140" s="72"/>
      <c r="M2140" s="72"/>
      <c r="P2140" s="72"/>
      <c r="S2140" s="72"/>
      <c r="V2140" s="72"/>
      <c r="Y2140" s="72"/>
      <c r="AB2140" s="72"/>
      <c r="AE2140" s="72"/>
      <c r="AH2140" s="72"/>
      <c r="AK2140" s="72"/>
      <c r="AN2140" s="72"/>
      <c r="AQ2140" s="72"/>
      <c r="AT2140" s="72"/>
      <c r="AW2140" s="72"/>
      <c r="AZ2140" s="72"/>
    </row>
    <row r="2141" spans="1:52">
      <c r="A2141" s="131"/>
      <c r="B2141" s="72"/>
      <c r="D2141" s="72"/>
      <c r="G2141" s="72"/>
      <c r="J2141" s="72"/>
      <c r="M2141" s="72"/>
      <c r="P2141" s="72"/>
      <c r="S2141" s="72"/>
      <c r="V2141" s="72"/>
      <c r="Y2141" s="72"/>
      <c r="AB2141" s="72"/>
      <c r="AE2141" s="72"/>
      <c r="AH2141" s="72"/>
      <c r="AK2141" s="72"/>
      <c r="AN2141" s="72"/>
      <c r="AQ2141" s="72"/>
      <c r="AT2141" s="72"/>
      <c r="AW2141" s="72"/>
      <c r="AZ2141" s="72"/>
    </row>
    <row r="2142" spans="1:52">
      <c r="A2142" s="131"/>
      <c r="B2142" s="72"/>
      <c r="D2142" s="72"/>
      <c r="G2142" s="72"/>
      <c r="J2142" s="72"/>
      <c r="M2142" s="72"/>
      <c r="P2142" s="72"/>
      <c r="S2142" s="72"/>
      <c r="V2142" s="72"/>
      <c r="Y2142" s="72"/>
      <c r="AB2142" s="72"/>
      <c r="AE2142" s="72"/>
      <c r="AH2142" s="72"/>
      <c r="AK2142" s="72"/>
      <c r="AN2142" s="72"/>
      <c r="AQ2142" s="72"/>
      <c r="AT2142" s="72"/>
      <c r="AW2142" s="72"/>
      <c r="AZ2142" s="72"/>
    </row>
    <row r="2143" spans="1:52">
      <c r="A2143" s="131"/>
      <c r="B2143" s="72"/>
      <c r="D2143" s="72"/>
      <c r="G2143" s="72"/>
      <c r="J2143" s="72"/>
      <c r="M2143" s="72"/>
      <c r="P2143" s="72"/>
      <c r="S2143" s="72"/>
      <c r="V2143" s="72"/>
      <c r="Y2143" s="72"/>
      <c r="AB2143" s="72"/>
      <c r="AE2143" s="72"/>
      <c r="AH2143" s="72"/>
      <c r="AK2143" s="72"/>
      <c r="AN2143" s="72"/>
      <c r="AQ2143" s="72"/>
      <c r="AT2143" s="72"/>
      <c r="AW2143" s="72"/>
      <c r="AZ2143" s="72"/>
    </row>
    <row r="2144" spans="1:52">
      <c r="A2144" s="131"/>
      <c r="B2144" s="72"/>
      <c r="D2144" s="72"/>
      <c r="G2144" s="72"/>
      <c r="J2144" s="72"/>
      <c r="M2144" s="72"/>
      <c r="P2144" s="72"/>
      <c r="S2144" s="72"/>
      <c r="V2144" s="72"/>
      <c r="Y2144" s="72"/>
      <c r="AB2144" s="72"/>
      <c r="AE2144" s="72"/>
      <c r="AH2144" s="72"/>
      <c r="AK2144" s="72"/>
      <c r="AN2144" s="72"/>
      <c r="AQ2144" s="72"/>
      <c r="AT2144" s="72"/>
      <c r="AW2144" s="72"/>
      <c r="AZ2144" s="72"/>
    </row>
    <row r="2145" spans="1:52">
      <c r="A2145" s="131"/>
      <c r="B2145" s="72"/>
      <c r="D2145" s="72"/>
      <c r="G2145" s="72"/>
      <c r="J2145" s="72"/>
      <c r="M2145" s="72"/>
      <c r="P2145" s="72"/>
      <c r="S2145" s="72"/>
      <c r="V2145" s="72"/>
      <c r="Y2145" s="72"/>
      <c r="AB2145" s="72"/>
      <c r="AE2145" s="72"/>
      <c r="AH2145" s="72"/>
      <c r="AK2145" s="72"/>
      <c r="AN2145" s="72"/>
      <c r="AQ2145" s="72"/>
      <c r="AT2145" s="72"/>
      <c r="AW2145" s="72"/>
      <c r="AZ2145" s="72"/>
    </row>
    <row r="2146" spans="1:52">
      <c r="A2146" s="131"/>
      <c r="B2146" s="72"/>
      <c r="D2146" s="72"/>
      <c r="G2146" s="72"/>
      <c r="J2146" s="72"/>
      <c r="M2146" s="72"/>
      <c r="P2146" s="72"/>
      <c r="S2146" s="72"/>
      <c r="V2146" s="72"/>
      <c r="Y2146" s="72"/>
      <c r="AB2146" s="72"/>
      <c r="AE2146" s="72"/>
      <c r="AH2146" s="72"/>
      <c r="AK2146" s="72"/>
      <c r="AN2146" s="72"/>
      <c r="AQ2146" s="72"/>
      <c r="AT2146" s="72"/>
      <c r="AW2146" s="72"/>
      <c r="AZ2146" s="72"/>
    </row>
    <row r="2147" spans="1:52">
      <c r="A2147" s="131"/>
      <c r="B2147" s="72"/>
      <c r="D2147" s="72"/>
      <c r="G2147" s="72"/>
      <c r="J2147" s="72"/>
      <c r="M2147" s="72"/>
      <c r="P2147" s="72"/>
      <c r="S2147" s="72"/>
      <c r="V2147" s="72"/>
      <c r="Y2147" s="72"/>
      <c r="AB2147" s="72"/>
      <c r="AE2147" s="72"/>
      <c r="AH2147" s="72"/>
      <c r="AK2147" s="72"/>
      <c r="AN2147" s="72"/>
      <c r="AQ2147" s="72"/>
      <c r="AT2147" s="72"/>
      <c r="AW2147" s="72"/>
      <c r="AZ2147" s="72"/>
    </row>
    <row r="2148" spans="1:52">
      <c r="A2148" s="131"/>
      <c r="B2148" s="72"/>
      <c r="D2148" s="72"/>
      <c r="G2148" s="72"/>
      <c r="J2148" s="72"/>
      <c r="M2148" s="72"/>
      <c r="P2148" s="72"/>
      <c r="S2148" s="72"/>
      <c r="V2148" s="72"/>
      <c r="Y2148" s="72"/>
      <c r="AB2148" s="72"/>
      <c r="AE2148" s="72"/>
      <c r="AH2148" s="72"/>
      <c r="AK2148" s="72"/>
      <c r="AN2148" s="72"/>
      <c r="AQ2148" s="72"/>
      <c r="AT2148" s="72"/>
      <c r="AW2148" s="72"/>
      <c r="AZ2148" s="72"/>
    </row>
    <row r="2149" spans="1:52">
      <c r="A2149" s="131"/>
      <c r="B2149" s="72"/>
      <c r="D2149" s="72"/>
      <c r="G2149" s="72"/>
      <c r="J2149" s="72"/>
      <c r="M2149" s="72"/>
      <c r="P2149" s="72"/>
      <c r="S2149" s="72"/>
      <c r="V2149" s="72"/>
      <c r="Y2149" s="72"/>
      <c r="AB2149" s="72"/>
      <c r="AE2149" s="72"/>
      <c r="AH2149" s="72"/>
      <c r="AK2149" s="72"/>
      <c r="AN2149" s="72"/>
      <c r="AQ2149" s="72"/>
      <c r="AT2149" s="72"/>
      <c r="AW2149" s="72"/>
      <c r="AZ2149" s="72"/>
    </row>
    <row r="2150" spans="1:52">
      <c r="A2150" s="131"/>
      <c r="B2150" s="72"/>
      <c r="D2150" s="72"/>
      <c r="G2150" s="72"/>
      <c r="J2150" s="72"/>
      <c r="M2150" s="72"/>
      <c r="P2150" s="72"/>
      <c r="S2150" s="72"/>
      <c r="V2150" s="72"/>
      <c r="Y2150" s="72"/>
      <c r="AB2150" s="72"/>
      <c r="AE2150" s="72"/>
      <c r="AH2150" s="72"/>
      <c r="AK2150" s="72"/>
      <c r="AN2150" s="72"/>
      <c r="AQ2150" s="72"/>
      <c r="AT2150" s="72"/>
      <c r="AW2150" s="72"/>
      <c r="AZ2150" s="72"/>
    </row>
    <row r="2151" spans="1:52">
      <c r="A2151" s="131"/>
      <c r="B2151" s="72"/>
      <c r="D2151" s="72"/>
      <c r="G2151" s="72"/>
      <c r="J2151" s="72"/>
      <c r="M2151" s="72"/>
      <c r="P2151" s="72"/>
      <c r="S2151" s="72"/>
      <c r="V2151" s="72"/>
      <c r="Y2151" s="72"/>
      <c r="AB2151" s="72"/>
      <c r="AE2151" s="72"/>
      <c r="AH2151" s="72"/>
      <c r="AK2151" s="72"/>
      <c r="AN2151" s="72"/>
      <c r="AQ2151" s="72"/>
      <c r="AT2151" s="72"/>
      <c r="AW2151" s="72"/>
      <c r="AZ2151" s="72"/>
    </row>
    <row r="2152" spans="1:52">
      <c r="A2152" s="131"/>
      <c r="B2152" s="72"/>
      <c r="D2152" s="72"/>
      <c r="G2152" s="72"/>
      <c r="J2152" s="72"/>
      <c r="M2152" s="72"/>
      <c r="P2152" s="72"/>
      <c r="S2152" s="72"/>
      <c r="V2152" s="72"/>
      <c r="Y2152" s="72"/>
      <c r="AB2152" s="72"/>
      <c r="AE2152" s="72"/>
      <c r="AH2152" s="72"/>
      <c r="AK2152" s="72"/>
      <c r="AN2152" s="72"/>
      <c r="AQ2152" s="72"/>
      <c r="AT2152" s="72"/>
      <c r="AW2152" s="72"/>
      <c r="AZ2152" s="72"/>
    </row>
    <row r="2153" spans="1:52">
      <c r="A2153" s="131"/>
      <c r="B2153" s="72"/>
      <c r="D2153" s="72"/>
      <c r="G2153" s="72"/>
      <c r="J2153" s="72"/>
      <c r="M2153" s="72"/>
      <c r="P2153" s="72"/>
      <c r="S2153" s="72"/>
      <c r="V2153" s="72"/>
      <c r="Y2153" s="72"/>
      <c r="AB2153" s="72"/>
      <c r="AE2153" s="72"/>
      <c r="AH2153" s="72"/>
      <c r="AK2153" s="72"/>
      <c r="AN2153" s="72"/>
      <c r="AQ2153" s="72"/>
      <c r="AT2153" s="72"/>
      <c r="AW2153" s="72"/>
      <c r="AZ2153" s="72"/>
    </row>
    <row r="2154" spans="1:52">
      <c r="A2154" s="131"/>
      <c r="B2154" s="72"/>
      <c r="D2154" s="72"/>
      <c r="G2154" s="72"/>
      <c r="J2154" s="72"/>
      <c r="M2154" s="72"/>
      <c r="P2154" s="72"/>
      <c r="S2154" s="72"/>
      <c r="V2154" s="72"/>
      <c r="Y2154" s="72"/>
      <c r="AB2154" s="72"/>
      <c r="AE2154" s="72"/>
      <c r="AH2154" s="72"/>
      <c r="AK2154" s="72"/>
      <c r="AN2154" s="72"/>
      <c r="AQ2154" s="72"/>
      <c r="AT2154" s="72"/>
      <c r="AW2154" s="72"/>
      <c r="AZ2154" s="72"/>
    </row>
    <row r="2155" spans="1:52">
      <c r="A2155" s="131"/>
      <c r="B2155" s="72"/>
      <c r="D2155" s="72"/>
      <c r="G2155" s="72"/>
      <c r="J2155" s="72"/>
      <c r="M2155" s="72"/>
      <c r="P2155" s="72"/>
      <c r="S2155" s="72"/>
      <c r="V2155" s="72"/>
      <c r="Y2155" s="72"/>
      <c r="AB2155" s="72"/>
      <c r="AE2155" s="72"/>
      <c r="AH2155" s="72"/>
      <c r="AK2155" s="72"/>
      <c r="AN2155" s="72"/>
      <c r="AQ2155" s="72"/>
      <c r="AT2155" s="72"/>
      <c r="AW2155" s="72"/>
      <c r="AZ2155" s="72"/>
    </row>
    <row r="2156" spans="1:52">
      <c r="A2156" s="131"/>
      <c r="B2156" s="72"/>
      <c r="D2156" s="72"/>
      <c r="G2156" s="72"/>
      <c r="J2156" s="72"/>
      <c r="M2156" s="72"/>
      <c r="P2156" s="72"/>
      <c r="S2156" s="72"/>
      <c r="V2156" s="72"/>
      <c r="Y2156" s="72"/>
      <c r="AB2156" s="72"/>
      <c r="AE2156" s="72"/>
      <c r="AH2156" s="72"/>
      <c r="AK2156" s="72"/>
      <c r="AN2156" s="72"/>
      <c r="AQ2156" s="72"/>
      <c r="AT2156" s="72"/>
      <c r="AW2156" s="72"/>
      <c r="AZ2156" s="72"/>
    </row>
    <row r="2157" spans="1:52">
      <c r="A2157" s="131"/>
      <c r="B2157" s="72"/>
      <c r="D2157" s="72"/>
      <c r="G2157" s="72"/>
      <c r="J2157" s="72"/>
      <c r="M2157" s="72"/>
      <c r="P2157" s="72"/>
      <c r="S2157" s="72"/>
      <c r="V2157" s="72"/>
      <c r="Y2157" s="72"/>
      <c r="AB2157" s="72"/>
      <c r="AE2157" s="72"/>
      <c r="AH2157" s="72"/>
      <c r="AK2157" s="72"/>
      <c r="AN2157" s="72"/>
      <c r="AQ2157" s="72"/>
      <c r="AT2157" s="72"/>
      <c r="AW2157" s="72"/>
      <c r="AZ2157" s="72"/>
    </row>
    <row r="2158" spans="1:52">
      <c r="A2158" s="131"/>
      <c r="B2158" s="72"/>
      <c r="D2158" s="72"/>
      <c r="G2158" s="72"/>
      <c r="J2158" s="72"/>
      <c r="M2158" s="72"/>
      <c r="P2158" s="72"/>
      <c r="S2158" s="72"/>
      <c r="V2158" s="72"/>
      <c r="Y2158" s="72"/>
      <c r="AB2158" s="72"/>
      <c r="AE2158" s="72"/>
      <c r="AH2158" s="72"/>
      <c r="AK2158" s="72"/>
      <c r="AN2158" s="72"/>
      <c r="AQ2158" s="72"/>
      <c r="AT2158" s="72"/>
      <c r="AW2158" s="72"/>
      <c r="AZ2158" s="72"/>
    </row>
    <row r="2159" spans="1:52">
      <c r="A2159" s="131"/>
      <c r="B2159" s="72"/>
      <c r="D2159" s="72"/>
      <c r="G2159" s="72"/>
      <c r="J2159" s="72"/>
      <c r="M2159" s="72"/>
      <c r="P2159" s="72"/>
      <c r="S2159" s="72"/>
      <c r="V2159" s="72"/>
      <c r="Y2159" s="72"/>
      <c r="AB2159" s="72"/>
      <c r="AE2159" s="72"/>
      <c r="AH2159" s="72"/>
      <c r="AK2159" s="72"/>
      <c r="AN2159" s="72"/>
      <c r="AQ2159" s="72"/>
      <c r="AT2159" s="72"/>
      <c r="AW2159" s="72"/>
      <c r="AZ2159" s="72"/>
    </row>
    <row r="2160" spans="1:52">
      <c r="A2160" s="131"/>
      <c r="B2160" s="72"/>
      <c r="D2160" s="72"/>
      <c r="G2160" s="72"/>
      <c r="J2160" s="72"/>
      <c r="M2160" s="72"/>
      <c r="P2160" s="72"/>
      <c r="S2160" s="72"/>
      <c r="V2160" s="72"/>
      <c r="Y2160" s="72"/>
      <c r="AB2160" s="72"/>
      <c r="AE2160" s="72"/>
      <c r="AH2160" s="72"/>
      <c r="AK2160" s="72"/>
      <c r="AN2160" s="72"/>
      <c r="AQ2160" s="72"/>
      <c r="AT2160" s="72"/>
      <c r="AW2160" s="72"/>
      <c r="AZ2160" s="72"/>
    </row>
    <row r="2161" spans="1:52">
      <c r="A2161" s="131"/>
      <c r="B2161" s="72"/>
      <c r="D2161" s="72"/>
      <c r="G2161" s="72"/>
      <c r="J2161" s="72"/>
      <c r="M2161" s="72"/>
      <c r="P2161" s="72"/>
      <c r="S2161" s="72"/>
      <c r="V2161" s="72"/>
      <c r="Y2161" s="72"/>
      <c r="AB2161" s="72"/>
      <c r="AE2161" s="72"/>
      <c r="AH2161" s="72"/>
      <c r="AK2161" s="72"/>
      <c r="AN2161" s="72"/>
      <c r="AQ2161" s="72"/>
      <c r="AT2161" s="72"/>
      <c r="AW2161" s="72"/>
      <c r="AZ2161" s="72"/>
    </row>
    <row r="2162" spans="1:52">
      <c r="A2162" s="131"/>
      <c r="B2162" s="72"/>
      <c r="D2162" s="72"/>
      <c r="G2162" s="72"/>
      <c r="J2162" s="72"/>
      <c r="M2162" s="72"/>
      <c r="P2162" s="72"/>
      <c r="S2162" s="72"/>
      <c r="V2162" s="72"/>
      <c r="Y2162" s="72"/>
      <c r="AB2162" s="72"/>
      <c r="AE2162" s="72"/>
      <c r="AH2162" s="72"/>
      <c r="AK2162" s="72"/>
      <c r="AN2162" s="72"/>
      <c r="AQ2162" s="72"/>
      <c r="AT2162" s="72"/>
      <c r="AW2162" s="72"/>
      <c r="AZ2162" s="72"/>
    </row>
    <row r="2163" spans="1:52">
      <c r="A2163" s="131"/>
      <c r="B2163" s="72"/>
      <c r="D2163" s="72"/>
      <c r="G2163" s="72"/>
      <c r="J2163" s="72"/>
      <c r="M2163" s="72"/>
      <c r="P2163" s="72"/>
      <c r="S2163" s="72"/>
      <c r="V2163" s="72"/>
      <c r="Y2163" s="72"/>
      <c r="AB2163" s="72"/>
      <c r="AE2163" s="72"/>
      <c r="AH2163" s="72"/>
      <c r="AK2163" s="72"/>
      <c r="AN2163" s="72"/>
      <c r="AQ2163" s="72"/>
      <c r="AT2163" s="72"/>
      <c r="AW2163" s="72"/>
      <c r="AZ2163" s="72"/>
    </row>
    <row r="2164" spans="1:52">
      <c r="A2164" s="131"/>
      <c r="B2164" s="72"/>
      <c r="D2164" s="72"/>
      <c r="G2164" s="72"/>
      <c r="J2164" s="72"/>
      <c r="M2164" s="72"/>
      <c r="P2164" s="72"/>
      <c r="S2164" s="72"/>
      <c r="V2164" s="72"/>
      <c r="Y2164" s="72"/>
      <c r="AB2164" s="72"/>
      <c r="AE2164" s="72"/>
      <c r="AH2164" s="72"/>
      <c r="AK2164" s="72"/>
      <c r="AN2164" s="72"/>
      <c r="AQ2164" s="72"/>
      <c r="AT2164" s="72"/>
      <c r="AW2164" s="72"/>
      <c r="AZ2164" s="72"/>
    </row>
    <row r="2165" spans="1:52">
      <c r="A2165" s="131"/>
      <c r="B2165" s="72"/>
      <c r="D2165" s="72"/>
      <c r="G2165" s="72"/>
      <c r="J2165" s="72"/>
      <c r="M2165" s="72"/>
      <c r="P2165" s="72"/>
      <c r="S2165" s="72"/>
      <c r="V2165" s="72"/>
      <c r="Y2165" s="72"/>
      <c r="AB2165" s="72"/>
      <c r="AE2165" s="72"/>
      <c r="AH2165" s="72"/>
      <c r="AK2165" s="72"/>
      <c r="AN2165" s="72"/>
      <c r="AQ2165" s="72"/>
      <c r="AT2165" s="72"/>
      <c r="AW2165" s="72"/>
      <c r="AZ2165" s="72"/>
    </row>
    <row r="2166" spans="1:52">
      <c r="A2166" s="131"/>
      <c r="B2166" s="72"/>
      <c r="D2166" s="72"/>
      <c r="G2166" s="72"/>
      <c r="J2166" s="72"/>
      <c r="M2166" s="72"/>
      <c r="P2166" s="72"/>
      <c r="S2166" s="72"/>
      <c r="V2166" s="72"/>
      <c r="Y2166" s="72"/>
      <c r="AB2166" s="72"/>
      <c r="AE2166" s="72"/>
      <c r="AH2166" s="72"/>
      <c r="AK2166" s="72"/>
      <c r="AN2166" s="72"/>
      <c r="AQ2166" s="72"/>
      <c r="AT2166" s="72"/>
      <c r="AW2166" s="72"/>
      <c r="AZ2166" s="72"/>
    </row>
    <row r="2167" spans="1:52">
      <c r="A2167" s="131"/>
      <c r="B2167" s="72"/>
      <c r="D2167" s="72"/>
      <c r="G2167" s="72"/>
      <c r="J2167" s="72"/>
      <c r="M2167" s="72"/>
      <c r="P2167" s="72"/>
      <c r="S2167" s="72"/>
      <c r="V2167" s="72"/>
      <c r="Y2167" s="72"/>
      <c r="AB2167" s="72"/>
      <c r="AE2167" s="72"/>
      <c r="AH2167" s="72"/>
      <c r="AK2167" s="72"/>
      <c r="AN2167" s="72"/>
      <c r="AQ2167" s="72"/>
      <c r="AT2167" s="72"/>
      <c r="AW2167" s="72"/>
      <c r="AZ2167" s="72"/>
    </row>
    <row r="2168" spans="1:52">
      <c r="A2168" s="131"/>
      <c r="B2168" s="72"/>
      <c r="D2168" s="72"/>
      <c r="G2168" s="72"/>
      <c r="J2168" s="72"/>
      <c r="M2168" s="72"/>
      <c r="P2168" s="72"/>
      <c r="S2168" s="72"/>
      <c r="V2168" s="72"/>
      <c r="Y2168" s="72"/>
      <c r="AB2168" s="72"/>
      <c r="AE2168" s="72"/>
      <c r="AH2168" s="72"/>
      <c r="AK2168" s="72"/>
      <c r="AN2168" s="72"/>
      <c r="AQ2168" s="72"/>
      <c r="AT2168" s="72"/>
      <c r="AW2168" s="72"/>
      <c r="AZ2168" s="72"/>
    </row>
    <row r="2169" spans="1:52">
      <c r="A2169" s="131"/>
      <c r="B2169" s="72"/>
      <c r="D2169" s="72"/>
      <c r="G2169" s="72"/>
      <c r="J2169" s="72"/>
      <c r="M2169" s="72"/>
      <c r="P2169" s="72"/>
      <c r="S2169" s="72"/>
      <c r="V2169" s="72"/>
      <c r="Y2169" s="72"/>
      <c r="AB2169" s="72"/>
      <c r="AE2169" s="72"/>
      <c r="AH2169" s="72"/>
      <c r="AK2169" s="72"/>
      <c r="AN2169" s="72"/>
      <c r="AQ2169" s="72"/>
      <c r="AT2169" s="72"/>
      <c r="AW2169" s="72"/>
      <c r="AZ2169" s="72"/>
    </row>
    <row r="2170" spans="1:52">
      <c r="A2170" s="131"/>
      <c r="B2170" s="72"/>
      <c r="D2170" s="72"/>
      <c r="G2170" s="72"/>
      <c r="J2170" s="72"/>
      <c r="M2170" s="72"/>
      <c r="P2170" s="72"/>
      <c r="S2170" s="72"/>
      <c r="V2170" s="72"/>
      <c r="Y2170" s="72"/>
      <c r="AB2170" s="72"/>
      <c r="AE2170" s="72"/>
      <c r="AH2170" s="72"/>
      <c r="AK2170" s="72"/>
      <c r="AN2170" s="72"/>
      <c r="AQ2170" s="72"/>
      <c r="AT2170" s="72"/>
      <c r="AW2170" s="72"/>
      <c r="AZ2170" s="72"/>
    </row>
    <row r="2171" spans="1:52">
      <c r="A2171" s="131"/>
      <c r="B2171" s="72"/>
      <c r="D2171" s="72"/>
      <c r="G2171" s="72"/>
      <c r="J2171" s="72"/>
      <c r="M2171" s="72"/>
      <c r="P2171" s="72"/>
      <c r="S2171" s="72"/>
      <c r="V2171" s="72"/>
      <c r="Y2171" s="72"/>
      <c r="AB2171" s="72"/>
      <c r="AE2171" s="72"/>
      <c r="AH2171" s="72"/>
      <c r="AK2171" s="72"/>
      <c r="AN2171" s="72"/>
      <c r="AQ2171" s="72"/>
      <c r="AT2171" s="72"/>
      <c r="AW2171" s="72"/>
      <c r="AZ2171" s="72"/>
    </row>
    <row r="2172" spans="1:52">
      <c r="A2172" s="131"/>
      <c r="B2172" s="72"/>
      <c r="D2172" s="72"/>
      <c r="G2172" s="72"/>
      <c r="J2172" s="72"/>
      <c r="M2172" s="72"/>
      <c r="P2172" s="72"/>
      <c r="S2172" s="72"/>
      <c r="V2172" s="72"/>
      <c r="Y2172" s="72"/>
      <c r="AB2172" s="72"/>
      <c r="AE2172" s="72"/>
      <c r="AH2172" s="72"/>
      <c r="AK2172" s="72"/>
      <c r="AN2172" s="72"/>
      <c r="AQ2172" s="72"/>
      <c r="AT2172" s="72"/>
      <c r="AW2172" s="72"/>
      <c r="AZ2172" s="72"/>
    </row>
    <row r="2173" spans="1:52">
      <c r="A2173" s="131"/>
      <c r="B2173" s="72"/>
      <c r="D2173" s="72"/>
      <c r="G2173" s="72"/>
      <c r="J2173" s="72"/>
      <c r="M2173" s="72"/>
      <c r="P2173" s="72"/>
      <c r="S2173" s="72"/>
      <c r="V2173" s="72"/>
      <c r="Y2173" s="72"/>
      <c r="AB2173" s="72"/>
      <c r="AE2173" s="72"/>
      <c r="AH2173" s="72"/>
      <c r="AK2173" s="72"/>
      <c r="AN2173" s="72"/>
      <c r="AQ2173" s="72"/>
      <c r="AT2173" s="72"/>
      <c r="AW2173" s="72"/>
      <c r="AZ2173" s="72"/>
    </row>
    <row r="2174" spans="1:52">
      <c r="A2174" s="131"/>
      <c r="B2174" s="72"/>
      <c r="D2174" s="72"/>
      <c r="G2174" s="72"/>
      <c r="J2174" s="72"/>
      <c r="M2174" s="72"/>
      <c r="P2174" s="72"/>
      <c r="S2174" s="72"/>
      <c r="V2174" s="72"/>
      <c r="Y2174" s="72"/>
      <c r="AB2174" s="72"/>
      <c r="AE2174" s="72"/>
      <c r="AH2174" s="72"/>
      <c r="AK2174" s="72"/>
      <c r="AN2174" s="72"/>
      <c r="AQ2174" s="72"/>
      <c r="AT2174" s="72"/>
      <c r="AW2174" s="72"/>
      <c r="AZ2174" s="72"/>
    </row>
    <row r="2175" spans="1:52">
      <c r="A2175" s="131"/>
      <c r="B2175" s="72"/>
      <c r="D2175" s="72"/>
      <c r="G2175" s="72"/>
      <c r="J2175" s="72"/>
      <c r="M2175" s="72"/>
      <c r="P2175" s="72"/>
      <c r="S2175" s="72"/>
      <c r="V2175" s="72"/>
      <c r="Y2175" s="72"/>
      <c r="AB2175" s="72"/>
      <c r="AE2175" s="72"/>
      <c r="AH2175" s="72"/>
      <c r="AK2175" s="72"/>
      <c r="AN2175" s="72"/>
      <c r="AQ2175" s="72"/>
      <c r="AT2175" s="72"/>
      <c r="AW2175" s="72"/>
      <c r="AZ2175" s="72"/>
    </row>
    <row r="2176" spans="1:52">
      <c r="A2176" s="131"/>
      <c r="B2176" s="72"/>
      <c r="D2176" s="72"/>
      <c r="G2176" s="72"/>
      <c r="J2176" s="72"/>
      <c r="M2176" s="72"/>
      <c r="P2176" s="72"/>
      <c r="S2176" s="72"/>
      <c r="V2176" s="72"/>
      <c r="Y2176" s="72"/>
      <c r="AB2176" s="72"/>
      <c r="AE2176" s="72"/>
      <c r="AH2176" s="72"/>
      <c r="AK2176" s="72"/>
      <c r="AN2176" s="72"/>
      <c r="AQ2176" s="72"/>
      <c r="AT2176" s="72"/>
      <c r="AW2176" s="72"/>
      <c r="AZ2176" s="72"/>
    </row>
    <row r="2177" spans="1:52">
      <c r="A2177" s="131"/>
      <c r="B2177" s="72"/>
      <c r="D2177" s="72"/>
      <c r="G2177" s="72"/>
      <c r="J2177" s="72"/>
      <c r="M2177" s="72"/>
      <c r="P2177" s="72"/>
      <c r="S2177" s="72"/>
      <c r="V2177" s="72"/>
      <c r="Y2177" s="72"/>
      <c r="AB2177" s="72"/>
      <c r="AE2177" s="72"/>
      <c r="AH2177" s="72"/>
      <c r="AK2177" s="72"/>
      <c r="AN2177" s="72"/>
      <c r="AQ2177" s="72"/>
      <c r="AT2177" s="72"/>
      <c r="AW2177" s="72"/>
      <c r="AZ2177" s="72"/>
    </row>
    <row r="2178" spans="1:52">
      <c r="A2178" s="131"/>
      <c r="B2178" s="72"/>
      <c r="D2178" s="72"/>
      <c r="G2178" s="72"/>
      <c r="J2178" s="72"/>
      <c r="M2178" s="72"/>
      <c r="P2178" s="72"/>
      <c r="S2178" s="72"/>
      <c r="V2178" s="72"/>
      <c r="Y2178" s="72"/>
      <c r="AB2178" s="72"/>
      <c r="AE2178" s="72"/>
      <c r="AH2178" s="72"/>
      <c r="AK2178" s="72"/>
      <c r="AN2178" s="72"/>
      <c r="AQ2178" s="72"/>
      <c r="AT2178" s="72"/>
      <c r="AW2178" s="72"/>
      <c r="AZ2178" s="72"/>
    </row>
    <row r="2179" spans="1:52">
      <c r="A2179" s="131"/>
      <c r="B2179" s="72"/>
      <c r="D2179" s="72"/>
      <c r="G2179" s="72"/>
      <c r="J2179" s="72"/>
      <c r="M2179" s="72"/>
      <c r="P2179" s="72"/>
      <c r="S2179" s="72"/>
      <c r="V2179" s="72"/>
      <c r="Y2179" s="72"/>
      <c r="AB2179" s="72"/>
      <c r="AE2179" s="72"/>
      <c r="AH2179" s="72"/>
      <c r="AK2179" s="72"/>
      <c r="AN2179" s="72"/>
      <c r="AQ2179" s="72"/>
      <c r="AT2179" s="72"/>
      <c r="AW2179" s="72"/>
      <c r="AZ2179" s="72"/>
    </row>
    <row r="2180" spans="1:52">
      <c r="A2180" s="131"/>
      <c r="B2180" s="72"/>
      <c r="D2180" s="72"/>
      <c r="G2180" s="72"/>
      <c r="J2180" s="72"/>
      <c r="M2180" s="72"/>
      <c r="P2180" s="72"/>
      <c r="S2180" s="72"/>
      <c r="V2180" s="72"/>
      <c r="Y2180" s="72"/>
      <c r="AB2180" s="72"/>
      <c r="AE2180" s="72"/>
      <c r="AH2180" s="72"/>
      <c r="AK2180" s="72"/>
      <c r="AN2180" s="72"/>
      <c r="AQ2180" s="72"/>
      <c r="AT2180" s="72"/>
      <c r="AW2180" s="72"/>
      <c r="AZ2180" s="72"/>
    </row>
    <row r="2181" spans="1:52">
      <c r="A2181" s="131"/>
      <c r="B2181" s="72"/>
      <c r="D2181" s="72"/>
      <c r="G2181" s="72"/>
      <c r="J2181" s="72"/>
      <c r="M2181" s="72"/>
      <c r="P2181" s="72"/>
      <c r="S2181" s="72"/>
      <c r="V2181" s="72"/>
      <c r="Y2181" s="72"/>
      <c r="AB2181" s="72"/>
      <c r="AE2181" s="72"/>
      <c r="AH2181" s="72"/>
      <c r="AK2181" s="72"/>
      <c r="AN2181" s="72"/>
      <c r="AQ2181" s="72"/>
      <c r="AT2181" s="72"/>
      <c r="AW2181" s="72"/>
      <c r="AZ2181" s="72"/>
    </row>
    <row r="2182" spans="1:52">
      <c r="A2182" s="131"/>
      <c r="B2182" s="72"/>
      <c r="D2182" s="72"/>
      <c r="G2182" s="72"/>
      <c r="J2182" s="72"/>
      <c r="M2182" s="72"/>
      <c r="P2182" s="72"/>
      <c r="S2182" s="72"/>
      <c r="V2182" s="72"/>
      <c r="Y2182" s="72"/>
      <c r="AB2182" s="72"/>
      <c r="AE2182" s="72"/>
      <c r="AH2182" s="72"/>
      <c r="AK2182" s="72"/>
      <c r="AN2182" s="72"/>
      <c r="AQ2182" s="72"/>
      <c r="AT2182" s="72"/>
      <c r="AW2182" s="72"/>
      <c r="AZ2182" s="72"/>
    </row>
    <row r="2183" spans="1:52">
      <c r="A2183" s="131"/>
      <c r="B2183" s="72"/>
      <c r="D2183" s="72"/>
      <c r="G2183" s="72"/>
      <c r="J2183" s="72"/>
      <c r="M2183" s="72"/>
      <c r="P2183" s="72"/>
      <c r="S2183" s="72"/>
      <c r="V2183" s="72"/>
      <c r="Y2183" s="72"/>
      <c r="AB2183" s="72"/>
      <c r="AE2183" s="72"/>
      <c r="AH2183" s="72"/>
      <c r="AK2183" s="72"/>
      <c r="AN2183" s="72"/>
      <c r="AQ2183" s="72"/>
      <c r="AT2183" s="72"/>
      <c r="AW2183" s="72"/>
      <c r="AZ2183" s="72"/>
    </row>
    <row r="2184" spans="1:52">
      <c r="A2184" s="131"/>
      <c r="B2184" s="72"/>
      <c r="D2184" s="72"/>
      <c r="G2184" s="72"/>
      <c r="J2184" s="72"/>
      <c r="M2184" s="72"/>
      <c r="P2184" s="72"/>
      <c r="S2184" s="72"/>
      <c r="V2184" s="72"/>
      <c r="Y2184" s="72"/>
      <c r="AB2184" s="72"/>
      <c r="AE2184" s="72"/>
      <c r="AH2184" s="72"/>
      <c r="AK2184" s="72"/>
      <c r="AN2184" s="72"/>
      <c r="AQ2184" s="72"/>
      <c r="AT2184" s="72"/>
      <c r="AW2184" s="72"/>
      <c r="AZ2184" s="72"/>
    </row>
    <row r="2185" spans="1:52">
      <c r="A2185" s="131"/>
      <c r="B2185" s="72"/>
      <c r="D2185" s="72"/>
      <c r="G2185" s="72"/>
      <c r="J2185" s="72"/>
      <c r="M2185" s="72"/>
      <c r="P2185" s="72"/>
      <c r="S2185" s="72"/>
      <c r="V2185" s="72"/>
      <c r="Y2185" s="72"/>
      <c r="AB2185" s="72"/>
      <c r="AE2185" s="72"/>
      <c r="AH2185" s="72"/>
      <c r="AK2185" s="72"/>
      <c r="AN2185" s="72"/>
      <c r="AQ2185" s="72"/>
      <c r="AT2185" s="72"/>
      <c r="AW2185" s="72"/>
      <c r="AZ2185" s="72"/>
    </row>
    <row r="2186" spans="1:52">
      <c r="A2186" s="131"/>
      <c r="B2186" s="72"/>
      <c r="D2186" s="72"/>
      <c r="G2186" s="72"/>
      <c r="J2186" s="72"/>
      <c r="M2186" s="72"/>
      <c r="P2186" s="72"/>
      <c r="S2186" s="72"/>
      <c r="V2186" s="72"/>
      <c r="Y2186" s="72"/>
      <c r="AB2186" s="72"/>
      <c r="AE2186" s="72"/>
      <c r="AH2186" s="72"/>
      <c r="AK2186" s="72"/>
      <c r="AN2186" s="72"/>
      <c r="AQ2186" s="72"/>
      <c r="AT2186" s="72"/>
      <c r="AW2186" s="72"/>
      <c r="AZ2186" s="72"/>
    </row>
    <row r="2187" spans="1:52">
      <c r="A2187" s="131"/>
      <c r="B2187" s="72"/>
      <c r="D2187" s="72"/>
      <c r="G2187" s="72"/>
      <c r="J2187" s="72"/>
      <c r="M2187" s="72"/>
      <c r="P2187" s="72"/>
      <c r="S2187" s="72"/>
      <c r="V2187" s="72"/>
      <c r="Y2187" s="72"/>
      <c r="AB2187" s="72"/>
      <c r="AE2187" s="72"/>
      <c r="AH2187" s="72"/>
      <c r="AK2187" s="72"/>
      <c r="AN2187" s="72"/>
      <c r="AQ2187" s="72"/>
      <c r="AT2187" s="72"/>
      <c r="AW2187" s="72"/>
      <c r="AZ2187" s="72"/>
    </row>
    <row r="2188" spans="1:52">
      <c r="A2188" s="131"/>
      <c r="B2188" s="72"/>
      <c r="D2188" s="72"/>
      <c r="G2188" s="72"/>
      <c r="J2188" s="72"/>
      <c r="M2188" s="72"/>
      <c r="P2188" s="72"/>
      <c r="S2188" s="72"/>
      <c r="V2188" s="72"/>
      <c r="Y2188" s="72"/>
      <c r="AB2188" s="72"/>
      <c r="AE2188" s="72"/>
      <c r="AH2188" s="72"/>
      <c r="AK2188" s="72"/>
      <c r="AN2188" s="72"/>
      <c r="AQ2188" s="72"/>
      <c r="AT2188" s="72"/>
      <c r="AW2188" s="72"/>
      <c r="AZ2188" s="72"/>
    </row>
    <row r="2189" spans="1:52">
      <c r="A2189" s="131"/>
      <c r="B2189" s="72"/>
      <c r="D2189" s="72"/>
      <c r="G2189" s="72"/>
      <c r="J2189" s="72"/>
      <c r="M2189" s="72"/>
      <c r="P2189" s="72"/>
      <c r="S2189" s="72"/>
      <c r="V2189" s="72"/>
      <c r="Y2189" s="72"/>
      <c r="AB2189" s="72"/>
      <c r="AE2189" s="72"/>
      <c r="AH2189" s="72"/>
      <c r="AK2189" s="72"/>
      <c r="AN2189" s="72"/>
      <c r="AQ2189" s="72"/>
      <c r="AT2189" s="72"/>
      <c r="AW2189" s="72"/>
      <c r="AZ2189" s="72"/>
    </row>
    <row r="2190" spans="1:52">
      <c r="A2190" s="131"/>
      <c r="B2190" s="72"/>
      <c r="D2190" s="72"/>
      <c r="G2190" s="72"/>
      <c r="J2190" s="72"/>
      <c r="M2190" s="72"/>
      <c r="P2190" s="72"/>
      <c r="S2190" s="72"/>
      <c r="V2190" s="72"/>
      <c r="Y2190" s="72"/>
      <c r="AB2190" s="72"/>
      <c r="AE2190" s="72"/>
      <c r="AH2190" s="72"/>
      <c r="AK2190" s="72"/>
      <c r="AN2190" s="72"/>
      <c r="AQ2190" s="72"/>
      <c r="AT2190" s="72"/>
      <c r="AW2190" s="72"/>
      <c r="AZ2190" s="72"/>
    </row>
    <row r="2191" spans="1:52">
      <c r="A2191" s="131"/>
      <c r="B2191" s="72"/>
      <c r="D2191" s="72"/>
      <c r="G2191" s="72"/>
      <c r="J2191" s="72"/>
      <c r="M2191" s="72"/>
      <c r="P2191" s="72"/>
      <c r="S2191" s="72"/>
      <c r="V2191" s="72"/>
      <c r="Y2191" s="72"/>
      <c r="AB2191" s="72"/>
      <c r="AE2191" s="72"/>
      <c r="AH2191" s="72"/>
      <c r="AK2191" s="72"/>
      <c r="AN2191" s="72"/>
      <c r="AQ2191" s="72"/>
      <c r="AT2191" s="72"/>
      <c r="AW2191" s="72"/>
      <c r="AZ2191" s="72"/>
    </row>
    <row r="2192" spans="1:52">
      <c r="A2192" s="131"/>
      <c r="B2192" s="72"/>
      <c r="D2192" s="72"/>
      <c r="G2192" s="72"/>
      <c r="J2192" s="72"/>
      <c r="M2192" s="72"/>
      <c r="P2192" s="72"/>
      <c r="S2192" s="72"/>
      <c r="V2192" s="72"/>
      <c r="Y2192" s="72"/>
      <c r="AB2192" s="72"/>
      <c r="AE2192" s="72"/>
      <c r="AH2192" s="72"/>
      <c r="AK2192" s="72"/>
      <c r="AN2192" s="72"/>
      <c r="AQ2192" s="72"/>
      <c r="AT2192" s="72"/>
      <c r="AW2192" s="72"/>
      <c r="AZ2192" s="72"/>
    </row>
    <row r="2193" spans="1:52">
      <c r="A2193" s="131"/>
      <c r="B2193" s="72"/>
      <c r="D2193" s="72"/>
      <c r="G2193" s="72"/>
      <c r="J2193" s="72"/>
      <c r="M2193" s="72"/>
      <c r="P2193" s="72"/>
      <c r="S2193" s="72"/>
      <c r="V2193" s="72"/>
      <c r="Y2193" s="72"/>
      <c r="AB2193" s="72"/>
      <c r="AE2193" s="72"/>
      <c r="AH2193" s="72"/>
      <c r="AK2193" s="72"/>
      <c r="AN2193" s="72"/>
      <c r="AQ2193" s="72"/>
      <c r="AT2193" s="72"/>
      <c r="AW2193" s="72"/>
      <c r="AZ2193" s="72"/>
    </row>
    <row r="2194" spans="1:52">
      <c r="A2194" s="131"/>
      <c r="B2194" s="72"/>
      <c r="D2194" s="72"/>
      <c r="G2194" s="72"/>
      <c r="J2194" s="72"/>
      <c r="M2194" s="72"/>
      <c r="P2194" s="72"/>
      <c r="S2194" s="72"/>
      <c r="V2194" s="72"/>
      <c r="Y2194" s="72"/>
      <c r="AB2194" s="72"/>
      <c r="AE2194" s="72"/>
      <c r="AH2194" s="72"/>
      <c r="AK2194" s="72"/>
      <c r="AN2194" s="72"/>
      <c r="AQ2194" s="72"/>
      <c r="AT2194" s="72"/>
      <c r="AW2194" s="72"/>
      <c r="AZ2194" s="72"/>
    </row>
    <row r="2195" spans="1:52">
      <c r="A2195" s="131"/>
      <c r="B2195" s="72"/>
      <c r="D2195" s="72"/>
      <c r="G2195" s="72"/>
      <c r="J2195" s="72"/>
      <c r="M2195" s="72"/>
      <c r="P2195" s="72"/>
      <c r="S2195" s="72"/>
      <c r="V2195" s="72"/>
      <c r="Y2195" s="72"/>
      <c r="AB2195" s="72"/>
      <c r="AE2195" s="72"/>
      <c r="AH2195" s="72"/>
      <c r="AK2195" s="72"/>
      <c r="AN2195" s="72"/>
      <c r="AQ2195" s="72"/>
      <c r="AT2195" s="72"/>
      <c r="AW2195" s="72"/>
      <c r="AZ2195" s="72"/>
    </row>
    <row r="2196" spans="1:52">
      <c r="A2196" s="131"/>
      <c r="B2196" s="72"/>
      <c r="D2196" s="72"/>
      <c r="G2196" s="72"/>
      <c r="J2196" s="72"/>
      <c r="M2196" s="72"/>
      <c r="P2196" s="72"/>
      <c r="S2196" s="72"/>
      <c r="V2196" s="72"/>
      <c r="Y2196" s="72"/>
      <c r="AB2196" s="72"/>
      <c r="AE2196" s="72"/>
      <c r="AH2196" s="72"/>
      <c r="AK2196" s="72"/>
      <c r="AN2196" s="72"/>
      <c r="AQ2196" s="72"/>
      <c r="AT2196" s="72"/>
      <c r="AW2196" s="72"/>
      <c r="AZ2196" s="72"/>
    </row>
    <row r="2197" spans="1:52">
      <c r="A2197" s="131"/>
      <c r="B2197" s="72"/>
      <c r="D2197" s="72"/>
      <c r="G2197" s="72"/>
      <c r="J2197" s="72"/>
      <c r="M2197" s="72"/>
      <c r="P2197" s="72"/>
      <c r="S2197" s="72"/>
      <c r="V2197" s="72"/>
      <c r="Y2197" s="72"/>
      <c r="AB2197" s="72"/>
      <c r="AE2197" s="72"/>
      <c r="AH2197" s="72"/>
      <c r="AK2197" s="72"/>
      <c r="AN2197" s="72"/>
      <c r="AQ2197" s="72"/>
      <c r="AT2197" s="72"/>
      <c r="AW2197" s="72"/>
      <c r="AZ2197" s="72"/>
    </row>
    <row r="2198" spans="1:52">
      <c r="A2198" s="131"/>
      <c r="B2198" s="72"/>
      <c r="D2198" s="72"/>
      <c r="G2198" s="72"/>
      <c r="J2198" s="72"/>
      <c r="M2198" s="72"/>
      <c r="P2198" s="72"/>
      <c r="S2198" s="72"/>
      <c r="V2198" s="72"/>
      <c r="Y2198" s="72"/>
      <c r="AB2198" s="72"/>
      <c r="AE2198" s="72"/>
      <c r="AH2198" s="72"/>
      <c r="AK2198" s="72"/>
      <c r="AN2198" s="72"/>
      <c r="AQ2198" s="72"/>
      <c r="AT2198" s="72"/>
      <c r="AW2198" s="72"/>
      <c r="AZ2198" s="72"/>
    </row>
    <row r="2199" spans="1:52">
      <c r="A2199" s="131"/>
      <c r="B2199" s="72"/>
      <c r="D2199" s="72"/>
      <c r="G2199" s="72"/>
      <c r="J2199" s="72"/>
      <c r="M2199" s="72"/>
      <c r="P2199" s="72"/>
      <c r="S2199" s="72"/>
      <c r="V2199" s="72"/>
      <c r="Y2199" s="72"/>
      <c r="AB2199" s="72"/>
      <c r="AE2199" s="72"/>
      <c r="AH2199" s="72"/>
      <c r="AK2199" s="72"/>
      <c r="AN2199" s="72"/>
      <c r="AQ2199" s="72"/>
      <c r="AT2199" s="72"/>
      <c r="AW2199" s="72"/>
      <c r="AZ2199" s="72"/>
    </row>
    <row r="2200" spans="1:52">
      <c r="A2200" s="131"/>
      <c r="B2200" s="72"/>
      <c r="D2200" s="72"/>
      <c r="G2200" s="72"/>
      <c r="J2200" s="72"/>
      <c r="M2200" s="72"/>
      <c r="P2200" s="72"/>
      <c r="S2200" s="72"/>
      <c r="V2200" s="72"/>
      <c r="Y2200" s="72"/>
      <c r="AB2200" s="72"/>
      <c r="AE2200" s="72"/>
      <c r="AH2200" s="72"/>
      <c r="AK2200" s="72"/>
      <c r="AN2200" s="72"/>
      <c r="AQ2200" s="72"/>
      <c r="AT2200" s="72"/>
      <c r="AW2200" s="72"/>
      <c r="AZ2200" s="72"/>
    </row>
    <row r="2201" spans="1:52">
      <c r="A2201" s="131"/>
      <c r="B2201" s="72"/>
      <c r="D2201" s="72"/>
      <c r="G2201" s="72"/>
      <c r="J2201" s="72"/>
      <c r="M2201" s="72"/>
      <c r="P2201" s="72"/>
      <c r="S2201" s="72"/>
      <c r="V2201" s="72"/>
      <c r="Y2201" s="72"/>
      <c r="AB2201" s="72"/>
      <c r="AE2201" s="72"/>
      <c r="AH2201" s="72"/>
      <c r="AK2201" s="72"/>
      <c r="AN2201" s="72"/>
      <c r="AQ2201" s="72"/>
      <c r="AT2201" s="72"/>
      <c r="AW2201" s="72"/>
      <c r="AZ2201" s="72"/>
    </row>
    <row r="2202" spans="1:52">
      <c r="A2202" s="131"/>
      <c r="B2202" s="72"/>
      <c r="D2202" s="72"/>
      <c r="G2202" s="72"/>
      <c r="J2202" s="72"/>
      <c r="M2202" s="72"/>
      <c r="P2202" s="72"/>
      <c r="S2202" s="72"/>
      <c r="V2202" s="72"/>
      <c r="Y2202" s="72"/>
      <c r="AB2202" s="72"/>
      <c r="AE2202" s="72"/>
      <c r="AH2202" s="72"/>
      <c r="AK2202" s="72"/>
      <c r="AN2202" s="72"/>
      <c r="AQ2202" s="72"/>
      <c r="AT2202" s="72"/>
      <c r="AW2202" s="72"/>
      <c r="AZ2202" s="72"/>
    </row>
    <row r="2203" spans="1:52">
      <c r="A2203" s="131"/>
      <c r="B2203" s="72"/>
      <c r="D2203" s="72"/>
      <c r="G2203" s="72"/>
      <c r="J2203" s="72"/>
      <c r="M2203" s="72"/>
      <c r="P2203" s="72"/>
      <c r="S2203" s="72"/>
      <c r="V2203" s="72"/>
      <c r="Y2203" s="72"/>
      <c r="AB2203" s="72"/>
      <c r="AE2203" s="72"/>
      <c r="AH2203" s="72"/>
      <c r="AK2203" s="72"/>
      <c r="AN2203" s="72"/>
      <c r="AQ2203" s="72"/>
      <c r="AT2203" s="72"/>
      <c r="AW2203" s="72"/>
      <c r="AZ2203" s="72"/>
    </row>
    <row r="2204" spans="1:52">
      <c r="A2204" s="131"/>
      <c r="B2204" s="72"/>
      <c r="D2204" s="72"/>
      <c r="G2204" s="72"/>
      <c r="J2204" s="72"/>
      <c r="M2204" s="72"/>
      <c r="P2204" s="72"/>
      <c r="S2204" s="72"/>
      <c r="V2204" s="72"/>
      <c r="Y2204" s="72"/>
      <c r="AB2204" s="72"/>
      <c r="AE2204" s="72"/>
      <c r="AH2204" s="72"/>
      <c r="AK2204" s="72"/>
      <c r="AN2204" s="72"/>
      <c r="AQ2204" s="72"/>
      <c r="AT2204" s="72"/>
      <c r="AW2204" s="72"/>
      <c r="AZ2204" s="72"/>
    </row>
    <row r="2205" spans="1:52">
      <c r="A2205" s="131"/>
      <c r="B2205" s="72"/>
      <c r="D2205" s="72"/>
      <c r="G2205" s="72"/>
      <c r="J2205" s="72"/>
      <c r="M2205" s="72"/>
      <c r="P2205" s="72"/>
      <c r="S2205" s="72"/>
      <c r="V2205" s="72"/>
      <c r="Y2205" s="72"/>
      <c r="AB2205" s="72"/>
      <c r="AE2205" s="72"/>
      <c r="AH2205" s="72"/>
      <c r="AK2205" s="72"/>
      <c r="AN2205" s="72"/>
      <c r="AQ2205" s="72"/>
      <c r="AT2205" s="72"/>
      <c r="AW2205" s="72"/>
      <c r="AZ2205" s="72"/>
    </row>
    <row r="2206" spans="1:52">
      <c r="A2206" s="131"/>
      <c r="B2206" s="72"/>
      <c r="D2206" s="72"/>
      <c r="G2206" s="72"/>
      <c r="J2206" s="72"/>
      <c r="M2206" s="72"/>
      <c r="P2206" s="72"/>
      <c r="S2206" s="72"/>
      <c r="V2206" s="72"/>
      <c r="Y2206" s="72"/>
      <c r="AB2206" s="72"/>
      <c r="AE2206" s="72"/>
      <c r="AH2206" s="72"/>
      <c r="AK2206" s="72"/>
      <c r="AN2206" s="72"/>
      <c r="AQ2206" s="72"/>
      <c r="AT2206" s="72"/>
      <c r="AW2206" s="72"/>
      <c r="AZ2206" s="72"/>
    </row>
    <row r="2207" spans="1:52">
      <c r="A2207" s="131"/>
      <c r="B2207" s="72"/>
      <c r="D2207" s="72"/>
      <c r="G2207" s="72"/>
      <c r="J2207" s="72"/>
      <c r="M2207" s="72"/>
      <c r="P2207" s="72"/>
      <c r="S2207" s="72"/>
      <c r="V2207" s="72"/>
      <c r="Y2207" s="72"/>
      <c r="AB2207" s="72"/>
      <c r="AE2207" s="72"/>
      <c r="AH2207" s="72"/>
      <c r="AK2207" s="72"/>
      <c r="AN2207" s="72"/>
      <c r="AQ2207" s="72"/>
      <c r="AT2207" s="72"/>
      <c r="AW2207" s="72"/>
      <c r="AZ2207" s="72"/>
    </row>
    <row r="2208" spans="1:52">
      <c r="A2208" s="131"/>
      <c r="B2208" s="72"/>
      <c r="D2208" s="72"/>
      <c r="G2208" s="72"/>
      <c r="J2208" s="72"/>
      <c r="M2208" s="72"/>
      <c r="P2208" s="72"/>
      <c r="S2208" s="72"/>
      <c r="V2208" s="72"/>
      <c r="Y2208" s="72"/>
      <c r="AB2208" s="72"/>
      <c r="AE2208" s="72"/>
      <c r="AH2208" s="72"/>
      <c r="AK2208" s="72"/>
      <c r="AN2208" s="72"/>
      <c r="AQ2208" s="72"/>
      <c r="AT2208" s="72"/>
      <c r="AW2208" s="72"/>
      <c r="AZ2208" s="72"/>
    </row>
    <row r="2209" spans="1:52">
      <c r="A2209" s="131"/>
      <c r="B2209" s="72"/>
      <c r="D2209" s="72"/>
      <c r="G2209" s="72"/>
      <c r="J2209" s="72"/>
      <c r="M2209" s="72"/>
      <c r="P2209" s="72"/>
      <c r="S2209" s="72"/>
      <c r="V2209" s="72"/>
      <c r="Y2209" s="72"/>
      <c r="AB2209" s="72"/>
      <c r="AE2209" s="72"/>
      <c r="AH2209" s="72"/>
      <c r="AK2209" s="72"/>
      <c r="AN2209" s="72"/>
      <c r="AQ2209" s="72"/>
      <c r="AT2209" s="72"/>
      <c r="AW2209" s="72"/>
      <c r="AZ2209" s="72"/>
    </row>
    <row r="2210" spans="1:52">
      <c r="A2210" s="131"/>
      <c r="B2210" s="72"/>
      <c r="D2210" s="72"/>
      <c r="G2210" s="72"/>
      <c r="J2210" s="72"/>
      <c r="M2210" s="72"/>
      <c r="P2210" s="72"/>
      <c r="S2210" s="72"/>
      <c r="V2210" s="72"/>
      <c r="Y2210" s="72"/>
      <c r="AB2210" s="72"/>
      <c r="AE2210" s="72"/>
      <c r="AH2210" s="72"/>
      <c r="AK2210" s="72"/>
      <c r="AN2210" s="72"/>
      <c r="AQ2210" s="72"/>
      <c r="AT2210" s="72"/>
      <c r="AW2210" s="72"/>
      <c r="AZ2210" s="72"/>
    </row>
    <row r="2211" spans="1:52">
      <c r="A2211" s="131"/>
      <c r="B2211" s="72"/>
      <c r="D2211" s="72"/>
      <c r="G2211" s="72"/>
      <c r="J2211" s="72"/>
      <c r="M2211" s="72"/>
      <c r="P2211" s="72"/>
      <c r="S2211" s="72"/>
      <c r="V2211" s="72"/>
      <c r="Y2211" s="72"/>
      <c r="AB2211" s="72"/>
      <c r="AE2211" s="72"/>
      <c r="AH2211" s="72"/>
      <c r="AK2211" s="72"/>
      <c r="AN2211" s="72"/>
      <c r="AQ2211" s="72"/>
      <c r="AT2211" s="72"/>
      <c r="AW2211" s="72"/>
      <c r="AZ2211" s="72"/>
    </row>
    <row r="2212" spans="1:52">
      <c r="A2212" s="131"/>
      <c r="B2212" s="72"/>
      <c r="D2212" s="72"/>
      <c r="G2212" s="72"/>
      <c r="J2212" s="72"/>
      <c r="M2212" s="72"/>
      <c r="P2212" s="72"/>
      <c r="S2212" s="72"/>
      <c r="V2212" s="72"/>
      <c r="Y2212" s="72"/>
      <c r="AB2212" s="72"/>
      <c r="AE2212" s="72"/>
      <c r="AH2212" s="72"/>
      <c r="AK2212" s="72"/>
      <c r="AN2212" s="72"/>
      <c r="AQ2212" s="72"/>
      <c r="AT2212" s="72"/>
      <c r="AW2212" s="72"/>
      <c r="AZ2212" s="72"/>
    </row>
    <row r="2213" spans="1:52">
      <c r="A2213" s="131"/>
      <c r="B2213" s="72"/>
      <c r="D2213" s="72"/>
      <c r="G2213" s="72"/>
      <c r="J2213" s="72"/>
      <c r="M2213" s="72"/>
      <c r="P2213" s="72"/>
      <c r="S2213" s="72"/>
      <c r="V2213" s="72"/>
      <c r="Y2213" s="72"/>
      <c r="AB2213" s="72"/>
      <c r="AE2213" s="72"/>
      <c r="AH2213" s="72"/>
      <c r="AK2213" s="72"/>
      <c r="AN2213" s="72"/>
      <c r="AQ2213" s="72"/>
      <c r="AT2213" s="72"/>
      <c r="AW2213" s="72"/>
      <c r="AZ2213" s="72"/>
    </row>
    <row r="2214" spans="1:52">
      <c r="A2214" s="131"/>
      <c r="B2214" s="72"/>
      <c r="D2214" s="72"/>
      <c r="G2214" s="72"/>
      <c r="J2214" s="72"/>
      <c r="M2214" s="72"/>
      <c r="P2214" s="72"/>
      <c r="S2214" s="72"/>
      <c r="V2214" s="72"/>
      <c r="Y2214" s="72"/>
      <c r="AB2214" s="72"/>
      <c r="AE2214" s="72"/>
      <c r="AH2214" s="72"/>
      <c r="AK2214" s="72"/>
      <c r="AN2214" s="72"/>
      <c r="AQ2214" s="72"/>
      <c r="AT2214" s="72"/>
      <c r="AW2214" s="72"/>
      <c r="AZ2214" s="72"/>
    </row>
    <row r="2215" spans="1:52">
      <c r="A2215" s="131"/>
      <c r="B2215" s="72"/>
      <c r="D2215" s="72"/>
      <c r="G2215" s="72"/>
      <c r="J2215" s="72"/>
      <c r="M2215" s="72"/>
      <c r="P2215" s="72"/>
      <c r="S2215" s="72"/>
      <c r="V2215" s="72"/>
      <c r="Y2215" s="72"/>
      <c r="AB2215" s="72"/>
      <c r="AE2215" s="72"/>
      <c r="AH2215" s="72"/>
      <c r="AK2215" s="72"/>
      <c r="AN2215" s="72"/>
      <c r="AQ2215" s="72"/>
      <c r="AT2215" s="72"/>
      <c r="AW2215" s="72"/>
      <c r="AZ2215" s="72"/>
    </row>
    <row r="2216" spans="1:52">
      <c r="A2216" s="131"/>
      <c r="B2216" s="72"/>
      <c r="D2216" s="72"/>
      <c r="G2216" s="72"/>
      <c r="J2216" s="72"/>
      <c r="M2216" s="72"/>
      <c r="P2216" s="72"/>
      <c r="S2216" s="72"/>
      <c r="V2216" s="72"/>
      <c r="Y2216" s="72"/>
      <c r="AB2216" s="72"/>
      <c r="AE2216" s="72"/>
      <c r="AH2216" s="72"/>
      <c r="AK2216" s="72"/>
      <c r="AN2216" s="72"/>
      <c r="AQ2216" s="72"/>
      <c r="AT2216" s="72"/>
      <c r="AW2216" s="72"/>
      <c r="AZ2216" s="72"/>
    </row>
    <row r="2217" spans="1:52">
      <c r="A2217" s="131"/>
      <c r="B2217" s="72"/>
      <c r="D2217" s="72"/>
      <c r="G2217" s="72"/>
      <c r="J2217" s="72"/>
      <c r="M2217" s="72"/>
      <c r="P2217" s="72"/>
      <c r="S2217" s="72"/>
      <c r="V2217" s="72"/>
      <c r="Y2217" s="72"/>
      <c r="AB2217" s="72"/>
      <c r="AE2217" s="72"/>
      <c r="AH2217" s="72"/>
      <c r="AK2217" s="72"/>
      <c r="AN2217" s="72"/>
      <c r="AQ2217" s="72"/>
      <c r="AT2217" s="72"/>
      <c r="AW2217" s="72"/>
      <c r="AZ2217" s="72"/>
    </row>
    <row r="2218" spans="1:52">
      <c r="A2218" s="131"/>
      <c r="B2218" s="72"/>
      <c r="D2218" s="72"/>
      <c r="G2218" s="72"/>
      <c r="J2218" s="72"/>
      <c r="M2218" s="72"/>
      <c r="P2218" s="72"/>
      <c r="S2218" s="72"/>
      <c r="V2218" s="72"/>
      <c r="Y2218" s="72"/>
      <c r="AB2218" s="72"/>
      <c r="AE2218" s="72"/>
      <c r="AH2218" s="72"/>
      <c r="AK2218" s="72"/>
      <c r="AN2218" s="72"/>
      <c r="AQ2218" s="72"/>
      <c r="AT2218" s="72"/>
      <c r="AW2218" s="72"/>
      <c r="AZ2218" s="72"/>
    </row>
    <row r="2219" spans="1:52">
      <c r="A2219" s="131"/>
      <c r="B2219" s="72"/>
      <c r="D2219" s="72"/>
      <c r="G2219" s="72"/>
      <c r="J2219" s="72"/>
      <c r="M2219" s="72"/>
      <c r="P2219" s="72"/>
      <c r="S2219" s="72"/>
      <c r="V2219" s="72"/>
      <c r="Y2219" s="72"/>
      <c r="AB2219" s="72"/>
      <c r="AE2219" s="72"/>
      <c r="AH2219" s="72"/>
      <c r="AK2219" s="72"/>
      <c r="AN2219" s="72"/>
      <c r="AQ2219" s="72"/>
      <c r="AT2219" s="72"/>
      <c r="AW2219" s="72"/>
      <c r="AZ2219" s="72"/>
    </row>
    <row r="2220" spans="1:52">
      <c r="A2220" s="131"/>
      <c r="B2220" s="72"/>
      <c r="D2220" s="72"/>
      <c r="G2220" s="72"/>
      <c r="J2220" s="72"/>
      <c r="M2220" s="72"/>
      <c r="P2220" s="72"/>
      <c r="S2220" s="72"/>
      <c r="V2220" s="72"/>
      <c r="Y2220" s="72"/>
      <c r="AB2220" s="72"/>
      <c r="AE2220" s="72"/>
      <c r="AH2220" s="72"/>
      <c r="AK2220" s="72"/>
      <c r="AN2220" s="72"/>
      <c r="AQ2220" s="72"/>
      <c r="AT2220" s="72"/>
      <c r="AW2220" s="72"/>
      <c r="AZ2220" s="72"/>
    </row>
    <row r="2221" spans="1:52">
      <c r="A2221" s="131"/>
      <c r="B2221" s="72"/>
      <c r="D2221" s="72"/>
      <c r="G2221" s="72"/>
      <c r="J2221" s="72"/>
      <c r="M2221" s="72"/>
      <c r="P2221" s="72"/>
      <c r="S2221" s="72"/>
      <c r="V2221" s="72"/>
      <c r="Y2221" s="72"/>
      <c r="AB2221" s="72"/>
      <c r="AE2221" s="72"/>
      <c r="AH2221" s="72"/>
      <c r="AK2221" s="72"/>
      <c r="AN2221" s="72"/>
      <c r="AQ2221" s="72"/>
      <c r="AT2221" s="72"/>
      <c r="AW2221" s="72"/>
      <c r="AZ2221" s="72"/>
    </row>
    <row r="2222" spans="1:52">
      <c r="A2222" s="131"/>
      <c r="B2222" s="72"/>
      <c r="D2222" s="72"/>
      <c r="G2222" s="72"/>
      <c r="J2222" s="72"/>
      <c r="M2222" s="72"/>
      <c r="P2222" s="72"/>
      <c r="S2222" s="72"/>
      <c r="V2222" s="72"/>
      <c r="Y2222" s="72"/>
      <c r="AB2222" s="72"/>
      <c r="AE2222" s="72"/>
      <c r="AH2222" s="72"/>
      <c r="AK2222" s="72"/>
      <c r="AN2222" s="72"/>
      <c r="AQ2222" s="72"/>
      <c r="AT2222" s="72"/>
      <c r="AW2222" s="72"/>
      <c r="AZ2222" s="72"/>
    </row>
    <row r="2223" spans="1:52">
      <c r="A2223" s="131"/>
      <c r="B2223" s="72"/>
      <c r="D2223" s="72"/>
      <c r="G2223" s="72"/>
      <c r="J2223" s="72"/>
      <c r="M2223" s="72"/>
      <c r="P2223" s="72"/>
      <c r="S2223" s="72"/>
      <c r="V2223" s="72"/>
      <c r="Y2223" s="72"/>
      <c r="AB2223" s="72"/>
      <c r="AE2223" s="72"/>
      <c r="AH2223" s="72"/>
      <c r="AK2223" s="72"/>
      <c r="AN2223" s="72"/>
      <c r="AQ2223" s="72"/>
      <c r="AT2223" s="72"/>
      <c r="AW2223" s="72"/>
      <c r="AZ2223" s="72"/>
    </row>
    <row r="2224" spans="1:52">
      <c r="A2224" s="131"/>
      <c r="B2224" s="72"/>
      <c r="D2224" s="72"/>
      <c r="G2224" s="72"/>
      <c r="J2224" s="72"/>
      <c r="M2224" s="72"/>
      <c r="P2224" s="72"/>
      <c r="S2224" s="72"/>
      <c r="V2224" s="72"/>
      <c r="Y2224" s="72"/>
      <c r="AB2224" s="72"/>
      <c r="AE2224" s="72"/>
      <c r="AH2224" s="72"/>
      <c r="AK2224" s="72"/>
      <c r="AN2224" s="72"/>
      <c r="AQ2224" s="72"/>
      <c r="AT2224" s="72"/>
      <c r="AW2224" s="72"/>
      <c r="AZ2224" s="72"/>
    </row>
    <row r="2225" spans="1:52">
      <c r="A2225" s="131"/>
      <c r="B2225" s="72"/>
      <c r="D2225" s="72"/>
      <c r="G2225" s="72"/>
      <c r="J2225" s="72"/>
      <c r="M2225" s="72"/>
      <c r="P2225" s="72"/>
      <c r="S2225" s="72"/>
      <c r="V2225" s="72"/>
      <c r="Y2225" s="72"/>
      <c r="AB2225" s="72"/>
      <c r="AE2225" s="72"/>
      <c r="AH2225" s="72"/>
      <c r="AK2225" s="72"/>
      <c r="AN2225" s="72"/>
      <c r="AQ2225" s="72"/>
      <c r="AT2225" s="72"/>
      <c r="AW2225" s="72"/>
      <c r="AZ2225" s="72"/>
    </row>
    <row r="2226" spans="1:52">
      <c r="A2226" s="131"/>
      <c r="B2226" s="72"/>
      <c r="D2226" s="72"/>
      <c r="G2226" s="72"/>
      <c r="J2226" s="72"/>
      <c r="M2226" s="72"/>
      <c r="P2226" s="72"/>
      <c r="S2226" s="72"/>
      <c r="V2226" s="72"/>
      <c r="Y2226" s="72"/>
      <c r="AB2226" s="72"/>
      <c r="AE2226" s="72"/>
      <c r="AH2226" s="72"/>
      <c r="AK2226" s="72"/>
      <c r="AN2226" s="72"/>
      <c r="AQ2226" s="72"/>
      <c r="AT2226" s="72"/>
      <c r="AW2226" s="72"/>
      <c r="AZ2226" s="72"/>
    </row>
    <row r="2227" spans="1:52">
      <c r="A2227" s="131"/>
      <c r="B2227" s="72"/>
      <c r="D2227" s="72"/>
      <c r="G2227" s="72"/>
      <c r="J2227" s="72"/>
      <c r="M2227" s="72"/>
      <c r="P2227" s="72"/>
      <c r="S2227" s="72"/>
      <c r="V2227" s="72"/>
      <c r="Y2227" s="72"/>
      <c r="AB2227" s="72"/>
      <c r="AE2227" s="72"/>
      <c r="AH2227" s="72"/>
      <c r="AK2227" s="72"/>
      <c r="AN2227" s="72"/>
      <c r="AQ2227" s="72"/>
      <c r="AT2227" s="72"/>
      <c r="AW2227" s="72"/>
      <c r="AZ2227" s="72"/>
    </row>
    <row r="2228" spans="1:52">
      <c r="A2228" s="131"/>
      <c r="B2228" s="72"/>
      <c r="D2228" s="72"/>
      <c r="G2228" s="72"/>
      <c r="J2228" s="72"/>
      <c r="M2228" s="72"/>
      <c r="P2228" s="72"/>
      <c r="S2228" s="72"/>
      <c r="V2228" s="72"/>
      <c r="Y2228" s="72"/>
      <c r="AB2228" s="72"/>
      <c r="AE2228" s="72"/>
      <c r="AH2228" s="72"/>
      <c r="AK2228" s="72"/>
      <c r="AN2228" s="72"/>
      <c r="AQ2228" s="72"/>
      <c r="AT2228" s="72"/>
      <c r="AW2228" s="72"/>
      <c r="AZ2228" s="72"/>
    </row>
    <row r="2229" spans="1:52">
      <c r="A2229" s="131"/>
      <c r="B2229" s="72"/>
      <c r="D2229" s="72"/>
      <c r="G2229" s="72"/>
      <c r="J2229" s="72"/>
      <c r="M2229" s="72"/>
      <c r="P2229" s="72"/>
      <c r="S2229" s="72"/>
      <c r="V2229" s="72"/>
      <c r="Y2229" s="72"/>
      <c r="AB2229" s="72"/>
      <c r="AE2229" s="72"/>
      <c r="AH2229" s="72"/>
      <c r="AK2229" s="72"/>
      <c r="AN2229" s="72"/>
      <c r="AQ2229" s="72"/>
      <c r="AT2229" s="72"/>
      <c r="AW2229" s="72"/>
      <c r="AZ2229" s="72"/>
    </row>
    <row r="2230" spans="1:52">
      <c r="A2230" s="131"/>
      <c r="B2230" s="72"/>
      <c r="D2230" s="72"/>
      <c r="G2230" s="72"/>
      <c r="J2230" s="72"/>
      <c r="M2230" s="72"/>
      <c r="P2230" s="72"/>
      <c r="S2230" s="72"/>
      <c r="V2230" s="72"/>
      <c r="Y2230" s="72"/>
      <c r="AB2230" s="72"/>
      <c r="AE2230" s="72"/>
      <c r="AH2230" s="72"/>
      <c r="AK2230" s="72"/>
      <c r="AN2230" s="72"/>
      <c r="AQ2230" s="72"/>
      <c r="AT2230" s="72"/>
      <c r="AW2230" s="72"/>
      <c r="AZ2230" s="72"/>
    </row>
    <row r="2231" spans="1:52">
      <c r="A2231" s="131"/>
      <c r="B2231" s="72"/>
      <c r="D2231" s="72"/>
      <c r="G2231" s="72"/>
      <c r="J2231" s="72"/>
      <c r="M2231" s="72"/>
      <c r="P2231" s="72"/>
      <c r="S2231" s="72"/>
      <c r="V2231" s="72"/>
      <c r="Y2231" s="72"/>
      <c r="AB2231" s="72"/>
      <c r="AE2231" s="72"/>
      <c r="AH2231" s="72"/>
      <c r="AK2231" s="72"/>
      <c r="AN2231" s="72"/>
      <c r="AQ2231" s="72"/>
      <c r="AT2231" s="72"/>
      <c r="AW2231" s="72"/>
      <c r="AZ2231" s="72"/>
    </row>
    <row r="2232" spans="1:52">
      <c r="A2232" s="131"/>
      <c r="B2232" s="72"/>
      <c r="D2232" s="72"/>
      <c r="G2232" s="72"/>
      <c r="J2232" s="72"/>
      <c r="M2232" s="72"/>
      <c r="P2232" s="72"/>
      <c r="S2232" s="72"/>
      <c r="V2232" s="72"/>
      <c r="Y2232" s="72"/>
      <c r="AB2232" s="72"/>
      <c r="AE2232" s="72"/>
      <c r="AH2232" s="72"/>
      <c r="AK2232" s="72"/>
      <c r="AN2232" s="72"/>
      <c r="AQ2232" s="72"/>
      <c r="AT2232" s="72"/>
      <c r="AW2232" s="72"/>
      <c r="AZ2232" s="72"/>
    </row>
    <row r="2233" spans="1:52">
      <c r="A2233" s="131"/>
      <c r="B2233" s="72"/>
      <c r="D2233" s="72"/>
      <c r="G2233" s="72"/>
      <c r="J2233" s="72"/>
      <c r="M2233" s="72"/>
      <c r="P2233" s="72"/>
      <c r="S2233" s="72"/>
      <c r="V2233" s="72"/>
      <c r="Y2233" s="72"/>
      <c r="AB2233" s="72"/>
      <c r="AE2233" s="72"/>
      <c r="AH2233" s="72"/>
      <c r="AK2233" s="72"/>
      <c r="AN2233" s="72"/>
      <c r="AQ2233" s="72"/>
      <c r="AT2233" s="72"/>
      <c r="AW2233" s="72"/>
      <c r="AZ2233" s="72"/>
    </row>
    <row r="2234" spans="1:52">
      <c r="A2234" s="131"/>
      <c r="B2234" s="72"/>
      <c r="D2234" s="72"/>
      <c r="G2234" s="72"/>
      <c r="J2234" s="72"/>
      <c r="M2234" s="72"/>
      <c r="P2234" s="72"/>
      <c r="S2234" s="72"/>
      <c r="V2234" s="72"/>
      <c r="Y2234" s="72"/>
      <c r="AB2234" s="72"/>
      <c r="AE2234" s="72"/>
      <c r="AH2234" s="72"/>
      <c r="AK2234" s="72"/>
      <c r="AN2234" s="72"/>
      <c r="AQ2234" s="72"/>
      <c r="AT2234" s="72"/>
      <c r="AW2234" s="72"/>
      <c r="AZ2234" s="72"/>
    </row>
    <row r="2235" spans="1:52">
      <c r="A2235" s="131"/>
      <c r="B2235" s="72"/>
      <c r="D2235" s="72"/>
      <c r="G2235" s="72"/>
      <c r="J2235" s="72"/>
      <c r="M2235" s="72"/>
      <c r="P2235" s="72"/>
      <c r="S2235" s="72"/>
      <c r="V2235" s="72"/>
      <c r="Y2235" s="72"/>
      <c r="AB2235" s="72"/>
      <c r="AE2235" s="72"/>
      <c r="AH2235" s="72"/>
      <c r="AK2235" s="72"/>
      <c r="AN2235" s="72"/>
      <c r="AQ2235" s="72"/>
      <c r="AT2235" s="72"/>
      <c r="AW2235" s="72"/>
      <c r="AZ2235" s="72"/>
    </row>
    <row r="2236" spans="1:52">
      <c r="A2236" s="131"/>
      <c r="B2236" s="72"/>
      <c r="D2236" s="72"/>
      <c r="G2236" s="72"/>
      <c r="J2236" s="72"/>
      <c r="M2236" s="72"/>
      <c r="P2236" s="72"/>
      <c r="S2236" s="72"/>
      <c r="V2236" s="72"/>
      <c r="Y2236" s="72"/>
      <c r="AB2236" s="72"/>
      <c r="AE2236" s="72"/>
      <c r="AH2236" s="72"/>
      <c r="AK2236" s="72"/>
      <c r="AN2236" s="72"/>
      <c r="AQ2236" s="72"/>
      <c r="AT2236" s="72"/>
      <c r="AW2236" s="72"/>
      <c r="AZ2236" s="72"/>
    </row>
    <row r="2237" spans="1:52">
      <c r="A2237" s="131"/>
      <c r="B2237" s="72"/>
      <c r="D2237" s="72"/>
      <c r="G2237" s="72"/>
      <c r="J2237" s="72"/>
      <c r="M2237" s="72"/>
      <c r="P2237" s="72"/>
      <c r="S2237" s="72"/>
      <c r="V2237" s="72"/>
      <c r="Y2237" s="72"/>
      <c r="AB2237" s="72"/>
      <c r="AE2237" s="72"/>
      <c r="AH2237" s="72"/>
      <c r="AK2237" s="72"/>
      <c r="AN2237" s="72"/>
      <c r="AQ2237" s="72"/>
      <c r="AT2237" s="72"/>
      <c r="AW2237" s="72"/>
      <c r="AZ2237" s="72"/>
    </row>
    <row r="2238" spans="1:52">
      <c r="A2238" s="131"/>
      <c r="B2238" s="72"/>
      <c r="D2238" s="72"/>
      <c r="G2238" s="72"/>
      <c r="J2238" s="72"/>
      <c r="M2238" s="72"/>
      <c r="P2238" s="72"/>
      <c r="S2238" s="72"/>
      <c r="V2238" s="72"/>
      <c r="Y2238" s="72"/>
      <c r="AB2238" s="72"/>
      <c r="AE2238" s="72"/>
      <c r="AH2238" s="72"/>
      <c r="AK2238" s="72"/>
      <c r="AN2238" s="72"/>
      <c r="AQ2238" s="72"/>
      <c r="AT2238" s="72"/>
      <c r="AW2238" s="72"/>
      <c r="AZ2238" s="72"/>
    </row>
    <row r="2239" spans="1:52">
      <c r="A2239" s="131"/>
      <c r="B2239" s="72"/>
      <c r="D2239" s="72"/>
      <c r="G2239" s="72"/>
      <c r="J2239" s="72"/>
      <c r="M2239" s="72"/>
      <c r="P2239" s="72"/>
      <c r="S2239" s="72"/>
      <c r="V2239" s="72"/>
      <c r="Y2239" s="72"/>
      <c r="AB2239" s="72"/>
      <c r="AE2239" s="72"/>
      <c r="AH2239" s="72"/>
      <c r="AK2239" s="72"/>
      <c r="AN2239" s="72"/>
      <c r="AQ2239" s="72"/>
      <c r="AT2239" s="72"/>
      <c r="AW2239" s="72"/>
      <c r="AZ2239" s="72"/>
    </row>
    <row r="2240" spans="1:52">
      <c r="A2240" s="131"/>
      <c r="B2240" s="72"/>
      <c r="D2240" s="72"/>
      <c r="G2240" s="72"/>
      <c r="J2240" s="72"/>
      <c r="M2240" s="72"/>
      <c r="P2240" s="72"/>
      <c r="S2240" s="72"/>
      <c r="V2240" s="72"/>
      <c r="Y2240" s="72"/>
      <c r="AB2240" s="72"/>
      <c r="AE2240" s="72"/>
      <c r="AH2240" s="72"/>
      <c r="AK2240" s="72"/>
      <c r="AN2240" s="72"/>
      <c r="AQ2240" s="72"/>
      <c r="AT2240" s="72"/>
      <c r="AW2240" s="72"/>
      <c r="AZ2240" s="72"/>
    </row>
    <row r="2241" spans="1:52">
      <c r="A2241" s="131"/>
      <c r="B2241" s="72"/>
      <c r="D2241" s="72"/>
      <c r="G2241" s="72"/>
      <c r="J2241" s="72"/>
      <c r="M2241" s="72"/>
      <c r="P2241" s="72"/>
      <c r="S2241" s="72"/>
      <c r="V2241" s="72"/>
      <c r="Y2241" s="72"/>
      <c r="AB2241" s="72"/>
      <c r="AE2241" s="72"/>
      <c r="AH2241" s="72"/>
      <c r="AK2241" s="72"/>
      <c r="AN2241" s="72"/>
      <c r="AQ2241" s="72"/>
      <c r="AT2241" s="72"/>
      <c r="AW2241" s="72"/>
      <c r="AZ2241" s="72"/>
    </row>
    <row r="2242" spans="1:52">
      <c r="A2242" s="131"/>
      <c r="B2242" s="72"/>
      <c r="D2242" s="72"/>
      <c r="G2242" s="72"/>
      <c r="J2242" s="72"/>
      <c r="M2242" s="72"/>
      <c r="P2242" s="72"/>
      <c r="S2242" s="72"/>
      <c r="V2242" s="72"/>
      <c r="Y2242" s="72"/>
      <c r="AB2242" s="72"/>
      <c r="AE2242" s="72"/>
      <c r="AH2242" s="72"/>
      <c r="AK2242" s="72"/>
      <c r="AN2242" s="72"/>
      <c r="AQ2242" s="72"/>
      <c r="AT2242" s="72"/>
      <c r="AW2242" s="72"/>
      <c r="AZ2242" s="72"/>
    </row>
    <row r="2243" spans="1:52">
      <c r="A2243" s="131"/>
      <c r="B2243" s="72"/>
      <c r="D2243" s="72"/>
      <c r="G2243" s="72"/>
      <c r="J2243" s="72"/>
      <c r="M2243" s="72"/>
      <c r="P2243" s="72"/>
      <c r="S2243" s="72"/>
      <c r="V2243" s="72"/>
      <c r="Y2243" s="72"/>
      <c r="AB2243" s="72"/>
      <c r="AE2243" s="72"/>
      <c r="AH2243" s="72"/>
      <c r="AK2243" s="72"/>
      <c r="AN2243" s="72"/>
      <c r="AQ2243" s="72"/>
      <c r="AT2243" s="72"/>
      <c r="AW2243" s="72"/>
      <c r="AZ2243" s="72"/>
    </row>
    <row r="2244" spans="1:52">
      <c r="A2244" s="131"/>
      <c r="B2244" s="72"/>
      <c r="D2244" s="72"/>
      <c r="G2244" s="72"/>
      <c r="J2244" s="72"/>
      <c r="M2244" s="72"/>
      <c r="P2244" s="72"/>
      <c r="S2244" s="72"/>
      <c r="V2244" s="72"/>
      <c r="Y2244" s="72"/>
      <c r="AB2244" s="72"/>
      <c r="AE2244" s="72"/>
      <c r="AH2244" s="72"/>
      <c r="AK2244" s="72"/>
      <c r="AN2244" s="72"/>
      <c r="AQ2244" s="72"/>
      <c r="AT2244" s="72"/>
      <c r="AW2244" s="72"/>
      <c r="AZ2244" s="72"/>
    </row>
    <row r="2245" spans="1:52">
      <c r="A2245" s="131"/>
      <c r="B2245" s="72"/>
      <c r="D2245" s="72"/>
      <c r="G2245" s="72"/>
      <c r="J2245" s="72"/>
      <c r="M2245" s="72"/>
      <c r="P2245" s="72"/>
      <c r="S2245" s="72"/>
      <c r="V2245" s="72"/>
      <c r="Y2245" s="72"/>
      <c r="AB2245" s="72"/>
      <c r="AE2245" s="72"/>
      <c r="AH2245" s="72"/>
      <c r="AK2245" s="72"/>
      <c r="AN2245" s="72"/>
      <c r="AQ2245" s="72"/>
      <c r="AT2245" s="72"/>
      <c r="AW2245" s="72"/>
      <c r="AZ2245" s="72"/>
    </row>
    <row r="2246" spans="1:52">
      <c r="A2246" s="131"/>
      <c r="B2246" s="72"/>
      <c r="D2246" s="72"/>
      <c r="G2246" s="72"/>
      <c r="J2246" s="72"/>
      <c r="M2246" s="72"/>
      <c r="P2246" s="72"/>
      <c r="S2246" s="72"/>
      <c r="V2246" s="72"/>
      <c r="Y2246" s="72"/>
      <c r="AB2246" s="72"/>
      <c r="AE2246" s="72"/>
      <c r="AH2246" s="72"/>
      <c r="AK2246" s="72"/>
      <c r="AN2246" s="72"/>
      <c r="AQ2246" s="72"/>
      <c r="AT2246" s="72"/>
      <c r="AW2246" s="72"/>
      <c r="AZ2246" s="72"/>
    </row>
    <row r="2247" spans="1:52">
      <c r="A2247" s="131"/>
      <c r="B2247" s="72"/>
      <c r="D2247" s="72"/>
      <c r="G2247" s="72"/>
      <c r="J2247" s="72"/>
      <c r="M2247" s="72"/>
      <c r="P2247" s="72"/>
      <c r="S2247" s="72"/>
      <c r="V2247" s="72"/>
      <c r="Y2247" s="72"/>
      <c r="AB2247" s="72"/>
      <c r="AE2247" s="72"/>
      <c r="AH2247" s="72"/>
      <c r="AK2247" s="72"/>
      <c r="AN2247" s="72"/>
      <c r="AQ2247" s="72"/>
      <c r="AT2247" s="72"/>
      <c r="AW2247" s="72"/>
      <c r="AZ2247" s="72"/>
    </row>
    <row r="2248" spans="1:52">
      <c r="A2248" s="131"/>
      <c r="B2248" s="72"/>
      <c r="D2248" s="72"/>
      <c r="G2248" s="72"/>
      <c r="J2248" s="72"/>
      <c r="M2248" s="72"/>
      <c r="P2248" s="72"/>
      <c r="S2248" s="72"/>
      <c r="V2248" s="72"/>
      <c r="Y2248" s="72"/>
      <c r="AB2248" s="72"/>
      <c r="AE2248" s="72"/>
      <c r="AH2248" s="72"/>
      <c r="AK2248" s="72"/>
      <c r="AN2248" s="72"/>
      <c r="AQ2248" s="72"/>
      <c r="AT2248" s="72"/>
      <c r="AW2248" s="72"/>
      <c r="AZ2248" s="72"/>
    </row>
    <row r="2249" spans="1:52">
      <c r="A2249" s="131"/>
      <c r="B2249" s="72"/>
      <c r="D2249" s="72"/>
      <c r="G2249" s="72"/>
      <c r="J2249" s="72"/>
      <c r="M2249" s="72"/>
      <c r="P2249" s="72"/>
      <c r="S2249" s="72"/>
      <c r="V2249" s="72"/>
      <c r="Y2249" s="72"/>
      <c r="AB2249" s="72"/>
      <c r="AE2249" s="72"/>
      <c r="AH2249" s="72"/>
      <c r="AK2249" s="72"/>
      <c r="AN2249" s="72"/>
      <c r="AQ2249" s="72"/>
      <c r="AT2249" s="72"/>
      <c r="AW2249" s="72"/>
      <c r="AZ2249" s="72"/>
    </row>
    <row r="2250" spans="1:52">
      <c r="A2250" s="131"/>
      <c r="B2250" s="72"/>
      <c r="D2250" s="72"/>
      <c r="G2250" s="72"/>
      <c r="J2250" s="72"/>
      <c r="M2250" s="72"/>
      <c r="P2250" s="72"/>
      <c r="S2250" s="72"/>
      <c r="V2250" s="72"/>
      <c r="Y2250" s="72"/>
      <c r="AB2250" s="72"/>
      <c r="AE2250" s="72"/>
      <c r="AH2250" s="72"/>
      <c r="AK2250" s="72"/>
      <c r="AN2250" s="72"/>
      <c r="AQ2250" s="72"/>
      <c r="AT2250" s="72"/>
      <c r="AW2250" s="72"/>
      <c r="AZ2250" s="72"/>
    </row>
    <row r="2251" spans="1:52">
      <c r="A2251" s="131"/>
      <c r="B2251" s="72"/>
      <c r="D2251" s="72"/>
      <c r="G2251" s="72"/>
      <c r="J2251" s="72"/>
      <c r="M2251" s="72"/>
      <c r="P2251" s="72"/>
      <c r="S2251" s="72"/>
      <c r="V2251" s="72"/>
      <c r="Y2251" s="72"/>
      <c r="AB2251" s="72"/>
      <c r="AE2251" s="72"/>
      <c r="AH2251" s="72"/>
      <c r="AK2251" s="72"/>
      <c r="AN2251" s="72"/>
      <c r="AQ2251" s="72"/>
      <c r="AT2251" s="72"/>
      <c r="AW2251" s="72"/>
      <c r="AZ2251" s="72"/>
    </row>
    <row r="2252" spans="1:52">
      <c r="A2252" s="131"/>
      <c r="B2252" s="72"/>
      <c r="D2252" s="72"/>
      <c r="G2252" s="72"/>
      <c r="J2252" s="72"/>
      <c r="M2252" s="72"/>
      <c r="P2252" s="72"/>
      <c r="S2252" s="72"/>
      <c r="V2252" s="72"/>
      <c r="Y2252" s="72"/>
      <c r="AB2252" s="72"/>
      <c r="AE2252" s="72"/>
      <c r="AH2252" s="72"/>
      <c r="AK2252" s="72"/>
      <c r="AN2252" s="72"/>
      <c r="AQ2252" s="72"/>
      <c r="AT2252" s="72"/>
      <c r="AW2252" s="72"/>
      <c r="AZ2252" s="72"/>
    </row>
    <row r="2253" spans="1:52">
      <c r="A2253" s="131"/>
      <c r="B2253" s="72"/>
      <c r="D2253" s="72"/>
      <c r="G2253" s="72"/>
      <c r="J2253" s="72"/>
      <c r="M2253" s="72"/>
      <c r="P2253" s="72"/>
      <c r="S2253" s="72"/>
      <c r="V2253" s="72"/>
      <c r="Y2253" s="72"/>
      <c r="AB2253" s="72"/>
      <c r="AE2253" s="72"/>
      <c r="AH2253" s="72"/>
      <c r="AK2253" s="72"/>
      <c r="AN2253" s="72"/>
      <c r="AQ2253" s="72"/>
      <c r="AT2253" s="72"/>
      <c r="AW2253" s="72"/>
      <c r="AZ2253" s="72"/>
    </row>
    <row r="2254" spans="1:52">
      <c r="A2254" s="131"/>
      <c r="B2254" s="72"/>
      <c r="D2254" s="72"/>
      <c r="G2254" s="72"/>
      <c r="J2254" s="72"/>
      <c r="M2254" s="72"/>
      <c r="P2254" s="72"/>
      <c r="S2254" s="72"/>
      <c r="V2254" s="72"/>
      <c r="Y2254" s="72"/>
      <c r="AB2254" s="72"/>
      <c r="AE2254" s="72"/>
      <c r="AH2254" s="72"/>
      <c r="AK2254" s="72"/>
      <c r="AN2254" s="72"/>
      <c r="AQ2254" s="72"/>
      <c r="AT2254" s="72"/>
      <c r="AW2254" s="72"/>
      <c r="AZ2254" s="72"/>
    </row>
    <row r="2255" spans="1:52">
      <c r="A2255" s="131"/>
      <c r="B2255" s="72"/>
      <c r="D2255" s="72"/>
      <c r="G2255" s="72"/>
      <c r="J2255" s="72"/>
      <c r="M2255" s="72"/>
      <c r="P2255" s="72"/>
      <c r="S2255" s="72"/>
      <c r="V2255" s="72"/>
      <c r="Y2255" s="72"/>
      <c r="AB2255" s="72"/>
      <c r="AE2255" s="72"/>
      <c r="AH2255" s="72"/>
      <c r="AK2255" s="72"/>
      <c r="AN2255" s="72"/>
      <c r="AQ2255" s="72"/>
      <c r="AT2255" s="72"/>
      <c r="AW2255" s="72"/>
      <c r="AZ2255" s="72"/>
    </row>
    <row r="2256" spans="1:52">
      <c r="A2256" s="131"/>
      <c r="B2256" s="72"/>
      <c r="D2256" s="72"/>
      <c r="G2256" s="72"/>
      <c r="J2256" s="72"/>
      <c r="M2256" s="72"/>
      <c r="P2256" s="72"/>
      <c r="S2256" s="72"/>
      <c r="V2256" s="72"/>
      <c r="Y2256" s="72"/>
      <c r="AB2256" s="72"/>
      <c r="AE2256" s="72"/>
      <c r="AH2256" s="72"/>
      <c r="AK2256" s="72"/>
      <c r="AN2256" s="72"/>
      <c r="AQ2256" s="72"/>
      <c r="AT2256" s="72"/>
      <c r="AW2256" s="72"/>
      <c r="AZ2256" s="72"/>
    </row>
    <row r="2257" spans="1:52">
      <c r="A2257" s="131"/>
      <c r="B2257" s="72"/>
      <c r="D2257" s="72"/>
      <c r="G2257" s="72"/>
      <c r="J2257" s="72"/>
      <c r="M2257" s="72"/>
      <c r="P2257" s="72"/>
      <c r="S2257" s="72"/>
      <c r="V2257" s="72"/>
      <c r="Y2257" s="72"/>
      <c r="AB2257" s="72"/>
      <c r="AE2257" s="72"/>
      <c r="AH2257" s="72"/>
      <c r="AK2257" s="72"/>
      <c r="AN2257" s="72"/>
      <c r="AQ2257" s="72"/>
      <c r="AT2257" s="72"/>
      <c r="AW2257" s="72"/>
      <c r="AZ2257" s="72"/>
    </row>
    <row r="2258" spans="1:52">
      <c r="A2258" s="131"/>
      <c r="B2258" s="72"/>
      <c r="D2258" s="72"/>
      <c r="G2258" s="72"/>
      <c r="J2258" s="72"/>
      <c r="M2258" s="72"/>
      <c r="P2258" s="72"/>
      <c r="S2258" s="72"/>
      <c r="V2258" s="72"/>
      <c r="Y2258" s="72"/>
      <c r="AB2258" s="72"/>
      <c r="AE2258" s="72"/>
      <c r="AH2258" s="72"/>
      <c r="AK2258" s="72"/>
      <c r="AN2258" s="72"/>
      <c r="AQ2258" s="72"/>
      <c r="AT2258" s="72"/>
      <c r="AW2258" s="72"/>
      <c r="AZ2258" s="72"/>
    </row>
    <row r="2259" spans="1:52">
      <c r="A2259" s="131"/>
      <c r="B2259" s="72"/>
      <c r="D2259" s="72"/>
      <c r="G2259" s="72"/>
      <c r="J2259" s="72"/>
      <c r="M2259" s="72"/>
      <c r="P2259" s="72"/>
      <c r="S2259" s="72"/>
      <c r="V2259" s="72"/>
      <c r="Y2259" s="72"/>
      <c r="AB2259" s="72"/>
      <c r="AE2259" s="72"/>
      <c r="AH2259" s="72"/>
      <c r="AK2259" s="72"/>
      <c r="AN2259" s="72"/>
      <c r="AQ2259" s="72"/>
      <c r="AT2259" s="72"/>
      <c r="AW2259" s="72"/>
      <c r="AZ2259" s="72"/>
    </row>
    <row r="2260" spans="1:52">
      <c r="A2260" s="131"/>
      <c r="B2260" s="72"/>
      <c r="D2260" s="72"/>
      <c r="G2260" s="72"/>
      <c r="J2260" s="72"/>
      <c r="M2260" s="72"/>
      <c r="P2260" s="72"/>
      <c r="S2260" s="72"/>
      <c r="V2260" s="72"/>
      <c r="Y2260" s="72"/>
      <c r="AB2260" s="72"/>
      <c r="AE2260" s="72"/>
      <c r="AH2260" s="72"/>
      <c r="AK2260" s="72"/>
      <c r="AN2260" s="72"/>
      <c r="AQ2260" s="72"/>
      <c r="AT2260" s="72"/>
      <c r="AW2260" s="72"/>
      <c r="AZ2260" s="72"/>
    </row>
    <row r="2261" spans="1:52">
      <c r="A2261" s="131"/>
      <c r="B2261" s="72"/>
      <c r="D2261" s="72"/>
      <c r="G2261" s="72"/>
      <c r="J2261" s="72"/>
      <c r="M2261" s="72"/>
      <c r="P2261" s="72"/>
      <c r="S2261" s="72"/>
      <c r="V2261" s="72"/>
      <c r="Y2261" s="72"/>
      <c r="AB2261" s="72"/>
      <c r="AE2261" s="72"/>
      <c r="AH2261" s="72"/>
      <c r="AK2261" s="72"/>
      <c r="AN2261" s="72"/>
      <c r="AQ2261" s="72"/>
      <c r="AT2261" s="72"/>
      <c r="AW2261" s="72"/>
      <c r="AZ2261" s="72"/>
    </row>
    <row r="2262" spans="1:52">
      <c r="A2262" s="131"/>
      <c r="B2262" s="72"/>
      <c r="D2262" s="72"/>
      <c r="G2262" s="72"/>
      <c r="J2262" s="72"/>
      <c r="M2262" s="72"/>
      <c r="P2262" s="72"/>
      <c r="S2262" s="72"/>
      <c r="V2262" s="72"/>
      <c r="Y2262" s="72"/>
      <c r="AB2262" s="72"/>
      <c r="AE2262" s="72"/>
      <c r="AH2262" s="72"/>
      <c r="AK2262" s="72"/>
      <c r="AN2262" s="72"/>
      <c r="AQ2262" s="72"/>
      <c r="AT2262" s="72"/>
      <c r="AW2262" s="72"/>
      <c r="AZ2262" s="72"/>
    </row>
    <row r="2263" spans="1:52">
      <c r="A2263" s="131"/>
      <c r="B2263" s="72"/>
      <c r="D2263" s="72"/>
      <c r="G2263" s="72"/>
      <c r="J2263" s="72"/>
      <c r="M2263" s="72"/>
      <c r="P2263" s="72"/>
      <c r="S2263" s="72"/>
      <c r="V2263" s="72"/>
      <c r="Y2263" s="72"/>
      <c r="AB2263" s="72"/>
      <c r="AE2263" s="72"/>
      <c r="AH2263" s="72"/>
      <c r="AK2263" s="72"/>
      <c r="AN2263" s="72"/>
      <c r="AQ2263" s="72"/>
      <c r="AT2263" s="72"/>
      <c r="AW2263" s="72"/>
      <c r="AZ2263" s="72"/>
    </row>
    <row r="2264" spans="1:52">
      <c r="A2264" s="131"/>
      <c r="B2264" s="72"/>
      <c r="D2264" s="72"/>
      <c r="G2264" s="72"/>
      <c r="J2264" s="72"/>
      <c r="M2264" s="72"/>
      <c r="P2264" s="72"/>
      <c r="S2264" s="72"/>
      <c r="V2264" s="72"/>
      <c r="Y2264" s="72"/>
      <c r="AB2264" s="72"/>
      <c r="AE2264" s="72"/>
      <c r="AH2264" s="72"/>
      <c r="AK2264" s="72"/>
      <c r="AN2264" s="72"/>
      <c r="AQ2264" s="72"/>
      <c r="AT2264" s="72"/>
      <c r="AW2264" s="72"/>
      <c r="AZ2264" s="72"/>
    </row>
    <row r="2265" spans="1:52">
      <c r="A2265" s="131"/>
      <c r="B2265" s="72"/>
      <c r="D2265" s="72"/>
      <c r="G2265" s="72"/>
      <c r="J2265" s="72"/>
      <c r="M2265" s="72"/>
      <c r="P2265" s="72"/>
      <c r="S2265" s="72"/>
      <c r="V2265" s="72"/>
      <c r="Y2265" s="72"/>
      <c r="AB2265" s="72"/>
      <c r="AE2265" s="72"/>
      <c r="AH2265" s="72"/>
      <c r="AK2265" s="72"/>
      <c r="AN2265" s="72"/>
      <c r="AQ2265" s="72"/>
      <c r="AT2265" s="72"/>
      <c r="AW2265" s="72"/>
      <c r="AZ2265" s="72"/>
    </row>
    <row r="2266" spans="1:52">
      <c r="A2266" s="131"/>
      <c r="B2266" s="72"/>
      <c r="D2266" s="72"/>
      <c r="G2266" s="72"/>
      <c r="J2266" s="72"/>
      <c r="M2266" s="72"/>
      <c r="P2266" s="72"/>
      <c r="S2266" s="72"/>
      <c r="V2266" s="72"/>
      <c r="Y2266" s="72"/>
      <c r="AB2266" s="72"/>
      <c r="AE2266" s="72"/>
      <c r="AH2266" s="72"/>
      <c r="AK2266" s="72"/>
      <c r="AN2266" s="72"/>
      <c r="AQ2266" s="72"/>
      <c r="AT2266" s="72"/>
      <c r="AW2266" s="72"/>
      <c r="AZ2266" s="72"/>
    </row>
    <row r="2267" spans="1:52">
      <c r="A2267" s="131"/>
      <c r="B2267" s="72"/>
      <c r="D2267" s="72"/>
      <c r="G2267" s="72"/>
      <c r="J2267" s="72"/>
      <c r="M2267" s="72"/>
      <c r="P2267" s="72"/>
      <c r="S2267" s="72"/>
      <c r="V2267" s="72"/>
      <c r="Y2267" s="72"/>
      <c r="AB2267" s="72"/>
      <c r="AE2267" s="72"/>
      <c r="AH2267" s="72"/>
      <c r="AK2267" s="72"/>
      <c r="AN2267" s="72"/>
      <c r="AQ2267" s="72"/>
      <c r="AT2267" s="72"/>
      <c r="AW2267" s="72"/>
      <c r="AZ2267" s="72"/>
    </row>
    <row r="2268" spans="1:52">
      <c r="A2268" s="131"/>
      <c r="B2268" s="72"/>
      <c r="D2268" s="72"/>
      <c r="G2268" s="72"/>
      <c r="J2268" s="72"/>
      <c r="M2268" s="72"/>
      <c r="P2268" s="72"/>
      <c r="S2268" s="72"/>
      <c r="V2268" s="72"/>
      <c r="Y2268" s="72"/>
      <c r="AB2268" s="72"/>
      <c r="AE2268" s="72"/>
      <c r="AH2268" s="72"/>
      <c r="AK2268" s="72"/>
      <c r="AN2268" s="72"/>
      <c r="AQ2268" s="72"/>
      <c r="AT2268" s="72"/>
      <c r="AW2268" s="72"/>
      <c r="AZ2268" s="72"/>
    </row>
    <row r="2269" spans="1:52">
      <c r="A2269" s="131"/>
      <c r="B2269" s="72"/>
      <c r="D2269" s="72"/>
      <c r="G2269" s="72"/>
      <c r="J2269" s="72"/>
      <c r="M2269" s="72"/>
      <c r="P2269" s="72"/>
      <c r="S2269" s="72"/>
      <c r="V2269" s="72"/>
      <c r="Y2269" s="72"/>
      <c r="AB2269" s="72"/>
      <c r="AE2269" s="72"/>
      <c r="AH2269" s="72"/>
      <c r="AK2269" s="72"/>
      <c r="AN2269" s="72"/>
      <c r="AQ2269" s="72"/>
      <c r="AT2269" s="72"/>
      <c r="AW2269" s="72"/>
      <c r="AZ2269" s="72"/>
    </row>
    <row r="2270" spans="1:52">
      <c r="A2270" s="131"/>
      <c r="B2270" s="72"/>
      <c r="D2270" s="72"/>
      <c r="G2270" s="72"/>
      <c r="J2270" s="72"/>
      <c r="M2270" s="72"/>
      <c r="P2270" s="72"/>
      <c r="S2270" s="72"/>
      <c r="V2270" s="72"/>
      <c r="Y2270" s="72"/>
      <c r="AB2270" s="72"/>
      <c r="AE2270" s="72"/>
      <c r="AH2270" s="72"/>
      <c r="AK2270" s="72"/>
      <c r="AN2270" s="72"/>
      <c r="AQ2270" s="72"/>
      <c r="AT2270" s="72"/>
      <c r="AW2270" s="72"/>
      <c r="AZ2270" s="72"/>
    </row>
    <row r="2271" spans="1:52">
      <c r="A2271" s="131"/>
      <c r="B2271" s="72"/>
      <c r="D2271" s="72"/>
      <c r="G2271" s="72"/>
      <c r="J2271" s="72"/>
      <c r="M2271" s="72"/>
      <c r="P2271" s="72"/>
      <c r="S2271" s="72"/>
      <c r="V2271" s="72"/>
      <c r="Y2271" s="72"/>
      <c r="AB2271" s="72"/>
      <c r="AE2271" s="72"/>
      <c r="AH2271" s="72"/>
      <c r="AK2271" s="72"/>
      <c r="AN2271" s="72"/>
      <c r="AQ2271" s="72"/>
      <c r="AT2271" s="72"/>
      <c r="AW2271" s="72"/>
      <c r="AZ2271" s="72"/>
    </row>
    <row r="2272" spans="1:52">
      <c r="A2272" s="131"/>
      <c r="B2272" s="72"/>
      <c r="D2272" s="72"/>
      <c r="G2272" s="72"/>
      <c r="J2272" s="72"/>
      <c r="M2272" s="72"/>
      <c r="P2272" s="72"/>
      <c r="S2272" s="72"/>
      <c r="V2272" s="72"/>
      <c r="Y2272" s="72"/>
      <c r="AB2272" s="72"/>
      <c r="AE2272" s="72"/>
      <c r="AH2272" s="72"/>
      <c r="AK2272" s="72"/>
      <c r="AN2272" s="72"/>
      <c r="AQ2272" s="72"/>
      <c r="AT2272" s="72"/>
      <c r="AW2272" s="72"/>
      <c r="AZ2272" s="72"/>
    </row>
    <row r="2273" spans="1:52">
      <c r="A2273" s="131"/>
      <c r="B2273" s="72"/>
      <c r="D2273" s="72"/>
      <c r="G2273" s="72"/>
      <c r="J2273" s="72"/>
      <c r="M2273" s="72"/>
      <c r="P2273" s="72"/>
      <c r="S2273" s="72"/>
      <c r="V2273" s="72"/>
      <c r="Y2273" s="72"/>
      <c r="AB2273" s="72"/>
      <c r="AE2273" s="72"/>
      <c r="AH2273" s="72"/>
      <c r="AK2273" s="72"/>
      <c r="AN2273" s="72"/>
      <c r="AQ2273" s="72"/>
      <c r="AT2273" s="72"/>
      <c r="AW2273" s="72"/>
      <c r="AZ2273" s="72"/>
    </row>
    <row r="2274" spans="1:52">
      <c r="A2274" s="131"/>
      <c r="B2274" s="72"/>
      <c r="D2274" s="72"/>
      <c r="G2274" s="72"/>
      <c r="J2274" s="72"/>
      <c r="M2274" s="72"/>
      <c r="P2274" s="72"/>
      <c r="S2274" s="72"/>
      <c r="V2274" s="72"/>
      <c r="Y2274" s="72"/>
      <c r="AB2274" s="72"/>
      <c r="AE2274" s="72"/>
      <c r="AH2274" s="72"/>
      <c r="AK2274" s="72"/>
      <c r="AN2274" s="72"/>
      <c r="AQ2274" s="72"/>
      <c r="AT2274" s="72"/>
      <c r="AW2274" s="72"/>
      <c r="AZ2274" s="72"/>
    </row>
    <row r="2275" spans="1:52">
      <c r="A2275" s="131"/>
      <c r="B2275" s="72"/>
      <c r="D2275" s="72"/>
      <c r="G2275" s="72"/>
      <c r="J2275" s="72"/>
      <c r="M2275" s="72"/>
      <c r="P2275" s="72"/>
      <c r="S2275" s="72"/>
      <c r="V2275" s="72"/>
      <c r="Y2275" s="72"/>
      <c r="AB2275" s="72"/>
      <c r="AE2275" s="72"/>
      <c r="AH2275" s="72"/>
      <c r="AK2275" s="72"/>
      <c r="AN2275" s="72"/>
      <c r="AQ2275" s="72"/>
      <c r="AT2275" s="72"/>
      <c r="AW2275" s="72"/>
      <c r="AZ2275" s="72"/>
    </row>
    <row r="2276" spans="1:52">
      <c r="A2276" s="131"/>
      <c r="B2276" s="72"/>
      <c r="D2276" s="72"/>
      <c r="G2276" s="72"/>
      <c r="J2276" s="72"/>
      <c r="M2276" s="72"/>
      <c r="P2276" s="72"/>
      <c r="S2276" s="72"/>
      <c r="V2276" s="72"/>
      <c r="Y2276" s="72"/>
      <c r="AB2276" s="72"/>
      <c r="AE2276" s="72"/>
      <c r="AH2276" s="72"/>
      <c r="AK2276" s="72"/>
      <c r="AN2276" s="72"/>
      <c r="AQ2276" s="72"/>
      <c r="AT2276" s="72"/>
      <c r="AW2276" s="72"/>
      <c r="AZ2276" s="72"/>
    </row>
    <row r="2277" spans="1:52">
      <c r="A2277" s="131"/>
      <c r="B2277" s="72"/>
      <c r="D2277" s="72"/>
      <c r="G2277" s="72"/>
      <c r="J2277" s="72"/>
      <c r="M2277" s="72"/>
      <c r="P2277" s="72"/>
      <c r="S2277" s="72"/>
      <c r="V2277" s="72"/>
      <c r="Y2277" s="72"/>
      <c r="AB2277" s="72"/>
      <c r="AE2277" s="72"/>
      <c r="AH2277" s="72"/>
      <c r="AK2277" s="72"/>
      <c r="AN2277" s="72"/>
      <c r="AQ2277" s="72"/>
      <c r="AT2277" s="72"/>
      <c r="AW2277" s="72"/>
      <c r="AZ2277" s="72"/>
    </row>
    <row r="2278" spans="1:52">
      <c r="A2278" s="131"/>
      <c r="B2278" s="72"/>
      <c r="D2278" s="72"/>
      <c r="G2278" s="72"/>
      <c r="J2278" s="72"/>
      <c r="M2278" s="72"/>
      <c r="P2278" s="72"/>
      <c r="S2278" s="72"/>
      <c r="V2278" s="72"/>
      <c r="Y2278" s="72"/>
      <c r="AB2278" s="72"/>
      <c r="AE2278" s="72"/>
      <c r="AH2278" s="72"/>
      <c r="AK2278" s="72"/>
      <c r="AN2278" s="72"/>
      <c r="AQ2278" s="72"/>
      <c r="AT2278" s="72"/>
      <c r="AW2278" s="72"/>
      <c r="AZ2278" s="72"/>
    </row>
    <row r="2279" spans="1:52">
      <c r="A2279" s="131"/>
      <c r="B2279" s="72"/>
      <c r="D2279" s="72"/>
      <c r="G2279" s="72"/>
      <c r="J2279" s="72"/>
      <c r="M2279" s="72"/>
      <c r="P2279" s="72"/>
      <c r="S2279" s="72"/>
      <c r="V2279" s="72"/>
      <c r="Y2279" s="72"/>
      <c r="AB2279" s="72"/>
      <c r="AE2279" s="72"/>
      <c r="AH2279" s="72"/>
      <c r="AK2279" s="72"/>
      <c r="AN2279" s="72"/>
      <c r="AQ2279" s="72"/>
      <c r="AT2279" s="72"/>
      <c r="AW2279" s="72"/>
      <c r="AZ2279" s="72"/>
    </row>
    <row r="2280" spans="1:52">
      <c r="A2280" s="131"/>
      <c r="B2280" s="72"/>
      <c r="D2280" s="72"/>
      <c r="G2280" s="72"/>
      <c r="J2280" s="72"/>
      <c r="M2280" s="72"/>
      <c r="P2280" s="72"/>
      <c r="S2280" s="72"/>
      <c r="V2280" s="72"/>
      <c r="Y2280" s="72"/>
      <c r="AB2280" s="72"/>
      <c r="AE2280" s="72"/>
      <c r="AH2280" s="72"/>
      <c r="AK2280" s="72"/>
      <c r="AN2280" s="72"/>
      <c r="AQ2280" s="72"/>
      <c r="AT2280" s="72"/>
      <c r="AW2280" s="72"/>
      <c r="AZ2280" s="72"/>
    </row>
    <row r="2281" spans="1:52">
      <c r="A2281" s="131"/>
      <c r="B2281" s="72"/>
      <c r="D2281" s="72"/>
      <c r="G2281" s="72"/>
      <c r="J2281" s="72"/>
      <c r="M2281" s="72"/>
      <c r="P2281" s="72"/>
      <c r="S2281" s="72"/>
      <c r="V2281" s="72"/>
      <c r="Y2281" s="72"/>
      <c r="AB2281" s="72"/>
      <c r="AE2281" s="72"/>
      <c r="AH2281" s="72"/>
      <c r="AK2281" s="72"/>
      <c r="AN2281" s="72"/>
      <c r="AQ2281" s="72"/>
      <c r="AT2281" s="72"/>
      <c r="AW2281" s="72"/>
      <c r="AZ2281" s="72"/>
    </row>
    <row r="2282" spans="1:52">
      <c r="A2282" s="131"/>
      <c r="B2282" s="72"/>
      <c r="D2282" s="72"/>
      <c r="G2282" s="72"/>
      <c r="J2282" s="72"/>
      <c r="M2282" s="72"/>
      <c r="P2282" s="72"/>
      <c r="S2282" s="72"/>
      <c r="V2282" s="72"/>
      <c r="Y2282" s="72"/>
      <c r="AB2282" s="72"/>
      <c r="AE2282" s="72"/>
      <c r="AH2282" s="72"/>
      <c r="AK2282" s="72"/>
      <c r="AN2282" s="72"/>
      <c r="AQ2282" s="72"/>
      <c r="AT2282" s="72"/>
      <c r="AW2282" s="72"/>
      <c r="AZ2282" s="72"/>
    </row>
    <row r="2283" spans="1:52">
      <c r="A2283" s="131"/>
      <c r="B2283" s="72"/>
      <c r="D2283" s="72"/>
      <c r="G2283" s="72"/>
      <c r="J2283" s="72"/>
      <c r="M2283" s="72"/>
      <c r="P2283" s="72"/>
      <c r="S2283" s="72"/>
      <c r="V2283" s="72"/>
      <c r="Y2283" s="72"/>
      <c r="AB2283" s="72"/>
      <c r="AE2283" s="72"/>
      <c r="AH2283" s="72"/>
      <c r="AK2283" s="72"/>
      <c r="AN2283" s="72"/>
      <c r="AQ2283" s="72"/>
      <c r="AT2283" s="72"/>
      <c r="AW2283" s="72"/>
      <c r="AZ2283" s="72"/>
    </row>
    <row r="2284" spans="1:52">
      <c r="A2284" s="131"/>
      <c r="B2284" s="72"/>
      <c r="D2284" s="72"/>
      <c r="G2284" s="72"/>
      <c r="J2284" s="72"/>
      <c r="M2284" s="72"/>
      <c r="P2284" s="72"/>
      <c r="S2284" s="72"/>
      <c r="V2284" s="72"/>
      <c r="Y2284" s="72"/>
      <c r="AB2284" s="72"/>
      <c r="AE2284" s="72"/>
      <c r="AH2284" s="72"/>
      <c r="AK2284" s="72"/>
      <c r="AN2284" s="72"/>
      <c r="AQ2284" s="72"/>
      <c r="AT2284" s="72"/>
      <c r="AW2284" s="72"/>
      <c r="AZ2284" s="72"/>
    </row>
    <row r="2285" spans="1:52">
      <c r="A2285" s="131"/>
      <c r="B2285" s="72"/>
      <c r="D2285" s="72"/>
      <c r="G2285" s="72"/>
      <c r="J2285" s="72"/>
      <c r="M2285" s="72"/>
      <c r="P2285" s="72"/>
      <c r="S2285" s="72"/>
      <c r="V2285" s="72"/>
      <c r="Y2285" s="72"/>
      <c r="AB2285" s="72"/>
      <c r="AE2285" s="72"/>
      <c r="AH2285" s="72"/>
      <c r="AK2285" s="72"/>
      <c r="AN2285" s="72"/>
      <c r="AQ2285" s="72"/>
      <c r="AT2285" s="72"/>
      <c r="AW2285" s="72"/>
      <c r="AZ2285" s="72"/>
    </row>
    <row r="2286" spans="1:52">
      <c r="A2286" s="131"/>
      <c r="B2286" s="72"/>
      <c r="D2286" s="72"/>
      <c r="G2286" s="72"/>
      <c r="J2286" s="72"/>
      <c r="M2286" s="72"/>
      <c r="P2286" s="72"/>
      <c r="S2286" s="72"/>
      <c r="V2286" s="72"/>
      <c r="Y2286" s="72"/>
      <c r="AB2286" s="72"/>
      <c r="AE2286" s="72"/>
      <c r="AH2286" s="72"/>
      <c r="AK2286" s="72"/>
      <c r="AN2286" s="72"/>
      <c r="AQ2286" s="72"/>
      <c r="AT2286" s="72"/>
      <c r="AW2286" s="72"/>
      <c r="AZ2286" s="72"/>
    </row>
    <row r="2287" spans="1:52">
      <c r="A2287" s="131"/>
      <c r="B2287" s="72"/>
      <c r="D2287" s="72"/>
      <c r="G2287" s="72"/>
      <c r="J2287" s="72"/>
      <c r="M2287" s="72"/>
      <c r="P2287" s="72"/>
      <c r="S2287" s="72"/>
      <c r="V2287" s="72"/>
      <c r="Y2287" s="72"/>
      <c r="AB2287" s="72"/>
      <c r="AE2287" s="72"/>
      <c r="AH2287" s="72"/>
      <c r="AK2287" s="72"/>
      <c r="AN2287" s="72"/>
      <c r="AQ2287" s="72"/>
      <c r="AT2287" s="72"/>
      <c r="AW2287" s="72"/>
      <c r="AZ2287" s="72"/>
    </row>
    <row r="2288" spans="1:52">
      <c r="A2288" s="131"/>
      <c r="B2288" s="72"/>
      <c r="D2288" s="72"/>
      <c r="G2288" s="72"/>
      <c r="J2288" s="72"/>
      <c r="M2288" s="72"/>
      <c r="P2288" s="72"/>
      <c r="S2288" s="72"/>
      <c r="V2288" s="72"/>
      <c r="Y2288" s="72"/>
      <c r="AB2288" s="72"/>
      <c r="AE2288" s="72"/>
      <c r="AH2288" s="72"/>
      <c r="AK2288" s="72"/>
      <c r="AN2288" s="72"/>
      <c r="AQ2288" s="72"/>
      <c r="AT2288" s="72"/>
      <c r="AW2288" s="72"/>
      <c r="AZ2288" s="72"/>
    </row>
    <row r="2289" spans="1:52">
      <c r="A2289" s="131"/>
      <c r="B2289" s="72"/>
      <c r="D2289" s="72"/>
      <c r="G2289" s="72"/>
      <c r="J2289" s="72"/>
      <c r="M2289" s="72"/>
      <c r="P2289" s="72"/>
      <c r="S2289" s="72"/>
      <c r="V2289" s="72"/>
      <c r="Y2289" s="72"/>
      <c r="AB2289" s="72"/>
      <c r="AE2289" s="72"/>
      <c r="AH2289" s="72"/>
      <c r="AK2289" s="72"/>
      <c r="AN2289" s="72"/>
      <c r="AQ2289" s="72"/>
      <c r="AT2289" s="72"/>
      <c r="AW2289" s="72"/>
      <c r="AZ2289" s="72"/>
    </row>
    <row r="2290" spans="1:52">
      <c r="A2290" s="131"/>
      <c r="B2290" s="72"/>
      <c r="D2290" s="72"/>
      <c r="G2290" s="72"/>
      <c r="J2290" s="72"/>
      <c r="M2290" s="72"/>
      <c r="P2290" s="72"/>
      <c r="S2290" s="72"/>
      <c r="V2290" s="72"/>
      <c r="Y2290" s="72"/>
      <c r="AB2290" s="72"/>
      <c r="AE2290" s="72"/>
      <c r="AH2290" s="72"/>
      <c r="AK2290" s="72"/>
      <c r="AN2290" s="72"/>
      <c r="AQ2290" s="72"/>
      <c r="AT2290" s="72"/>
      <c r="AW2290" s="72"/>
      <c r="AZ2290" s="72"/>
    </row>
    <row r="2291" spans="1:52">
      <c r="A2291" s="131"/>
      <c r="B2291" s="72"/>
      <c r="D2291" s="72"/>
      <c r="G2291" s="72"/>
      <c r="J2291" s="72"/>
      <c r="M2291" s="72"/>
      <c r="P2291" s="72"/>
      <c r="S2291" s="72"/>
      <c r="V2291" s="72"/>
      <c r="Y2291" s="72"/>
      <c r="AB2291" s="72"/>
      <c r="AE2291" s="72"/>
      <c r="AH2291" s="72"/>
      <c r="AK2291" s="72"/>
      <c r="AN2291" s="72"/>
      <c r="AQ2291" s="72"/>
      <c r="AT2291" s="72"/>
      <c r="AW2291" s="72"/>
      <c r="AZ2291" s="72"/>
    </row>
    <row r="2292" spans="1:52">
      <c r="A2292" s="131"/>
      <c r="B2292" s="72"/>
      <c r="D2292" s="72"/>
      <c r="G2292" s="72"/>
      <c r="J2292" s="72"/>
      <c r="M2292" s="72"/>
      <c r="P2292" s="72"/>
      <c r="S2292" s="72"/>
      <c r="V2292" s="72"/>
      <c r="Y2292" s="72"/>
      <c r="AB2292" s="72"/>
      <c r="AE2292" s="72"/>
      <c r="AH2292" s="72"/>
      <c r="AK2292" s="72"/>
      <c r="AN2292" s="72"/>
      <c r="AQ2292" s="72"/>
      <c r="AT2292" s="72"/>
      <c r="AW2292" s="72"/>
      <c r="AZ2292" s="72"/>
    </row>
    <row r="2293" spans="1:52">
      <c r="A2293" s="131"/>
      <c r="B2293" s="72"/>
      <c r="D2293" s="72"/>
      <c r="G2293" s="72"/>
      <c r="J2293" s="72"/>
      <c r="M2293" s="72"/>
      <c r="P2293" s="72"/>
      <c r="S2293" s="72"/>
      <c r="V2293" s="72"/>
      <c r="Y2293" s="72"/>
      <c r="AB2293" s="72"/>
      <c r="AE2293" s="72"/>
      <c r="AH2293" s="72"/>
      <c r="AK2293" s="72"/>
      <c r="AN2293" s="72"/>
      <c r="AQ2293" s="72"/>
      <c r="AT2293" s="72"/>
      <c r="AW2293" s="72"/>
      <c r="AZ2293" s="72"/>
    </row>
    <row r="2294" spans="1:52">
      <c r="A2294" s="131"/>
      <c r="B2294" s="72"/>
      <c r="D2294" s="72"/>
      <c r="G2294" s="72"/>
      <c r="J2294" s="72"/>
      <c r="M2294" s="72"/>
      <c r="P2294" s="72"/>
      <c r="S2294" s="72"/>
      <c r="V2294" s="72"/>
      <c r="Y2294" s="72"/>
      <c r="AB2294" s="72"/>
      <c r="AE2294" s="72"/>
      <c r="AH2294" s="72"/>
      <c r="AK2294" s="72"/>
      <c r="AN2294" s="72"/>
      <c r="AQ2294" s="72"/>
      <c r="AT2294" s="72"/>
      <c r="AW2294" s="72"/>
      <c r="AZ2294" s="72"/>
    </row>
    <row r="2295" spans="1:52">
      <c r="A2295" s="131"/>
      <c r="B2295" s="72"/>
      <c r="D2295" s="72"/>
      <c r="G2295" s="72"/>
      <c r="J2295" s="72"/>
      <c r="M2295" s="72"/>
      <c r="P2295" s="72"/>
      <c r="S2295" s="72"/>
      <c r="V2295" s="72"/>
      <c r="Y2295" s="72"/>
      <c r="AB2295" s="72"/>
      <c r="AE2295" s="72"/>
      <c r="AH2295" s="72"/>
      <c r="AK2295" s="72"/>
      <c r="AN2295" s="72"/>
      <c r="AQ2295" s="72"/>
      <c r="AT2295" s="72"/>
      <c r="AW2295" s="72"/>
      <c r="AZ2295" s="72"/>
    </row>
    <row r="2296" spans="1:52">
      <c r="A2296" s="131"/>
      <c r="B2296" s="72"/>
      <c r="D2296" s="72"/>
      <c r="G2296" s="72"/>
      <c r="J2296" s="72"/>
      <c r="M2296" s="72"/>
      <c r="P2296" s="72"/>
      <c r="S2296" s="72"/>
      <c r="V2296" s="72"/>
      <c r="Y2296" s="72"/>
      <c r="AB2296" s="72"/>
      <c r="AE2296" s="72"/>
      <c r="AH2296" s="72"/>
      <c r="AK2296" s="72"/>
      <c r="AN2296" s="72"/>
      <c r="AQ2296" s="72"/>
      <c r="AT2296" s="72"/>
      <c r="AW2296" s="72"/>
      <c r="AZ2296" s="72"/>
    </row>
    <row r="2297" spans="1:52">
      <c r="A2297" s="131"/>
      <c r="B2297" s="72"/>
      <c r="D2297" s="72"/>
      <c r="G2297" s="72"/>
      <c r="J2297" s="72"/>
      <c r="M2297" s="72"/>
      <c r="P2297" s="72"/>
      <c r="S2297" s="72"/>
      <c r="V2297" s="72"/>
      <c r="Y2297" s="72"/>
      <c r="AB2297" s="72"/>
      <c r="AE2297" s="72"/>
      <c r="AH2297" s="72"/>
      <c r="AK2297" s="72"/>
      <c r="AN2297" s="72"/>
      <c r="AQ2297" s="72"/>
      <c r="AT2297" s="72"/>
      <c r="AW2297" s="72"/>
      <c r="AZ2297" s="72"/>
    </row>
    <row r="2298" spans="1:52">
      <c r="A2298" s="131"/>
      <c r="B2298" s="72"/>
      <c r="D2298" s="72"/>
      <c r="G2298" s="72"/>
      <c r="J2298" s="72"/>
      <c r="M2298" s="72"/>
      <c r="P2298" s="72"/>
      <c r="S2298" s="72"/>
      <c r="V2298" s="72"/>
      <c r="Y2298" s="72"/>
      <c r="AB2298" s="72"/>
      <c r="AE2298" s="72"/>
      <c r="AH2298" s="72"/>
      <c r="AK2298" s="72"/>
      <c r="AN2298" s="72"/>
      <c r="AQ2298" s="72"/>
      <c r="AT2298" s="72"/>
      <c r="AW2298" s="72"/>
      <c r="AZ2298" s="72"/>
    </row>
    <row r="2299" spans="1:52">
      <c r="A2299" s="131"/>
      <c r="B2299" s="72"/>
      <c r="D2299" s="72"/>
      <c r="G2299" s="72"/>
      <c r="J2299" s="72"/>
      <c r="M2299" s="72"/>
      <c r="P2299" s="72"/>
      <c r="S2299" s="72"/>
      <c r="V2299" s="72"/>
      <c r="Y2299" s="72"/>
      <c r="AB2299" s="72"/>
      <c r="AE2299" s="72"/>
      <c r="AH2299" s="72"/>
      <c r="AK2299" s="72"/>
      <c r="AN2299" s="72"/>
      <c r="AQ2299" s="72"/>
      <c r="AT2299" s="72"/>
      <c r="AW2299" s="72"/>
      <c r="AZ2299" s="72"/>
    </row>
    <row r="2300" spans="1:52">
      <c r="A2300" s="131"/>
      <c r="B2300" s="72"/>
      <c r="D2300" s="72"/>
      <c r="G2300" s="72"/>
      <c r="J2300" s="72"/>
      <c r="M2300" s="72"/>
      <c r="P2300" s="72"/>
      <c r="S2300" s="72"/>
      <c r="V2300" s="72"/>
      <c r="Y2300" s="72"/>
      <c r="AB2300" s="72"/>
      <c r="AE2300" s="72"/>
      <c r="AH2300" s="72"/>
      <c r="AK2300" s="72"/>
      <c r="AN2300" s="72"/>
      <c r="AQ2300" s="72"/>
      <c r="AT2300" s="72"/>
      <c r="AW2300" s="72"/>
      <c r="AZ2300" s="72"/>
    </row>
    <row r="2301" spans="1:52">
      <c r="A2301" s="131"/>
      <c r="B2301" s="72"/>
      <c r="D2301" s="72"/>
      <c r="G2301" s="72"/>
      <c r="J2301" s="72"/>
      <c r="M2301" s="72"/>
      <c r="P2301" s="72"/>
      <c r="S2301" s="72"/>
      <c r="V2301" s="72"/>
      <c r="Y2301" s="72"/>
      <c r="AB2301" s="72"/>
      <c r="AE2301" s="72"/>
      <c r="AH2301" s="72"/>
      <c r="AK2301" s="72"/>
      <c r="AN2301" s="72"/>
      <c r="AQ2301" s="72"/>
      <c r="AT2301" s="72"/>
      <c r="AW2301" s="72"/>
      <c r="AZ2301" s="72"/>
    </row>
    <row r="2302" spans="1:52">
      <c r="A2302" s="131"/>
      <c r="B2302" s="72"/>
      <c r="D2302" s="72"/>
      <c r="G2302" s="72"/>
      <c r="J2302" s="72"/>
      <c r="M2302" s="72"/>
      <c r="P2302" s="72"/>
      <c r="S2302" s="72"/>
      <c r="V2302" s="72"/>
      <c r="Y2302" s="72"/>
      <c r="AB2302" s="72"/>
      <c r="AE2302" s="72"/>
      <c r="AH2302" s="72"/>
      <c r="AK2302" s="72"/>
      <c r="AN2302" s="72"/>
      <c r="AQ2302" s="72"/>
      <c r="AT2302" s="72"/>
      <c r="AW2302" s="72"/>
      <c r="AZ2302" s="72"/>
    </row>
    <row r="2303" spans="1:52">
      <c r="A2303" s="131"/>
      <c r="B2303" s="72"/>
      <c r="D2303" s="72"/>
      <c r="G2303" s="72"/>
      <c r="J2303" s="72"/>
      <c r="M2303" s="72"/>
      <c r="P2303" s="72"/>
      <c r="S2303" s="72"/>
      <c r="V2303" s="72"/>
      <c r="Y2303" s="72"/>
      <c r="AB2303" s="72"/>
      <c r="AE2303" s="72"/>
      <c r="AH2303" s="72"/>
      <c r="AK2303" s="72"/>
      <c r="AN2303" s="72"/>
      <c r="AQ2303" s="72"/>
      <c r="AT2303" s="72"/>
      <c r="AW2303" s="72"/>
      <c r="AZ2303" s="72"/>
    </row>
    <row r="2304" spans="1:52">
      <c r="A2304" s="131"/>
      <c r="B2304" s="72"/>
      <c r="D2304" s="72"/>
      <c r="G2304" s="72"/>
      <c r="J2304" s="72"/>
      <c r="M2304" s="72"/>
      <c r="P2304" s="72"/>
      <c r="S2304" s="72"/>
      <c r="V2304" s="72"/>
      <c r="Y2304" s="72"/>
      <c r="AB2304" s="72"/>
      <c r="AE2304" s="72"/>
      <c r="AH2304" s="72"/>
      <c r="AK2304" s="72"/>
      <c r="AN2304" s="72"/>
      <c r="AQ2304" s="72"/>
      <c r="AT2304" s="72"/>
      <c r="AW2304" s="72"/>
      <c r="AZ2304" s="72"/>
    </row>
    <row r="2305" spans="1:52">
      <c r="A2305" s="131"/>
      <c r="B2305" s="72"/>
      <c r="D2305" s="72"/>
      <c r="G2305" s="72"/>
      <c r="J2305" s="72"/>
      <c r="M2305" s="72"/>
      <c r="P2305" s="72"/>
      <c r="S2305" s="72"/>
      <c r="V2305" s="72"/>
      <c r="Y2305" s="72"/>
      <c r="AB2305" s="72"/>
      <c r="AE2305" s="72"/>
      <c r="AH2305" s="72"/>
      <c r="AK2305" s="72"/>
      <c r="AN2305" s="72"/>
      <c r="AQ2305" s="72"/>
      <c r="AT2305" s="72"/>
      <c r="AW2305" s="72"/>
      <c r="AZ2305" s="72"/>
    </row>
    <row r="2306" spans="1:52">
      <c r="A2306" s="131"/>
      <c r="B2306" s="72"/>
      <c r="D2306" s="72"/>
      <c r="G2306" s="72"/>
      <c r="J2306" s="72"/>
      <c r="M2306" s="72"/>
      <c r="P2306" s="72"/>
      <c r="S2306" s="72"/>
      <c r="V2306" s="72"/>
      <c r="Y2306" s="72"/>
      <c r="AB2306" s="72"/>
      <c r="AE2306" s="72"/>
      <c r="AH2306" s="72"/>
      <c r="AK2306" s="72"/>
      <c r="AN2306" s="72"/>
      <c r="AQ2306" s="72"/>
      <c r="AT2306" s="72"/>
      <c r="AW2306" s="72"/>
      <c r="AZ2306" s="72"/>
    </row>
    <row r="2307" spans="1:52">
      <c r="A2307" s="131"/>
      <c r="B2307" s="72"/>
      <c r="D2307" s="72"/>
      <c r="G2307" s="72"/>
      <c r="J2307" s="72"/>
      <c r="M2307" s="72"/>
      <c r="P2307" s="72"/>
      <c r="S2307" s="72"/>
      <c r="V2307" s="72"/>
      <c r="Y2307" s="72"/>
      <c r="AB2307" s="72"/>
      <c r="AE2307" s="72"/>
      <c r="AH2307" s="72"/>
      <c r="AK2307" s="72"/>
      <c r="AN2307" s="72"/>
      <c r="AQ2307" s="72"/>
      <c r="AT2307" s="72"/>
      <c r="AW2307" s="72"/>
      <c r="AZ2307" s="72"/>
    </row>
    <row r="2308" spans="1:52">
      <c r="A2308" s="131"/>
      <c r="B2308" s="72"/>
      <c r="D2308" s="72"/>
      <c r="G2308" s="72"/>
      <c r="J2308" s="72"/>
      <c r="M2308" s="72"/>
      <c r="P2308" s="72"/>
      <c r="S2308" s="72"/>
      <c r="V2308" s="72"/>
      <c r="Y2308" s="72"/>
      <c r="AB2308" s="72"/>
      <c r="AE2308" s="72"/>
      <c r="AH2308" s="72"/>
      <c r="AK2308" s="72"/>
      <c r="AN2308" s="72"/>
      <c r="AQ2308" s="72"/>
      <c r="AT2308" s="72"/>
      <c r="AW2308" s="72"/>
      <c r="AZ2308" s="72"/>
    </row>
    <row r="2309" spans="1:52">
      <c r="A2309" s="131"/>
      <c r="B2309" s="72"/>
      <c r="D2309" s="72"/>
      <c r="G2309" s="72"/>
      <c r="J2309" s="72"/>
      <c r="M2309" s="72"/>
      <c r="P2309" s="72"/>
      <c r="S2309" s="72"/>
      <c r="V2309" s="72"/>
      <c r="Y2309" s="72"/>
      <c r="AB2309" s="72"/>
      <c r="AE2309" s="72"/>
      <c r="AH2309" s="72"/>
      <c r="AK2309" s="72"/>
      <c r="AN2309" s="72"/>
      <c r="AQ2309" s="72"/>
      <c r="AT2309" s="72"/>
      <c r="AW2309" s="72"/>
      <c r="AZ2309" s="72"/>
    </row>
    <row r="2310" spans="1:52">
      <c r="A2310" s="131"/>
      <c r="B2310" s="72"/>
      <c r="D2310" s="72"/>
      <c r="G2310" s="72"/>
      <c r="J2310" s="72"/>
      <c r="M2310" s="72"/>
      <c r="P2310" s="72"/>
      <c r="S2310" s="72"/>
      <c r="V2310" s="72"/>
      <c r="Y2310" s="72"/>
      <c r="AB2310" s="72"/>
      <c r="AE2310" s="72"/>
      <c r="AH2310" s="72"/>
      <c r="AK2310" s="72"/>
      <c r="AN2310" s="72"/>
      <c r="AQ2310" s="72"/>
      <c r="AT2310" s="72"/>
      <c r="AW2310" s="72"/>
      <c r="AZ2310" s="72"/>
    </row>
    <row r="2311" spans="1:52">
      <c r="A2311" s="131"/>
      <c r="B2311" s="72"/>
      <c r="D2311" s="72"/>
      <c r="G2311" s="72"/>
      <c r="J2311" s="72"/>
      <c r="M2311" s="72"/>
      <c r="P2311" s="72"/>
      <c r="S2311" s="72"/>
      <c r="V2311" s="72"/>
      <c r="Y2311" s="72"/>
      <c r="AB2311" s="72"/>
      <c r="AE2311" s="72"/>
      <c r="AH2311" s="72"/>
      <c r="AK2311" s="72"/>
      <c r="AN2311" s="72"/>
      <c r="AQ2311" s="72"/>
      <c r="AT2311" s="72"/>
      <c r="AW2311" s="72"/>
      <c r="AZ2311" s="72"/>
    </row>
    <row r="2312" spans="1:52">
      <c r="A2312" s="131"/>
      <c r="B2312" s="72"/>
      <c r="D2312" s="72"/>
      <c r="G2312" s="72"/>
      <c r="J2312" s="72"/>
      <c r="M2312" s="72"/>
      <c r="P2312" s="72"/>
      <c r="S2312" s="72"/>
      <c r="V2312" s="72"/>
      <c r="Y2312" s="72"/>
      <c r="AB2312" s="72"/>
      <c r="AE2312" s="72"/>
      <c r="AH2312" s="72"/>
      <c r="AK2312" s="72"/>
      <c r="AN2312" s="72"/>
      <c r="AQ2312" s="72"/>
      <c r="AT2312" s="72"/>
      <c r="AW2312" s="72"/>
      <c r="AZ2312" s="72"/>
    </row>
    <row r="2313" spans="1:52">
      <c r="A2313" s="131"/>
      <c r="B2313" s="72"/>
      <c r="D2313" s="72"/>
      <c r="G2313" s="72"/>
      <c r="J2313" s="72"/>
      <c r="M2313" s="72"/>
      <c r="P2313" s="72"/>
      <c r="S2313" s="72"/>
      <c r="V2313" s="72"/>
      <c r="Y2313" s="72"/>
      <c r="AB2313" s="72"/>
      <c r="AE2313" s="72"/>
      <c r="AH2313" s="72"/>
      <c r="AK2313" s="72"/>
      <c r="AN2313" s="72"/>
      <c r="AQ2313" s="72"/>
      <c r="AT2313" s="72"/>
      <c r="AW2313" s="72"/>
      <c r="AZ2313" s="72"/>
    </row>
    <row r="2314" spans="1:52">
      <c r="A2314" s="131"/>
      <c r="B2314" s="72"/>
      <c r="D2314" s="72"/>
      <c r="G2314" s="72"/>
      <c r="J2314" s="72"/>
      <c r="M2314" s="72"/>
      <c r="P2314" s="72"/>
      <c r="S2314" s="72"/>
      <c r="V2314" s="72"/>
      <c r="Y2314" s="72"/>
      <c r="AB2314" s="72"/>
      <c r="AE2314" s="72"/>
      <c r="AH2314" s="72"/>
      <c r="AK2314" s="72"/>
      <c r="AN2314" s="72"/>
      <c r="AQ2314" s="72"/>
      <c r="AT2314" s="72"/>
      <c r="AW2314" s="72"/>
      <c r="AZ2314" s="72"/>
    </row>
    <row r="2315" spans="1:52">
      <c r="A2315" s="131"/>
      <c r="B2315" s="72"/>
      <c r="D2315" s="72"/>
      <c r="G2315" s="72"/>
      <c r="J2315" s="72"/>
      <c r="M2315" s="72"/>
      <c r="P2315" s="72"/>
      <c r="S2315" s="72"/>
      <c r="V2315" s="72"/>
      <c r="Y2315" s="72"/>
      <c r="AB2315" s="72"/>
      <c r="AE2315" s="72"/>
      <c r="AH2315" s="72"/>
      <c r="AK2315" s="72"/>
      <c r="AN2315" s="72"/>
      <c r="AQ2315" s="72"/>
      <c r="AT2315" s="72"/>
      <c r="AW2315" s="72"/>
      <c r="AZ2315" s="72"/>
    </row>
    <row r="2316" spans="1:52">
      <c r="A2316" s="131"/>
      <c r="B2316" s="72"/>
      <c r="D2316" s="72"/>
      <c r="G2316" s="72"/>
      <c r="J2316" s="72"/>
      <c r="M2316" s="72"/>
      <c r="P2316" s="72"/>
      <c r="S2316" s="72"/>
      <c r="V2316" s="72"/>
      <c r="Y2316" s="72"/>
      <c r="AB2316" s="72"/>
      <c r="AE2316" s="72"/>
      <c r="AH2316" s="72"/>
      <c r="AK2316" s="72"/>
      <c r="AN2316" s="72"/>
      <c r="AQ2316" s="72"/>
      <c r="AT2316" s="72"/>
      <c r="AW2316" s="72"/>
      <c r="AZ2316" s="72"/>
    </row>
    <row r="2317" spans="1:52">
      <c r="A2317" s="131"/>
      <c r="B2317" s="72"/>
      <c r="D2317" s="72"/>
      <c r="G2317" s="72"/>
      <c r="J2317" s="72"/>
      <c r="M2317" s="72"/>
      <c r="P2317" s="72"/>
      <c r="S2317" s="72"/>
      <c r="V2317" s="72"/>
      <c r="Y2317" s="72"/>
      <c r="AB2317" s="72"/>
      <c r="AE2317" s="72"/>
      <c r="AH2317" s="72"/>
      <c r="AK2317" s="72"/>
      <c r="AN2317" s="72"/>
      <c r="AQ2317" s="72"/>
      <c r="AT2317" s="72"/>
      <c r="AW2317" s="72"/>
      <c r="AZ2317" s="72"/>
    </row>
    <row r="2318" spans="1:52">
      <c r="A2318" s="131"/>
      <c r="B2318" s="72"/>
      <c r="D2318" s="72"/>
      <c r="G2318" s="72"/>
      <c r="J2318" s="72"/>
      <c r="M2318" s="72"/>
      <c r="P2318" s="72"/>
      <c r="S2318" s="72"/>
      <c r="V2318" s="72"/>
      <c r="Y2318" s="72"/>
      <c r="AB2318" s="72"/>
      <c r="AE2318" s="72"/>
      <c r="AH2318" s="72"/>
      <c r="AK2318" s="72"/>
      <c r="AN2318" s="72"/>
      <c r="AQ2318" s="72"/>
      <c r="AT2318" s="72"/>
      <c r="AW2318" s="72"/>
      <c r="AZ2318" s="72"/>
    </row>
    <row r="2319" spans="1:52">
      <c r="A2319" s="131"/>
      <c r="B2319" s="72"/>
      <c r="D2319" s="72"/>
      <c r="G2319" s="72"/>
      <c r="J2319" s="72"/>
      <c r="M2319" s="72"/>
      <c r="P2319" s="72"/>
      <c r="S2319" s="72"/>
      <c r="V2319" s="72"/>
      <c r="Y2319" s="72"/>
      <c r="AB2319" s="72"/>
      <c r="AE2319" s="72"/>
      <c r="AH2319" s="72"/>
      <c r="AK2319" s="72"/>
      <c r="AN2319" s="72"/>
      <c r="AQ2319" s="72"/>
      <c r="AT2319" s="72"/>
      <c r="AW2319" s="72"/>
      <c r="AZ2319" s="72"/>
    </row>
    <row r="2320" spans="1:52">
      <c r="A2320" s="131"/>
      <c r="B2320" s="72"/>
      <c r="D2320" s="72"/>
      <c r="G2320" s="72"/>
      <c r="J2320" s="72"/>
      <c r="M2320" s="72"/>
      <c r="P2320" s="72"/>
      <c r="S2320" s="72"/>
      <c r="V2320" s="72"/>
      <c r="Y2320" s="72"/>
      <c r="AB2320" s="72"/>
      <c r="AE2320" s="72"/>
      <c r="AH2320" s="72"/>
      <c r="AK2320" s="72"/>
      <c r="AN2320" s="72"/>
      <c r="AQ2320" s="72"/>
      <c r="AT2320" s="72"/>
      <c r="AW2320" s="72"/>
      <c r="AZ2320" s="72"/>
    </row>
    <row r="2321" spans="1:52">
      <c r="A2321" s="131"/>
      <c r="B2321" s="72"/>
      <c r="D2321" s="72"/>
      <c r="G2321" s="72"/>
      <c r="J2321" s="72"/>
      <c r="M2321" s="72"/>
      <c r="P2321" s="72"/>
      <c r="S2321" s="72"/>
      <c r="V2321" s="72"/>
      <c r="Y2321" s="72"/>
      <c r="AB2321" s="72"/>
      <c r="AE2321" s="72"/>
      <c r="AH2321" s="72"/>
      <c r="AK2321" s="72"/>
      <c r="AN2321" s="72"/>
      <c r="AQ2321" s="72"/>
      <c r="AT2321" s="72"/>
      <c r="AW2321" s="72"/>
      <c r="AZ2321" s="72"/>
    </row>
    <row r="2322" spans="1:52">
      <c r="A2322" s="131"/>
      <c r="B2322" s="72"/>
      <c r="D2322" s="72"/>
      <c r="G2322" s="72"/>
      <c r="J2322" s="72"/>
      <c r="M2322" s="72"/>
      <c r="P2322" s="72"/>
      <c r="S2322" s="72"/>
      <c r="V2322" s="72"/>
      <c r="Y2322" s="72"/>
      <c r="AB2322" s="72"/>
      <c r="AE2322" s="72"/>
      <c r="AH2322" s="72"/>
      <c r="AK2322" s="72"/>
      <c r="AN2322" s="72"/>
      <c r="AQ2322" s="72"/>
      <c r="AT2322" s="72"/>
      <c r="AW2322" s="72"/>
      <c r="AZ2322" s="72"/>
    </row>
    <row r="2323" spans="1:52">
      <c r="A2323" s="131"/>
      <c r="B2323" s="72"/>
      <c r="D2323" s="72"/>
      <c r="G2323" s="72"/>
      <c r="J2323" s="72"/>
      <c r="M2323" s="72"/>
      <c r="P2323" s="72"/>
      <c r="S2323" s="72"/>
      <c r="V2323" s="72"/>
      <c r="Y2323" s="72"/>
      <c r="AB2323" s="72"/>
      <c r="AE2323" s="72"/>
      <c r="AH2323" s="72"/>
      <c r="AK2323" s="72"/>
      <c r="AN2323" s="72"/>
      <c r="AQ2323" s="72"/>
      <c r="AT2323" s="72"/>
      <c r="AW2323" s="72"/>
      <c r="AZ2323" s="72"/>
    </row>
    <row r="2324" spans="1:52">
      <c r="A2324" s="131"/>
      <c r="B2324" s="72"/>
      <c r="D2324" s="72"/>
      <c r="G2324" s="72"/>
      <c r="J2324" s="72"/>
      <c r="M2324" s="72"/>
      <c r="P2324" s="72"/>
      <c r="S2324" s="72"/>
      <c r="V2324" s="72"/>
      <c r="Y2324" s="72"/>
      <c r="AB2324" s="72"/>
      <c r="AE2324" s="72"/>
      <c r="AH2324" s="72"/>
      <c r="AK2324" s="72"/>
      <c r="AN2324" s="72"/>
      <c r="AQ2324" s="72"/>
      <c r="AT2324" s="72"/>
      <c r="AW2324" s="72"/>
      <c r="AZ2324" s="72"/>
    </row>
    <row r="2325" spans="1:52">
      <c r="A2325" s="131"/>
      <c r="B2325" s="72"/>
      <c r="D2325" s="72"/>
      <c r="G2325" s="72"/>
      <c r="J2325" s="72"/>
      <c r="M2325" s="72"/>
      <c r="P2325" s="72"/>
      <c r="S2325" s="72"/>
      <c r="V2325" s="72"/>
      <c r="Y2325" s="72"/>
      <c r="AB2325" s="72"/>
      <c r="AE2325" s="72"/>
      <c r="AH2325" s="72"/>
      <c r="AK2325" s="72"/>
      <c r="AN2325" s="72"/>
      <c r="AQ2325" s="72"/>
      <c r="AT2325" s="72"/>
      <c r="AW2325" s="72"/>
      <c r="AZ2325" s="72"/>
    </row>
    <row r="2326" spans="1:52">
      <c r="A2326" s="131"/>
      <c r="B2326" s="72"/>
      <c r="D2326" s="72"/>
      <c r="G2326" s="72"/>
      <c r="J2326" s="72"/>
      <c r="M2326" s="72"/>
      <c r="P2326" s="72"/>
      <c r="S2326" s="72"/>
      <c r="V2326" s="72"/>
      <c r="Y2326" s="72"/>
      <c r="AB2326" s="72"/>
      <c r="AE2326" s="72"/>
      <c r="AH2326" s="72"/>
      <c r="AK2326" s="72"/>
      <c r="AN2326" s="72"/>
      <c r="AQ2326" s="72"/>
      <c r="AT2326" s="72"/>
      <c r="AW2326" s="72"/>
      <c r="AZ2326" s="72"/>
    </row>
    <row r="2327" spans="1:52">
      <c r="A2327" s="131"/>
      <c r="B2327" s="72"/>
      <c r="D2327" s="72"/>
      <c r="G2327" s="72"/>
      <c r="J2327" s="72"/>
      <c r="M2327" s="72"/>
      <c r="P2327" s="72"/>
      <c r="S2327" s="72"/>
      <c r="V2327" s="72"/>
      <c r="Y2327" s="72"/>
      <c r="AB2327" s="72"/>
      <c r="AE2327" s="72"/>
      <c r="AH2327" s="72"/>
      <c r="AK2327" s="72"/>
      <c r="AN2327" s="72"/>
      <c r="AQ2327" s="72"/>
      <c r="AT2327" s="72"/>
      <c r="AW2327" s="72"/>
      <c r="AZ2327" s="72"/>
    </row>
    <row r="2328" spans="1:52">
      <c r="A2328" s="131"/>
      <c r="B2328" s="72"/>
      <c r="D2328" s="72"/>
      <c r="G2328" s="72"/>
      <c r="J2328" s="72"/>
      <c r="M2328" s="72"/>
      <c r="P2328" s="72"/>
      <c r="S2328" s="72"/>
      <c r="V2328" s="72"/>
      <c r="Y2328" s="72"/>
      <c r="AB2328" s="72"/>
      <c r="AE2328" s="72"/>
      <c r="AH2328" s="72"/>
      <c r="AK2328" s="72"/>
      <c r="AN2328" s="72"/>
      <c r="AQ2328" s="72"/>
      <c r="AT2328" s="72"/>
      <c r="AW2328" s="72"/>
      <c r="AZ2328" s="72"/>
    </row>
    <row r="2329" spans="1:52">
      <c r="A2329" s="131"/>
      <c r="B2329" s="72"/>
      <c r="D2329" s="72"/>
      <c r="G2329" s="72"/>
      <c r="J2329" s="72"/>
      <c r="M2329" s="72"/>
      <c r="P2329" s="72"/>
      <c r="S2329" s="72"/>
      <c r="V2329" s="72"/>
      <c r="Y2329" s="72"/>
      <c r="AB2329" s="72"/>
      <c r="AE2329" s="72"/>
      <c r="AH2329" s="72"/>
      <c r="AK2329" s="72"/>
      <c r="AN2329" s="72"/>
      <c r="AQ2329" s="72"/>
      <c r="AT2329" s="72"/>
      <c r="AW2329" s="72"/>
      <c r="AZ2329" s="72"/>
    </row>
    <row r="2330" spans="1:52">
      <c r="A2330" s="131"/>
      <c r="B2330" s="72"/>
      <c r="D2330" s="72"/>
      <c r="G2330" s="72"/>
      <c r="J2330" s="72"/>
      <c r="M2330" s="72"/>
      <c r="P2330" s="72"/>
      <c r="S2330" s="72"/>
      <c r="V2330" s="72"/>
      <c r="Y2330" s="72"/>
      <c r="AB2330" s="72"/>
      <c r="AE2330" s="72"/>
      <c r="AH2330" s="72"/>
      <c r="AK2330" s="72"/>
      <c r="AN2330" s="72"/>
      <c r="AQ2330" s="72"/>
      <c r="AT2330" s="72"/>
      <c r="AW2330" s="72"/>
      <c r="AZ2330" s="72"/>
    </row>
    <row r="2331" spans="1:52">
      <c r="A2331" s="131"/>
      <c r="B2331" s="72"/>
      <c r="D2331" s="72"/>
      <c r="G2331" s="72"/>
      <c r="J2331" s="72"/>
      <c r="M2331" s="72"/>
      <c r="P2331" s="72"/>
      <c r="S2331" s="72"/>
      <c r="V2331" s="72"/>
      <c r="Y2331" s="72"/>
      <c r="AB2331" s="72"/>
      <c r="AE2331" s="72"/>
      <c r="AH2331" s="72"/>
      <c r="AK2331" s="72"/>
      <c r="AN2331" s="72"/>
      <c r="AQ2331" s="72"/>
      <c r="AT2331" s="72"/>
      <c r="AW2331" s="72"/>
      <c r="AZ2331" s="72"/>
    </row>
    <row r="2332" spans="1:52">
      <c r="A2332" s="131"/>
      <c r="B2332" s="72"/>
      <c r="D2332" s="72"/>
      <c r="G2332" s="72"/>
      <c r="J2332" s="72"/>
      <c r="M2332" s="72"/>
      <c r="P2332" s="72"/>
      <c r="S2332" s="72"/>
      <c r="V2332" s="72"/>
      <c r="Y2332" s="72"/>
      <c r="AB2332" s="72"/>
      <c r="AE2332" s="72"/>
      <c r="AH2332" s="72"/>
      <c r="AK2332" s="72"/>
      <c r="AN2332" s="72"/>
      <c r="AQ2332" s="72"/>
      <c r="AT2332" s="72"/>
      <c r="AW2332" s="72"/>
      <c r="AZ2332" s="72"/>
    </row>
    <row r="2333" spans="1:52">
      <c r="A2333" s="131"/>
      <c r="B2333" s="72"/>
      <c r="D2333" s="72"/>
      <c r="G2333" s="72"/>
      <c r="J2333" s="72"/>
      <c r="M2333" s="72"/>
      <c r="P2333" s="72"/>
      <c r="S2333" s="72"/>
      <c r="V2333" s="72"/>
      <c r="Y2333" s="72"/>
      <c r="AB2333" s="72"/>
      <c r="AE2333" s="72"/>
      <c r="AH2333" s="72"/>
      <c r="AK2333" s="72"/>
      <c r="AN2333" s="72"/>
      <c r="AQ2333" s="72"/>
      <c r="AT2333" s="72"/>
      <c r="AW2333" s="72"/>
      <c r="AZ2333" s="72"/>
    </row>
    <row r="2334" spans="1:52">
      <c r="A2334" s="131"/>
      <c r="B2334" s="72"/>
      <c r="D2334" s="72"/>
      <c r="G2334" s="72"/>
      <c r="J2334" s="72"/>
      <c r="M2334" s="72"/>
      <c r="P2334" s="72"/>
      <c r="S2334" s="72"/>
      <c r="V2334" s="72"/>
      <c r="Y2334" s="72"/>
      <c r="AB2334" s="72"/>
      <c r="AE2334" s="72"/>
      <c r="AH2334" s="72"/>
      <c r="AK2334" s="72"/>
      <c r="AN2334" s="72"/>
      <c r="AQ2334" s="72"/>
      <c r="AT2334" s="72"/>
      <c r="AW2334" s="72"/>
      <c r="AZ2334" s="72"/>
    </row>
    <row r="2335" spans="1:52">
      <c r="A2335" s="131"/>
      <c r="B2335" s="72"/>
      <c r="D2335" s="72"/>
      <c r="G2335" s="72"/>
      <c r="J2335" s="72"/>
      <c r="M2335" s="72"/>
      <c r="P2335" s="72"/>
      <c r="S2335" s="72"/>
      <c r="V2335" s="72"/>
      <c r="Y2335" s="72"/>
      <c r="AB2335" s="72"/>
      <c r="AE2335" s="72"/>
      <c r="AH2335" s="72"/>
      <c r="AK2335" s="72"/>
      <c r="AN2335" s="72"/>
      <c r="AQ2335" s="72"/>
      <c r="AT2335" s="72"/>
      <c r="AW2335" s="72"/>
      <c r="AZ2335" s="72"/>
    </row>
    <row r="2336" spans="1:52">
      <c r="A2336" s="131"/>
      <c r="B2336" s="72"/>
      <c r="D2336" s="72"/>
      <c r="G2336" s="72"/>
      <c r="J2336" s="72"/>
      <c r="M2336" s="72"/>
      <c r="P2336" s="72"/>
      <c r="S2336" s="72"/>
      <c r="V2336" s="72"/>
      <c r="Y2336" s="72"/>
      <c r="AB2336" s="72"/>
      <c r="AE2336" s="72"/>
      <c r="AH2336" s="72"/>
      <c r="AK2336" s="72"/>
      <c r="AN2336" s="72"/>
      <c r="AQ2336" s="72"/>
      <c r="AT2336" s="72"/>
      <c r="AW2336" s="72"/>
      <c r="AZ2336" s="72"/>
    </row>
    <row r="2337" spans="1:52">
      <c r="A2337" s="131"/>
      <c r="B2337" s="72"/>
      <c r="D2337" s="72"/>
      <c r="G2337" s="72"/>
      <c r="J2337" s="72"/>
      <c r="M2337" s="72"/>
      <c r="P2337" s="72"/>
      <c r="S2337" s="72"/>
      <c r="V2337" s="72"/>
      <c r="Y2337" s="72"/>
      <c r="AB2337" s="72"/>
      <c r="AE2337" s="72"/>
      <c r="AH2337" s="72"/>
      <c r="AK2337" s="72"/>
      <c r="AN2337" s="72"/>
      <c r="AQ2337" s="72"/>
      <c r="AT2337" s="72"/>
      <c r="AW2337" s="72"/>
      <c r="AZ2337" s="72"/>
    </row>
    <row r="2338" spans="1:52">
      <c r="A2338" s="131"/>
      <c r="B2338" s="72"/>
      <c r="D2338" s="72"/>
      <c r="G2338" s="72"/>
      <c r="J2338" s="72"/>
      <c r="M2338" s="72"/>
      <c r="P2338" s="72"/>
      <c r="S2338" s="72"/>
      <c r="V2338" s="72"/>
      <c r="Y2338" s="72"/>
      <c r="AB2338" s="72"/>
      <c r="AE2338" s="72"/>
      <c r="AH2338" s="72"/>
      <c r="AK2338" s="72"/>
      <c r="AN2338" s="72"/>
      <c r="AQ2338" s="72"/>
      <c r="AT2338" s="72"/>
      <c r="AW2338" s="72"/>
      <c r="AZ2338" s="72"/>
    </row>
    <row r="2339" spans="1:52">
      <c r="A2339" s="131"/>
      <c r="B2339" s="72"/>
      <c r="D2339" s="72"/>
      <c r="G2339" s="72"/>
      <c r="J2339" s="72"/>
      <c r="M2339" s="72"/>
      <c r="P2339" s="72"/>
      <c r="S2339" s="72"/>
      <c r="V2339" s="72"/>
      <c r="Y2339" s="72"/>
      <c r="AB2339" s="72"/>
      <c r="AE2339" s="72"/>
      <c r="AH2339" s="72"/>
      <c r="AK2339" s="72"/>
      <c r="AN2339" s="72"/>
      <c r="AQ2339" s="72"/>
      <c r="AT2339" s="72"/>
      <c r="AW2339" s="72"/>
      <c r="AZ2339" s="72"/>
    </row>
    <row r="2340" spans="1:52">
      <c r="A2340" s="131"/>
      <c r="B2340" s="72"/>
      <c r="D2340" s="72"/>
      <c r="G2340" s="72"/>
      <c r="J2340" s="72"/>
      <c r="M2340" s="72"/>
      <c r="P2340" s="72"/>
      <c r="S2340" s="72"/>
      <c r="V2340" s="72"/>
      <c r="Y2340" s="72"/>
      <c r="AB2340" s="72"/>
      <c r="AE2340" s="72"/>
      <c r="AH2340" s="72"/>
      <c r="AK2340" s="72"/>
      <c r="AN2340" s="72"/>
      <c r="AQ2340" s="72"/>
      <c r="AT2340" s="72"/>
      <c r="AW2340" s="72"/>
      <c r="AZ2340" s="72"/>
    </row>
    <row r="2341" spans="1:52">
      <c r="A2341" s="131"/>
      <c r="B2341" s="72"/>
      <c r="D2341" s="72"/>
      <c r="G2341" s="72"/>
      <c r="J2341" s="72"/>
      <c r="M2341" s="72"/>
      <c r="P2341" s="72"/>
      <c r="S2341" s="72"/>
      <c r="V2341" s="72"/>
      <c r="Y2341" s="72"/>
      <c r="AB2341" s="72"/>
      <c r="AE2341" s="72"/>
      <c r="AH2341" s="72"/>
      <c r="AK2341" s="72"/>
      <c r="AN2341" s="72"/>
      <c r="AQ2341" s="72"/>
      <c r="AT2341" s="72"/>
      <c r="AW2341" s="72"/>
      <c r="AZ2341" s="72"/>
    </row>
    <row r="2342" spans="1:52">
      <c r="A2342" s="131"/>
      <c r="B2342" s="72"/>
      <c r="D2342" s="72"/>
      <c r="G2342" s="72"/>
      <c r="J2342" s="72"/>
      <c r="M2342" s="72"/>
      <c r="P2342" s="72"/>
      <c r="S2342" s="72"/>
      <c r="V2342" s="72"/>
      <c r="Y2342" s="72"/>
      <c r="AB2342" s="72"/>
      <c r="AE2342" s="72"/>
      <c r="AH2342" s="72"/>
      <c r="AK2342" s="72"/>
      <c r="AN2342" s="72"/>
      <c r="AQ2342" s="72"/>
      <c r="AT2342" s="72"/>
      <c r="AW2342" s="72"/>
      <c r="AZ2342" s="72"/>
    </row>
    <row r="2343" spans="1:52">
      <c r="A2343" s="131"/>
      <c r="B2343" s="72"/>
      <c r="D2343" s="72"/>
      <c r="G2343" s="72"/>
      <c r="J2343" s="72"/>
      <c r="M2343" s="72"/>
      <c r="P2343" s="72"/>
      <c r="S2343" s="72"/>
      <c r="V2343" s="72"/>
      <c r="Y2343" s="72"/>
      <c r="AB2343" s="72"/>
      <c r="AE2343" s="72"/>
      <c r="AH2343" s="72"/>
      <c r="AK2343" s="72"/>
      <c r="AN2343" s="72"/>
      <c r="AQ2343" s="72"/>
      <c r="AT2343" s="72"/>
      <c r="AW2343" s="72"/>
      <c r="AZ2343" s="72"/>
    </row>
    <row r="2344" spans="1:52">
      <c r="A2344" s="131"/>
      <c r="B2344" s="72"/>
      <c r="D2344" s="72"/>
      <c r="G2344" s="72"/>
      <c r="J2344" s="72"/>
      <c r="M2344" s="72"/>
      <c r="P2344" s="72"/>
      <c r="S2344" s="72"/>
      <c r="V2344" s="72"/>
      <c r="Y2344" s="72"/>
      <c r="AB2344" s="72"/>
      <c r="AE2344" s="72"/>
      <c r="AH2344" s="72"/>
      <c r="AK2344" s="72"/>
      <c r="AN2344" s="72"/>
      <c r="AQ2344" s="72"/>
      <c r="AT2344" s="72"/>
      <c r="AW2344" s="72"/>
      <c r="AZ2344" s="72"/>
    </row>
    <row r="2345" spans="1:52">
      <c r="A2345" s="131"/>
      <c r="B2345" s="72"/>
      <c r="D2345" s="72"/>
      <c r="G2345" s="72"/>
      <c r="J2345" s="72"/>
      <c r="M2345" s="72"/>
      <c r="P2345" s="72"/>
      <c r="S2345" s="72"/>
      <c r="V2345" s="72"/>
      <c r="Y2345" s="72"/>
      <c r="AB2345" s="72"/>
      <c r="AE2345" s="72"/>
      <c r="AH2345" s="72"/>
      <c r="AK2345" s="72"/>
      <c r="AN2345" s="72"/>
      <c r="AQ2345" s="72"/>
      <c r="AT2345" s="72"/>
      <c r="AW2345" s="72"/>
      <c r="AZ2345" s="72"/>
    </row>
    <row r="2346" spans="1:52">
      <c r="A2346" s="131"/>
      <c r="B2346" s="72"/>
      <c r="D2346" s="72"/>
      <c r="G2346" s="72"/>
      <c r="J2346" s="72"/>
      <c r="M2346" s="72"/>
      <c r="P2346" s="72"/>
      <c r="S2346" s="72"/>
      <c r="V2346" s="72"/>
      <c r="Y2346" s="72"/>
      <c r="AB2346" s="72"/>
      <c r="AE2346" s="72"/>
      <c r="AH2346" s="72"/>
      <c r="AK2346" s="72"/>
      <c r="AN2346" s="72"/>
      <c r="AQ2346" s="72"/>
      <c r="AT2346" s="72"/>
      <c r="AW2346" s="72"/>
      <c r="AZ2346" s="72"/>
    </row>
    <row r="2347" spans="1:52">
      <c r="A2347" s="131"/>
      <c r="B2347" s="72"/>
      <c r="D2347" s="72"/>
      <c r="G2347" s="72"/>
      <c r="J2347" s="72"/>
      <c r="M2347" s="72"/>
      <c r="P2347" s="72"/>
      <c r="S2347" s="72"/>
      <c r="V2347" s="72"/>
      <c r="Y2347" s="72"/>
      <c r="AB2347" s="72"/>
      <c r="AE2347" s="72"/>
      <c r="AH2347" s="72"/>
      <c r="AK2347" s="72"/>
      <c r="AN2347" s="72"/>
      <c r="AQ2347" s="72"/>
      <c r="AT2347" s="72"/>
      <c r="AW2347" s="72"/>
      <c r="AZ2347" s="72"/>
    </row>
    <row r="2348" spans="1:52">
      <c r="A2348" s="131"/>
      <c r="B2348" s="72"/>
      <c r="D2348" s="72"/>
      <c r="G2348" s="72"/>
      <c r="J2348" s="72"/>
      <c r="M2348" s="72"/>
      <c r="P2348" s="72"/>
      <c r="S2348" s="72"/>
      <c r="V2348" s="72"/>
      <c r="Y2348" s="72"/>
      <c r="AB2348" s="72"/>
      <c r="AE2348" s="72"/>
      <c r="AH2348" s="72"/>
      <c r="AK2348" s="72"/>
      <c r="AN2348" s="72"/>
      <c r="AQ2348" s="72"/>
      <c r="AT2348" s="72"/>
      <c r="AW2348" s="72"/>
      <c r="AZ2348" s="72"/>
    </row>
    <row r="2349" spans="1:52">
      <c r="A2349" s="131"/>
      <c r="B2349" s="72"/>
      <c r="D2349" s="72"/>
      <c r="G2349" s="72"/>
      <c r="J2349" s="72"/>
      <c r="M2349" s="72"/>
      <c r="P2349" s="72"/>
      <c r="S2349" s="72"/>
      <c r="V2349" s="72"/>
      <c r="Y2349" s="72"/>
      <c r="AB2349" s="72"/>
      <c r="AE2349" s="72"/>
      <c r="AH2349" s="72"/>
      <c r="AK2349" s="72"/>
      <c r="AN2349" s="72"/>
      <c r="AQ2349" s="72"/>
      <c r="AT2349" s="72"/>
      <c r="AW2349" s="72"/>
      <c r="AZ2349" s="72"/>
    </row>
    <row r="2350" spans="1:52">
      <c r="A2350" s="131"/>
      <c r="B2350" s="72"/>
      <c r="D2350" s="72"/>
      <c r="G2350" s="72"/>
      <c r="J2350" s="72"/>
      <c r="M2350" s="72"/>
      <c r="P2350" s="72"/>
      <c r="S2350" s="72"/>
      <c r="V2350" s="72"/>
      <c r="Y2350" s="72"/>
      <c r="AB2350" s="72"/>
      <c r="AE2350" s="72"/>
      <c r="AH2350" s="72"/>
      <c r="AK2350" s="72"/>
      <c r="AN2350" s="72"/>
      <c r="AQ2350" s="72"/>
      <c r="AT2350" s="72"/>
      <c r="AW2350" s="72"/>
      <c r="AZ2350" s="72"/>
    </row>
    <row r="2351" spans="1:52">
      <c r="A2351" s="131"/>
      <c r="B2351" s="72"/>
      <c r="D2351" s="72"/>
      <c r="G2351" s="72"/>
      <c r="J2351" s="72"/>
      <c r="M2351" s="72"/>
      <c r="P2351" s="72"/>
      <c r="S2351" s="72"/>
      <c r="V2351" s="72"/>
      <c r="Y2351" s="72"/>
      <c r="AB2351" s="72"/>
      <c r="AE2351" s="72"/>
      <c r="AH2351" s="72"/>
      <c r="AK2351" s="72"/>
      <c r="AN2351" s="72"/>
      <c r="AQ2351" s="72"/>
      <c r="AT2351" s="72"/>
      <c r="AW2351" s="72"/>
      <c r="AZ2351" s="72"/>
    </row>
    <row r="2352" spans="1:52">
      <c r="A2352" s="131"/>
      <c r="B2352" s="72"/>
      <c r="D2352" s="72"/>
      <c r="G2352" s="72"/>
      <c r="J2352" s="72"/>
      <c r="M2352" s="72"/>
      <c r="P2352" s="72"/>
      <c r="S2352" s="72"/>
      <c r="V2352" s="72"/>
      <c r="Y2352" s="72"/>
      <c r="AB2352" s="72"/>
      <c r="AE2352" s="72"/>
      <c r="AH2352" s="72"/>
      <c r="AK2352" s="72"/>
      <c r="AN2352" s="72"/>
      <c r="AQ2352" s="72"/>
      <c r="AT2352" s="72"/>
      <c r="AW2352" s="72"/>
      <c r="AZ2352" s="72"/>
    </row>
    <row r="2353" spans="1:52">
      <c r="A2353" s="131"/>
      <c r="B2353" s="72"/>
      <c r="D2353" s="72"/>
      <c r="G2353" s="72"/>
      <c r="J2353" s="72"/>
      <c r="M2353" s="72"/>
      <c r="P2353" s="72"/>
      <c r="S2353" s="72"/>
      <c r="V2353" s="72"/>
      <c r="Y2353" s="72"/>
      <c r="AB2353" s="72"/>
      <c r="AE2353" s="72"/>
      <c r="AH2353" s="72"/>
      <c r="AK2353" s="72"/>
      <c r="AN2353" s="72"/>
      <c r="AQ2353" s="72"/>
      <c r="AT2353" s="72"/>
      <c r="AW2353" s="72"/>
      <c r="AZ2353" s="72"/>
    </row>
    <row r="2354" spans="1:52">
      <c r="A2354" s="131"/>
      <c r="B2354" s="72"/>
      <c r="D2354" s="72"/>
      <c r="G2354" s="72"/>
      <c r="J2354" s="72"/>
      <c r="M2354" s="72"/>
      <c r="P2354" s="72"/>
      <c r="S2354" s="72"/>
      <c r="V2354" s="72"/>
      <c r="Y2354" s="72"/>
      <c r="AB2354" s="72"/>
      <c r="AE2354" s="72"/>
      <c r="AH2354" s="72"/>
      <c r="AK2354" s="72"/>
      <c r="AN2354" s="72"/>
      <c r="AQ2354" s="72"/>
      <c r="AT2354" s="72"/>
      <c r="AW2354" s="72"/>
      <c r="AZ2354" s="72"/>
    </row>
    <row r="2355" spans="1:52">
      <c r="A2355" s="131"/>
      <c r="B2355" s="72"/>
      <c r="D2355" s="72"/>
      <c r="G2355" s="72"/>
      <c r="J2355" s="72"/>
      <c r="M2355" s="72"/>
      <c r="P2355" s="72"/>
      <c r="S2355" s="72"/>
      <c r="V2355" s="72"/>
      <c r="Y2355" s="72"/>
      <c r="AB2355" s="72"/>
      <c r="AE2355" s="72"/>
      <c r="AH2355" s="72"/>
      <c r="AK2355" s="72"/>
      <c r="AN2355" s="72"/>
      <c r="AQ2355" s="72"/>
      <c r="AT2355" s="72"/>
      <c r="AW2355" s="72"/>
      <c r="AZ2355" s="72"/>
    </row>
    <row r="2356" spans="1:52">
      <c r="A2356" s="131"/>
      <c r="B2356" s="72"/>
      <c r="D2356" s="72"/>
      <c r="G2356" s="72"/>
      <c r="J2356" s="72"/>
      <c r="M2356" s="72"/>
      <c r="P2356" s="72"/>
      <c r="S2356" s="72"/>
      <c r="V2356" s="72"/>
      <c r="Y2356" s="72"/>
      <c r="AB2356" s="72"/>
      <c r="AE2356" s="72"/>
      <c r="AH2356" s="72"/>
      <c r="AK2356" s="72"/>
      <c r="AN2356" s="72"/>
      <c r="AQ2356" s="72"/>
      <c r="AT2356" s="72"/>
      <c r="AW2356" s="72"/>
      <c r="AZ2356" s="72"/>
    </row>
    <row r="2357" spans="1:52">
      <c r="A2357" s="131"/>
      <c r="B2357" s="72"/>
      <c r="D2357" s="72"/>
      <c r="G2357" s="72"/>
      <c r="J2357" s="72"/>
      <c r="M2357" s="72"/>
      <c r="P2357" s="72"/>
      <c r="S2357" s="72"/>
      <c r="V2357" s="72"/>
      <c r="Y2357" s="72"/>
      <c r="AB2357" s="72"/>
      <c r="AE2357" s="72"/>
      <c r="AH2357" s="72"/>
      <c r="AK2357" s="72"/>
      <c r="AN2357" s="72"/>
      <c r="AQ2357" s="72"/>
      <c r="AT2357" s="72"/>
      <c r="AW2357" s="72"/>
      <c r="AZ2357" s="72"/>
    </row>
    <row r="2358" spans="1:52">
      <c r="A2358" s="131"/>
      <c r="B2358" s="72"/>
      <c r="D2358" s="72"/>
      <c r="G2358" s="72"/>
      <c r="J2358" s="72"/>
      <c r="M2358" s="72"/>
      <c r="P2358" s="72"/>
      <c r="S2358" s="72"/>
      <c r="V2358" s="72"/>
      <c r="Y2358" s="72"/>
      <c r="AB2358" s="72"/>
      <c r="AE2358" s="72"/>
      <c r="AH2358" s="72"/>
      <c r="AK2358" s="72"/>
      <c r="AN2358" s="72"/>
      <c r="AQ2358" s="72"/>
      <c r="AT2358" s="72"/>
      <c r="AW2358" s="72"/>
      <c r="AZ2358" s="72"/>
    </row>
    <row r="2359" spans="1:52">
      <c r="A2359" s="131"/>
      <c r="B2359" s="72"/>
      <c r="D2359" s="72"/>
      <c r="G2359" s="72"/>
      <c r="J2359" s="72"/>
      <c r="M2359" s="72"/>
      <c r="P2359" s="72"/>
      <c r="S2359" s="72"/>
      <c r="V2359" s="72"/>
      <c r="Y2359" s="72"/>
      <c r="AB2359" s="72"/>
      <c r="AE2359" s="72"/>
      <c r="AH2359" s="72"/>
      <c r="AK2359" s="72"/>
      <c r="AN2359" s="72"/>
      <c r="AQ2359" s="72"/>
      <c r="AT2359" s="72"/>
      <c r="AW2359" s="72"/>
      <c r="AZ2359" s="72"/>
    </row>
    <row r="2360" spans="1:52">
      <c r="A2360" s="131"/>
      <c r="B2360" s="72"/>
      <c r="D2360" s="72"/>
      <c r="G2360" s="72"/>
      <c r="J2360" s="72"/>
      <c r="M2360" s="72"/>
      <c r="P2360" s="72"/>
      <c r="S2360" s="72"/>
      <c r="V2360" s="72"/>
      <c r="Y2360" s="72"/>
      <c r="AB2360" s="72"/>
      <c r="AE2360" s="72"/>
      <c r="AH2360" s="72"/>
      <c r="AK2360" s="72"/>
      <c r="AN2360" s="72"/>
      <c r="AQ2360" s="72"/>
      <c r="AT2360" s="72"/>
      <c r="AW2360" s="72"/>
      <c r="AZ2360" s="72"/>
    </row>
    <row r="2361" spans="1:52">
      <c r="A2361" s="131"/>
      <c r="B2361" s="72"/>
      <c r="D2361" s="72"/>
      <c r="G2361" s="72"/>
      <c r="J2361" s="72"/>
      <c r="M2361" s="72"/>
      <c r="P2361" s="72"/>
      <c r="S2361" s="72"/>
      <c r="V2361" s="72"/>
      <c r="Y2361" s="72"/>
      <c r="AB2361" s="72"/>
      <c r="AE2361" s="72"/>
      <c r="AH2361" s="72"/>
      <c r="AK2361" s="72"/>
      <c r="AN2361" s="72"/>
      <c r="AQ2361" s="72"/>
      <c r="AT2361" s="72"/>
      <c r="AW2361" s="72"/>
      <c r="AZ2361" s="72"/>
    </row>
    <row r="2362" spans="1:52">
      <c r="A2362" s="131"/>
      <c r="B2362" s="72"/>
      <c r="D2362" s="72"/>
      <c r="G2362" s="72"/>
      <c r="J2362" s="72"/>
      <c r="M2362" s="72"/>
      <c r="P2362" s="72"/>
      <c r="S2362" s="72"/>
      <c r="V2362" s="72"/>
      <c r="Y2362" s="72"/>
      <c r="AB2362" s="72"/>
      <c r="AE2362" s="72"/>
      <c r="AH2362" s="72"/>
      <c r="AK2362" s="72"/>
      <c r="AN2362" s="72"/>
      <c r="AQ2362" s="72"/>
      <c r="AT2362" s="72"/>
      <c r="AW2362" s="72"/>
      <c r="AZ2362" s="72"/>
    </row>
    <row r="2363" spans="1:52">
      <c r="A2363" s="131"/>
      <c r="B2363" s="72"/>
      <c r="D2363" s="72"/>
      <c r="G2363" s="72"/>
      <c r="J2363" s="72"/>
      <c r="M2363" s="72"/>
      <c r="P2363" s="72"/>
      <c r="S2363" s="72"/>
      <c r="V2363" s="72"/>
      <c r="Y2363" s="72"/>
      <c r="AB2363" s="72"/>
      <c r="AE2363" s="72"/>
      <c r="AH2363" s="72"/>
      <c r="AK2363" s="72"/>
      <c r="AN2363" s="72"/>
      <c r="AQ2363" s="72"/>
      <c r="AT2363" s="72"/>
      <c r="AW2363" s="72"/>
      <c r="AZ2363" s="72"/>
    </row>
    <row r="2364" spans="1:52">
      <c r="A2364" s="131"/>
      <c r="B2364" s="72"/>
      <c r="D2364" s="72"/>
      <c r="G2364" s="72"/>
      <c r="J2364" s="72"/>
      <c r="M2364" s="72"/>
      <c r="P2364" s="72"/>
      <c r="S2364" s="72"/>
      <c r="V2364" s="72"/>
      <c r="Y2364" s="72"/>
      <c r="AB2364" s="72"/>
      <c r="AE2364" s="72"/>
      <c r="AH2364" s="72"/>
      <c r="AK2364" s="72"/>
      <c r="AN2364" s="72"/>
      <c r="AQ2364" s="72"/>
      <c r="AT2364" s="72"/>
      <c r="AW2364" s="72"/>
      <c r="AZ2364" s="72"/>
    </row>
    <row r="2365" spans="1:52">
      <c r="A2365" s="131"/>
      <c r="B2365" s="72"/>
      <c r="D2365" s="72"/>
      <c r="G2365" s="72"/>
      <c r="J2365" s="72"/>
      <c r="M2365" s="72"/>
      <c r="P2365" s="72"/>
      <c r="S2365" s="72"/>
      <c r="V2365" s="72"/>
      <c r="Y2365" s="72"/>
      <c r="AB2365" s="72"/>
      <c r="AE2365" s="72"/>
      <c r="AH2365" s="72"/>
      <c r="AK2365" s="72"/>
      <c r="AN2365" s="72"/>
      <c r="AQ2365" s="72"/>
      <c r="AT2365" s="72"/>
      <c r="AW2365" s="72"/>
      <c r="AZ2365" s="72"/>
    </row>
    <row r="2366" spans="1:52">
      <c r="A2366" s="131"/>
      <c r="B2366" s="72"/>
      <c r="D2366" s="72"/>
      <c r="G2366" s="72"/>
      <c r="J2366" s="72"/>
      <c r="M2366" s="72"/>
      <c r="P2366" s="72"/>
      <c r="S2366" s="72"/>
      <c r="V2366" s="72"/>
      <c r="Y2366" s="72"/>
      <c r="AB2366" s="72"/>
      <c r="AE2366" s="72"/>
      <c r="AH2366" s="72"/>
      <c r="AK2366" s="72"/>
      <c r="AN2366" s="72"/>
      <c r="AQ2366" s="72"/>
      <c r="AT2366" s="72"/>
      <c r="AW2366" s="72"/>
      <c r="AZ2366" s="72"/>
    </row>
    <row r="2367" spans="1:52">
      <c r="A2367" s="131"/>
      <c r="B2367" s="72"/>
      <c r="D2367" s="72"/>
      <c r="G2367" s="72"/>
      <c r="J2367" s="72"/>
      <c r="M2367" s="72"/>
      <c r="P2367" s="72"/>
      <c r="S2367" s="72"/>
      <c r="V2367" s="72"/>
      <c r="Y2367" s="72"/>
      <c r="AB2367" s="72"/>
      <c r="AE2367" s="72"/>
      <c r="AH2367" s="72"/>
      <c r="AK2367" s="72"/>
      <c r="AN2367" s="72"/>
      <c r="AQ2367" s="72"/>
      <c r="AT2367" s="72"/>
      <c r="AW2367" s="72"/>
      <c r="AZ2367" s="72"/>
    </row>
    <row r="2368" spans="1:52">
      <c r="A2368" s="131"/>
      <c r="B2368" s="72"/>
      <c r="D2368" s="72"/>
      <c r="G2368" s="72"/>
      <c r="J2368" s="72"/>
      <c r="M2368" s="72"/>
      <c r="P2368" s="72"/>
      <c r="S2368" s="72"/>
      <c r="V2368" s="72"/>
      <c r="Y2368" s="72"/>
      <c r="AB2368" s="72"/>
      <c r="AE2368" s="72"/>
      <c r="AH2368" s="72"/>
      <c r="AK2368" s="72"/>
      <c r="AN2368" s="72"/>
      <c r="AQ2368" s="72"/>
      <c r="AT2368" s="72"/>
      <c r="AW2368" s="72"/>
      <c r="AZ2368" s="72"/>
    </row>
    <row r="2369" spans="1:52">
      <c r="A2369" s="131"/>
      <c r="B2369" s="72"/>
      <c r="D2369" s="72"/>
      <c r="G2369" s="72"/>
      <c r="J2369" s="72"/>
      <c r="M2369" s="72"/>
      <c r="P2369" s="72"/>
      <c r="S2369" s="72"/>
      <c r="V2369" s="72"/>
      <c r="Y2369" s="72"/>
      <c r="AB2369" s="72"/>
      <c r="AE2369" s="72"/>
      <c r="AH2369" s="72"/>
      <c r="AK2369" s="72"/>
      <c r="AN2369" s="72"/>
      <c r="AQ2369" s="72"/>
      <c r="AT2369" s="72"/>
      <c r="AW2369" s="72"/>
      <c r="AZ2369" s="72"/>
    </row>
    <row r="2370" spans="1:52">
      <c r="A2370" s="131"/>
      <c r="B2370" s="72"/>
      <c r="D2370" s="72"/>
      <c r="G2370" s="72"/>
      <c r="J2370" s="72"/>
      <c r="M2370" s="72"/>
      <c r="P2370" s="72"/>
      <c r="S2370" s="72"/>
      <c r="V2370" s="72"/>
      <c r="Y2370" s="72"/>
      <c r="AB2370" s="72"/>
      <c r="AE2370" s="72"/>
      <c r="AH2370" s="72"/>
      <c r="AK2370" s="72"/>
      <c r="AN2370" s="72"/>
      <c r="AQ2370" s="72"/>
      <c r="AT2370" s="72"/>
      <c r="AW2370" s="72"/>
      <c r="AZ2370" s="72"/>
    </row>
    <row r="2371" spans="1:52">
      <c r="A2371" s="131"/>
      <c r="B2371" s="72"/>
      <c r="D2371" s="72"/>
      <c r="G2371" s="72"/>
      <c r="J2371" s="72"/>
      <c r="M2371" s="72"/>
      <c r="P2371" s="72"/>
      <c r="S2371" s="72"/>
      <c r="V2371" s="72"/>
      <c r="Y2371" s="72"/>
      <c r="AB2371" s="72"/>
      <c r="AE2371" s="72"/>
      <c r="AH2371" s="72"/>
      <c r="AK2371" s="72"/>
      <c r="AN2371" s="72"/>
      <c r="AQ2371" s="72"/>
      <c r="AT2371" s="72"/>
      <c r="AW2371" s="72"/>
      <c r="AZ2371" s="72"/>
    </row>
    <row r="2372" spans="1:52">
      <c r="A2372" s="131"/>
      <c r="B2372" s="72"/>
      <c r="D2372" s="72"/>
      <c r="G2372" s="72"/>
      <c r="J2372" s="72"/>
      <c r="M2372" s="72"/>
      <c r="P2372" s="72"/>
      <c r="S2372" s="72"/>
      <c r="V2372" s="72"/>
      <c r="Y2372" s="72"/>
      <c r="AB2372" s="72"/>
      <c r="AE2372" s="72"/>
      <c r="AH2372" s="72"/>
      <c r="AK2372" s="72"/>
      <c r="AN2372" s="72"/>
      <c r="AQ2372" s="72"/>
      <c r="AT2372" s="72"/>
      <c r="AW2372" s="72"/>
      <c r="AZ2372" s="72"/>
    </row>
    <row r="2373" spans="1:52">
      <c r="A2373" s="131"/>
      <c r="B2373" s="72"/>
      <c r="D2373" s="72"/>
      <c r="G2373" s="72"/>
      <c r="J2373" s="72"/>
      <c r="M2373" s="72"/>
      <c r="P2373" s="72"/>
      <c r="S2373" s="72"/>
      <c r="V2373" s="72"/>
      <c r="Y2373" s="72"/>
      <c r="AB2373" s="72"/>
      <c r="AE2373" s="72"/>
      <c r="AH2373" s="72"/>
      <c r="AK2373" s="72"/>
      <c r="AN2373" s="72"/>
      <c r="AQ2373" s="72"/>
      <c r="AT2373" s="72"/>
      <c r="AW2373" s="72"/>
      <c r="AZ2373" s="72"/>
    </row>
    <row r="2374" spans="1:52">
      <c r="A2374" s="131"/>
      <c r="B2374" s="72"/>
      <c r="D2374" s="72"/>
      <c r="G2374" s="72"/>
      <c r="J2374" s="72"/>
      <c r="M2374" s="72"/>
      <c r="P2374" s="72"/>
      <c r="S2374" s="72"/>
      <c r="V2374" s="72"/>
      <c r="Y2374" s="72"/>
      <c r="AB2374" s="72"/>
      <c r="AE2374" s="72"/>
      <c r="AH2374" s="72"/>
      <c r="AK2374" s="72"/>
      <c r="AN2374" s="72"/>
      <c r="AQ2374" s="72"/>
      <c r="AT2374" s="72"/>
      <c r="AW2374" s="72"/>
      <c r="AZ2374" s="72"/>
    </row>
    <row r="2375" spans="1:52">
      <c r="A2375" s="131"/>
      <c r="B2375" s="72"/>
      <c r="D2375" s="72"/>
      <c r="G2375" s="72"/>
      <c r="J2375" s="72"/>
      <c r="M2375" s="72"/>
      <c r="P2375" s="72"/>
      <c r="S2375" s="72"/>
      <c r="V2375" s="72"/>
      <c r="Y2375" s="72"/>
      <c r="AB2375" s="72"/>
      <c r="AE2375" s="72"/>
      <c r="AH2375" s="72"/>
      <c r="AK2375" s="72"/>
      <c r="AN2375" s="72"/>
      <c r="AQ2375" s="72"/>
      <c r="AT2375" s="72"/>
      <c r="AW2375" s="72"/>
      <c r="AZ2375" s="72"/>
    </row>
    <row r="2376" spans="1:52">
      <c r="A2376" s="131"/>
      <c r="B2376" s="72"/>
      <c r="D2376" s="72"/>
      <c r="G2376" s="72"/>
      <c r="J2376" s="72"/>
      <c r="M2376" s="72"/>
      <c r="P2376" s="72"/>
      <c r="S2376" s="72"/>
      <c r="V2376" s="72"/>
      <c r="Y2376" s="72"/>
      <c r="AB2376" s="72"/>
      <c r="AE2376" s="72"/>
      <c r="AH2376" s="72"/>
      <c r="AK2376" s="72"/>
      <c r="AN2376" s="72"/>
      <c r="AQ2376" s="72"/>
      <c r="AT2376" s="72"/>
      <c r="AW2376" s="72"/>
      <c r="AZ2376" s="72"/>
    </row>
    <row r="2377" spans="1:52">
      <c r="A2377" s="131"/>
      <c r="B2377" s="72"/>
      <c r="D2377" s="72"/>
      <c r="G2377" s="72"/>
      <c r="J2377" s="72"/>
      <c r="M2377" s="72"/>
      <c r="P2377" s="72"/>
      <c r="S2377" s="72"/>
      <c r="V2377" s="72"/>
      <c r="Y2377" s="72"/>
      <c r="AB2377" s="72"/>
      <c r="AE2377" s="72"/>
      <c r="AH2377" s="72"/>
      <c r="AK2377" s="72"/>
      <c r="AN2377" s="72"/>
      <c r="AQ2377" s="72"/>
      <c r="AT2377" s="72"/>
      <c r="AW2377" s="72"/>
      <c r="AZ2377" s="72"/>
    </row>
    <row r="2378" spans="1:52">
      <c r="A2378" s="131"/>
      <c r="B2378" s="72"/>
      <c r="D2378" s="72"/>
      <c r="G2378" s="72"/>
      <c r="J2378" s="72"/>
      <c r="M2378" s="72"/>
      <c r="P2378" s="72"/>
      <c r="S2378" s="72"/>
      <c r="V2378" s="72"/>
      <c r="Y2378" s="72"/>
      <c r="AB2378" s="72"/>
      <c r="AE2378" s="72"/>
      <c r="AH2378" s="72"/>
      <c r="AK2378" s="72"/>
      <c r="AN2378" s="72"/>
      <c r="AQ2378" s="72"/>
      <c r="AT2378" s="72"/>
      <c r="AW2378" s="72"/>
      <c r="AZ2378" s="72"/>
    </row>
    <row r="2379" spans="1:52">
      <c r="A2379" s="131"/>
      <c r="B2379" s="72"/>
      <c r="D2379" s="72"/>
      <c r="G2379" s="72"/>
      <c r="J2379" s="72"/>
      <c r="M2379" s="72"/>
      <c r="P2379" s="72"/>
      <c r="S2379" s="72"/>
      <c r="V2379" s="72"/>
      <c r="Y2379" s="72"/>
      <c r="AB2379" s="72"/>
      <c r="AE2379" s="72"/>
      <c r="AH2379" s="72"/>
      <c r="AK2379" s="72"/>
      <c r="AN2379" s="72"/>
      <c r="AQ2379" s="72"/>
      <c r="AT2379" s="72"/>
      <c r="AW2379" s="72"/>
      <c r="AZ2379" s="72"/>
    </row>
    <row r="2380" spans="1:52">
      <c r="A2380" s="131"/>
      <c r="B2380" s="72"/>
      <c r="D2380" s="72"/>
      <c r="G2380" s="72"/>
      <c r="J2380" s="72"/>
      <c r="M2380" s="72"/>
      <c r="P2380" s="72"/>
      <c r="S2380" s="72"/>
      <c r="V2380" s="72"/>
      <c r="Y2380" s="72"/>
      <c r="AB2380" s="72"/>
      <c r="AE2380" s="72"/>
      <c r="AH2380" s="72"/>
      <c r="AK2380" s="72"/>
      <c r="AN2380" s="72"/>
      <c r="AQ2380" s="72"/>
      <c r="AT2380" s="72"/>
      <c r="AW2380" s="72"/>
      <c r="AZ2380" s="72"/>
    </row>
    <row r="2381" spans="1:52">
      <c r="A2381" s="131"/>
      <c r="B2381" s="72"/>
      <c r="D2381" s="72"/>
      <c r="G2381" s="72"/>
      <c r="J2381" s="72"/>
      <c r="M2381" s="72"/>
      <c r="P2381" s="72"/>
      <c r="S2381" s="72"/>
      <c r="V2381" s="72"/>
      <c r="Y2381" s="72"/>
      <c r="AB2381" s="72"/>
      <c r="AE2381" s="72"/>
      <c r="AH2381" s="72"/>
      <c r="AK2381" s="72"/>
      <c r="AN2381" s="72"/>
      <c r="AQ2381" s="72"/>
      <c r="AT2381" s="72"/>
      <c r="AW2381" s="72"/>
      <c r="AZ2381" s="72"/>
    </row>
    <row r="2382" spans="1:52">
      <c r="A2382" s="131"/>
      <c r="B2382" s="72"/>
      <c r="D2382" s="72"/>
      <c r="G2382" s="72"/>
      <c r="J2382" s="72"/>
      <c r="M2382" s="72"/>
      <c r="P2382" s="72"/>
      <c r="S2382" s="72"/>
      <c r="V2382" s="72"/>
      <c r="Y2382" s="72"/>
      <c r="AB2382" s="72"/>
      <c r="AE2382" s="72"/>
      <c r="AH2382" s="72"/>
      <c r="AK2382" s="72"/>
      <c r="AN2382" s="72"/>
      <c r="AQ2382" s="72"/>
      <c r="AT2382" s="72"/>
      <c r="AW2382" s="72"/>
      <c r="AZ2382" s="72"/>
    </row>
    <row r="2383" spans="1:52">
      <c r="A2383" s="131"/>
      <c r="B2383" s="72"/>
      <c r="D2383" s="72"/>
      <c r="G2383" s="72"/>
      <c r="J2383" s="72"/>
      <c r="M2383" s="72"/>
      <c r="P2383" s="72"/>
      <c r="S2383" s="72"/>
      <c r="V2383" s="72"/>
      <c r="Y2383" s="72"/>
      <c r="AB2383" s="72"/>
      <c r="AE2383" s="72"/>
      <c r="AH2383" s="72"/>
      <c r="AK2383" s="72"/>
      <c r="AN2383" s="72"/>
      <c r="AQ2383" s="72"/>
      <c r="AT2383" s="72"/>
      <c r="AW2383" s="72"/>
      <c r="AZ2383" s="72"/>
    </row>
    <row r="2384" spans="1:52">
      <c r="A2384" s="131"/>
      <c r="B2384" s="72"/>
      <c r="D2384" s="72"/>
      <c r="G2384" s="72"/>
      <c r="J2384" s="72"/>
      <c r="M2384" s="72"/>
      <c r="P2384" s="72"/>
      <c r="S2384" s="72"/>
      <c r="V2384" s="72"/>
      <c r="Y2384" s="72"/>
      <c r="AB2384" s="72"/>
      <c r="AE2384" s="72"/>
      <c r="AH2384" s="72"/>
      <c r="AK2384" s="72"/>
      <c r="AN2384" s="72"/>
      <c r="AQ2384" s="72"/>
      <c r="AT2384" s="72"/>
      <c r="AW2384" s="72"/>
      <c r="AZ2384" s="72"/>
    </row>
    <row r="2385" spans="1:52">
      <c r="A2385" s="131"/>
      <c r="B2385" s="72"/>
      <c r="D2385" s="72"/>
      <c r="G2385" s="72"/>
      <c r="J2385" s="72"/>
      <c r="M2385" s="72"/>
      <c r="P2385" s="72"/>
      <c r="S2385" s="72"/>
      <c r="V2385" s="72"/>
      <c r="Y2385" s="72"/>
      <c r="AB2385" s="72"/>
      <c r="AE2385" s="72"/>
      <c r="AH2385" s="72"/>
      <c r="AK2385" s="72"/>
      <c r="AN2385" s="72"/>
      <c r="AQ2385" s="72"/>
      <c r="AT2385" s="72"/>
      <c r="AW2385" s="72"/>
      <c r="AZ2385" s="72"/>
    </row>
    <row r="2386" spans="1:52">
      <c r="A2386" s="131"/>
      <c r="B2386" s="72"/>
      <c r="D2386" s="72"/>
      <c r="G2386" s="72"/>
      <c r="J2386" s="72"/>
      <c r="M2386" s="72"/>
      <c r="P2386" s="72"/>
      <c r="S2386" s="72"/>
      <c r="V2386" s="72"/>
      <c r="Y2386" s="72"/>
      <c r="AB2386" s="72"/>
      <c r="AE2386" s="72"/>
      <c r="AH2386" s="72"/>
      <c r="AK2386" s="72"/>
      <c r="AN2386" s="72"/>
      <c r="AQ2386" s="72"/>
      <c r="AT2386" s="72"/>
      <c r="AW2386" s="72"/>
      <c r="AZ2386" s="72"/>
    </row>
    <row r="2387" spans="1:52">
      <c r="A2387" s="131"/>
      <c r="B2387" s="72"/>
      <c r="D2387" s="72"/>
      <c r="G2387" s="72"/>
      <c r="J2387" s="72"/>
      <c r="M2387" s="72"/>
      <c r="P2387" s="72"/>
      <c r="S2387" s="72"/>
      <c r="V2387" s="72"/>
      <c r="Y2387" s="72"/>
      <c r="AB2387" s="72"/>
      <c r="AE2387" s="72"/>
      <c r="AH2387" s="72"/>
      <c r="AK2387" s="72"/>
      <c r="AN2387" s="72"/>
      <c r="AQ2387" s="72"/>
      <c r="AT2387" s="72"/>
      <c r="AW2387" s="72"/>
      <c r="AZ2387" s="72"/>
    </row>
    <row r="2388" spans="1:52">
      <c r="A2388" s="131"/>
      <c r="B2388" s="72"/>
      <c r="D2388" s="72"/>
      <c r="G2388" s="72"/>
      <c r="J2388" s="72"/>
      <c r="M2388" s="72"/>
      <c r="P2388" s="72"/>
      <c r="S2388" s="72"/>
      <c r="V2388" s="72"/>
      <c r="Y2388" s="72"/>
      <c r="AB2388" s="72"/>
      <c r="AE2388" s="72"/>
      <c r="AH2388" s="72"/>
      <c r="AK2388" s="72"/>
      <c r="AN2388" s="72"/>
      <c r="AQ2388" s="72"/>
      <c r="AT2388" s="72"/>
      <c r="AW2388" s="72"/>
      <c r="AZ2388" s="72"/>
    </row>
    <row r="2389" spans="1:52">
      <c r="A2389" s="131"/>
      <c r="B2389" s="72"/>
      <c r="D2389" s="72"/>
      <c r="G2389" s="72"/>
      <c r="J2389" s="72"/>
      <c r="M2389" s="72"/>
      <c r="P2389" s="72"/>
      <c r="S2389" s="72"/>
      <c r="V2389" s="72"/>
      <c r="Y2389" s="72"/>
      <c r="AB2389" s="72"/>
      <c r="AE2389" s="72"/>
      <c r="AH2389" s="72"/>
      <c r="AK2389" s="72"/>
      <c r="AN2389" s="72"/>
      <c r="AQ2389" s="72"/>
      <c r="AT2389" s="72"/>
      <c r="AW2389" s="72"/>
      <c r="AZ2389" s="72"/>
    </row>
    <row r="2390" spans="1:52">
      <c r="A2390" s="131"/>
      <c r="B2390" s="72"/>
      <c r="D2390" s="72"/>
      <c r="G2390" s="72"/>
      <c r="J2390" s="72"/>
      <c r="M2390" s="72"/>
      <c r="P2390" s="72"/>
      <c r="S2390" s="72"/>
      <c r="V2390" s="72"/>
      <c r="Y2390" s="72"/>
      <c r="AB2390" s="72"/>
      <c r="AE2390" s="72"/>
      <c r="AH2390" s="72"/>
      <c r="AK2390" s="72"/>
      <c r="AN2390" s="72"/>
      <c r="AQ2390" s="72"/>
      <c r="AT2390" s="72"/>
      <c r="AW2390" s="72"/>
      <c r="AZ2390" s="72"/>
    </row>
    <row r="2391" spans="1:52">
      <c r="A2391" s="131"/>
      <c r="B2391" s="72"/>
      <c r="D2391" s="72"/>
      <c r="G2391" s="72"/>
      <c r="J2391" s="72"/>
      <c r="M2391" s="72"/>
      <c r="P2391" s="72"/>
      <c r="S2391" s="72"/>
      <c r="V2391" s="72"/>
      <c r="Y2391" s="72"/>
      <c r="AB2391" s="72"/>
      <c r="AE2391" s="72"/>
      <c r="AH2391" s="72"/>
      <c r="AK2391" s="72"/>
      <c r="AN2391" s="72"/>
      <c r="AQ2391" s="72"/>
      <c r="AT2391" s="72"/>
      <c r="AW2391" s="72"/>
      <c r="AZ2391" s="72"/>
    </row>
    <row r="2392" spans="1:52">
      <c r="A2392" s="131"/>
      <c r="B2392" s="72"/>
      <c r="D2392" s="72"/>
      <c r="G2392" s="72"/>
      <c r="J2392" s="72"/>
      <c r="M2392" s="72"/>
      <c r="P2392" s="72"/>
      <c r="S2392" s="72"/>
      <c r="V2392" s="72"/>
      <c r="Y2392" s="72"/>
      <c r="AB2392" s="72"/>
      <c r="AE2392" s="72"/>
      <c r="AH2392" s="72"/>
      <c r="AK2392" s="72"/>
      <c r="AN2392" s="72"/>
      <c r="AQ2392" s="72"/>
      <c r="AT2392" s="72"/>
      <c r="AW2392" s="72"/>
      <c r="AZ2392" s="72"/>
    </row>
    <row r="2393" spans="1:52">
      <c r="A2393" s="131"/>
      <c r="B2393" s="72"/>
      <c r="D2393" s="72"/>
      <c r="G2393" s="72"/>
      <c r="J2393" s="72"/>
      <c r="M2393" s="72"/>
      <c r="P2393" s="72"/>
      <c r="S2393" s="72"/>
      <c r="V2393" s="72"/>
      <c r="Y2393" s="72"/>
      <c r="AB2393" s="72"/>
      <c r="AE2393" s="72"/>
      <c r="AH2393" s="72"/>
      <c r="AK2393" s="72"/>
      <c r="AN2393" s="72"/>
      <c r="AQ2393" s="72"/>
      <c r="AT2393" s="72"/>
      <c r="AW2393" s="72"/>
      <c r="AZ2393" s="72"/>
    </row>
    <row r="2394" spans="1:52">
      <c r="A2394" s="131"/>
      <c r="B2394" s="72"/>
      <c r="D2394" s="72"/>
      <c r="G2394" s="72"/>
      <c r="J2394" s="72"/>
      <c r="M2394" s="72"/>
      <c r="P2394" s="72"/>
      <c r="S2394" s="72"/>
      <c r="V2394" s="72"/>
      <c r="Y2394" s="72"/>
      <c r="AB2394" s="72"/>
      <c r="AE2394" s="72"/>
      <c r="AH2394" s="72"/>
      <c r="AK2394" s="72"/>
      <c r="AN2394" s="72"/>
      <c r="AQ2394" s="72"/>
      <c r="AT2394" s="72"/>
      <c r="AW2394" s="72"/>
      <c r="AZ2394" s="72"/>
    </row>
    <row r="2395" spans="1:52">
      <c r="A2395" s="131"/>
      <c r="B2395" s="72"/>
      <c r="D2395" s="72"/>
      <c r="G2395" s="72"/>
      <c r="J2395" s="72"/>
      <c r="M2395" s="72"/>
      <c r="P2395" s="72"/>
      <c r="S2395" s="72"/>
      <c r="V2395" s="72"/>
      <c r="Y2395" s="72"/>
      <c r="AB2395" s="72"/>
      <c r="AE2395" s="72"/>
      <c r="AH2395" s="72"/>
      <c r="AK2395" s="72"/>
      <c r="AN2395" s="72"/>
      <c r="AQ2395" s="72"/>
      <c r="AT2395" s="72"/>
      <c r="AW2395" s="72"/>
      <c r="AZ2395" s="72"/>
    </row>
    <row r="2396" spans="1:52">
      <c r="A2396" s="131"/>
      <c r="B2396" s="72"/>
      <c r="D2396" s="72"/>
      <c r="G2396" s="72"/>
      <c r="J2396" s="72"/>
      <c r="M2396" s="72"/>
      <c r="P2396" s="72"/>
      <c r="S2396" s="72"/>
      <c r="V2396" s="72"/>
      <c r="Y2396" s="72"/>
      <c r="AB2396" s="72"/>
      <c r="AE2396" s="72"/>
      <c r="AH2396" s="72"/>
      <c r="AK2396" s="72"/>
      <c r="AN2396" s="72"/>
      <c r="AQ2396" s="72"/>
      <c r="AT2396" s="72"/>
      <c r="AW2396" s="72"/>
      <c r="AZ2396" s="72"/>
    </row>
    <row r="2397" spans="1:52">
      <c r="A2397" s="131"/>
      <c r="B2397" s="72"/>
      <c r="D2397" s="72"/>
      <c r="G2397" s="72"/>
      <c r="J2397" s="72"/>
      <c r="M2397" s="72"/>
      <c r="P2397" s="72"/>
      <c r="S2397" s="72"/>
      <c r="V2397" s="72"/>
      <c r="Y2397" s="72"/>
      <c r="AB2397" s="72"/>
      <c r="AE2397" s="72"/>
      <c r="AH2397" s="72"/>
      <c r="AK2397" s="72"/>
      <c r="AN2397" s="72"/>
      <c r="AQ2397" s="72"/>
      <c r="AT2397" s="72"/>
      <c r="AW2397" s="72"/>
      <c r="AZ2397" s="72"/>
    </row>
    <row r="2398" spans="1:52">
      <c r="A2398" s="131"/>
      <c r="B2398" s="72"/>
      <c r="D2398" s="72"/>
      <c r="G2398" s="72"/>
      <c r="J2398" s="72"/>
      <c r="M2398" s="72"/>
      <c r="P2398" s="72"/>
      <c r="S2398" s="72"/>
      <c r="V2398" s="72"/>
      <c r="Y2398" s="72"/>
      <c r="AB2398" s="72"/>
      <c r="AE2398" s="72"/>
      <c r="AH2398" s="72"/>
      <c r="AK2398" s="72"/>
      <c r="AN2398" s="72"/>
      <c r="AQ2398" s="72"/>
      <c r="AT2398" s="72"/>
      <c r="AW2398" s="72"/>
      <c r="AZ2398" s="72"/>
    </row>
    <row r="2399" spans="1:52">
      <c r="A2399" s="131"/>
      <c r="B2399" s="72"/>
      <c r="D2399" s="72"/>
      <c r="G2399" s="72"/>
      <c r="J2399" s="72"/>
      <c r="M2399" s="72"/>
      <c r="P2399" s="72"/>
      <c r="S2399" s="72"/>
      <c r="V2399" s="72"/>
      <c r="Y2399" s="72"/>
      <c r="AB2399" s="72"/>
      <c r="AE2399" s="72"/>
      <c r="AH2399" s="72"/>
      <c r="AK2399" s="72"/>
      <c r="AN2399" s="72"/>
      <c r="AQ2399" s="72"/>
      <c r="AT2399" s="72"/>
      <c r="AW2399" s="72"/>
      <c r="AZ2399" s="72"/>
    </row>
    <row r="2400" spans="1:52">
      <c r="A2400" s="131"/>
      <c r="B2400" s="72"/>
      <c r="D2400" s="72"/>
      <c r="G2400" s="72"/>
      <c r="J2400" s="72"/>
      <c r="M2400" s="72"/>
      <c r="P2400" s="72"/>
      <c r="S2400" s="72"/>
      <c r="V2400" s="72"/>
      <c r="Y2400" s="72"/>
      <c r="AB2400" s="72"/>
      <c r="AE2400" s="72"/>
      <c r="AH2400" s="72"/>
      <c r="AK2400" s="72"/>
      <c r="AN2400" s="72"/>
      <c r="AQ2400" s="72"/>
      <c r="AT2400" s="72"/>
      <c r="AW2400" s="72"/>
      <c r="AZ2400" s="72"/>
    </row>
    <row r="2401" spans="1:52">
      <c r="A2401" s="131"/>
      <c r="B2401" s="72"/>
      <c r="D2401" s="72"/>
      <c r="G2401" s="72"/>
      <c r="J2401" s="72"/>
      <c r="M2401" s="72"/>
      <c r="P2401" s="72"/>
      <c r="S2401" s="72"/>
      <c r="V2401" s="72"/>
      <c r="Y2401" s="72"/>
      <c r="AB2401" s="72"/>
      <c r="AE2401" s="72"/>
      <c r="AH2401" s="72"/>
      <c r="AK2401" s="72"/>
      <c r="AN2401" s="72"/>
      <c r="AQ2401" s="72"/>
      <c r="AT2401" s="72"/>
      <c r="AW2401" s="72"/>
      <c r="AZ2401" s="72"/>
    </row>
    <row r="2402" spans="1:52">
      <c r="A2402" s="131"/>
      <c r="B2402" s="72"/>
      <c r="D2402" s="72"/>
      <c r="G2402" s="72"/>
      <c r="J2402" s="72"/>
      <c r="M2402" s="72"/>
      <c r="P2402" s="72"/>
      <c r="S2402" s="72"/>
      <c r="V2402" s="72"/>
      <c r="Y2402" s="72"/>
      <c r="AB2402" s="72"/>
      <c r="AE2402" s="72"/>
      <c r="AH2402" s="72"/>
      <c r="AK2402" s="72"/>
      <c r="AN2402" s="72"/>
      <c r="AQ2402" s="72"/>
      <c r="AT2402" s="72"/>
      <c r="AW2402" s="72"/>
      <c r="AZ2402" s="72"/>
    </row>
    <row r="2403" spans="1:52">
      <c r="A2403" s="131"/>
      <c r="B2403" s="72"/>
      <c r="D2403" s="72"/>
      <c r="G2403" s="72"/>
      <c r="J2403" s="72"/>
      <c r="M2403" s="72"/>
      <c r="P2403" s="72"/>
      <c r="S2403" s="72"/>
      <c r="V2403" s="72"/>
      <c r="Y2403" s="72"/>
      <c r="AB2403" s="72"/>
      <c r="AE2403" s="72"/>
      <c r="AH2403" s="72"/>
      <c r="AK2403" s="72"/>
      <c r="AN2403" s="72"/>
      <c r="AQ2403" s="72"/>
      <c r="AT2403" s="72"/>
      <c r="AW2403" s="72"/>
      <c r="AZ2403" s="72"/>
    </row>
    <row r="2404" spans="1:52">
      <c r="A2404" s="131"/>
      <c r="B2404" s="72"/>
      <c r="D2404" s="72"/>
      <c r="G2404" s="72"/>
      <c r="J2404" s="72"/>
      <c r="M2404" s="72"/>
      <c r="P2404" s="72"/>
      <c r="S2404" s="72"/>
      <c r="V2404" s="72"/>
      <c r="Y2404" s="72"/>
      <c r="AB2404" s="72"/>
      <c r="AE2404" s="72"/>
      <c r="AH2404" s="72"/>
      <c r="AK2404" s="72"/>
      <c r="AN2404" s="72"/>
      <c r="AQ2404" s="72"/>
      <c r="AT2404" s="72"/>
      <c r="AW2404" s="72"/>
      <c r="AZ2404" s="72"/>
    </row>
    <row r="2405" spans="1:52">
      <c r="A2405" s="131"/>
      <c r="B2405" s="72"/>
      <c r="D2405" s="72"/>
      <c r="G2405" s="72"/>
      <c r="J2405" s="72"/>
      <c r="M2405" s="72"/>
      <c r="P2405" s="72"/>
      <c r="S2405" s="72"/>
      <c r="V2405" s="72"/>
      <c r="Y2405" s="72"/>
      <c r="AB2405" s="72"/>
      <c r="AE2405" s="72"/>
      <c r="AH2405" s="72"/>
      <c r="AK2405" s="72"/>
      <c r="AN2405" s="72"/>
      <c r="AQ2405" s="72"/>
      <c r="AT2405" s="72"/>
      <c r="AW2405" s="72"/>
      <c r="AZ2405" s="72"/>
    </row>
    <row r="2406" spans="1:52">
      <c r="A2406" s="131"/>
      <c r="B2406" s="72"/>
      <c r="D2406" s="72"/>
      <c r="G2406" s="72"/>
      <c r="J2406" s="72"/>
      <c r="M2406" s="72"/>
      <c r="P2406" s="72"/>
      <c r="S2406" s="72"/>
      <c r="V2406" s="72"/>
      <c r="Y2406" s="72"/>
      <c r="AB2406" s="72"/>
      <c r="AE2406" s="72"/>
      <c r="AH2406" s="72"/>
      <c r="AK2406" s="72"/>
      <c r="AN2406" s="72"/>
      <c r="AQ2406" s="72"/>
      <c r="AT2406" s="72"/>
      <c r="AW2406" s="72"/>
      <c r="AZ2406" s="72"/>
    </row>
    <row r="2407" spans="1:52">
      <c r="A2407" s="131"/>
      <c r="B2407" s="72"/>
      <c r="D2407" s="72"/>
      <c r="G2407" s="72"/>
      <c r="J2407" s="72"/>
      <c r="M2407" s="72"/>
      <c r="P2407" s="72"/>
      <c r="S2407" s="72"/>
      <c r="V2407" s="72"/>
      <c r="Y2407" s="72"/>
      <c r="AB2407" s="72"/>
      <c r="AE2407" s="72"/>
      <c r="AH2407" s="72"/>
      <c r="AK2407" s="72"/>
      <c r="AN2407" s="72"/>
      <c r="AQ2407" s="72"/>
      <c r="AT2407" s="72"/>
      <c r="AW2407" s="72"/>
      <c r="AZ2407" s="72"/>
    </row>
    <row r="2408" spans="1:52">
      <c r="A2408" s="131"/>
      <c r="B2408" s="72"/>
      <c r="D2408" s="72"/>
      <c r="G2408" s="72"/>
      <c r="J2408" s="72"/>
      <c r="M2408" s="72"/>
      <c r="P2408" s="72"/>
      <c r="S2408" s="72"/>
      <c r="V2408" s="72"/>
      <c r="Y2408" s="72"/>
      <c r="AB2408" s="72"/>
      <c r="AE2408" s="72"/>
      <c r="AH2408" s="72"/>
      <c r="AK2408" s="72"/>
      <c r="AN2408" s="72"/>
      <c r="AQ2408" s="72"/>
      <c r="AT2408" s="72"/>
      <c r="AW2408" s="72"/>
      <c r="AZ2408" s="72"/>
    </row>
    <row r="2409" spans="1:52">
      <c r="A2409" s="131"/>
      <c r="B2409" s="72"/>
      <c r="D2409" s="72"/>
      <c r="G2409" s="72"/>
      <c r="J2409" s="72"/>
      <c r="M2409" s="72"/>
      <c r="P2409" s="72"/>
      <c r="S2409" s="72"/>
      <c r="V2409" s="72"/>
      <c r="Y2409" s="72"/>
      <c r="AB2409" s="72"/>
      <c r="AE2409" s="72"/>
      <c r="AH2409" s="72"/>
      <c r="AK2409" s="72"/>
      <c r="AN2409" s="72"/>
      <c r="AQ2409" s="72"/>
      <c r="AT2409" s="72"/>
      <c r="AW2409" s="72"/>
      <c r="AZ2409" s="72"/>
    </row>
    <row r="2410" spans="1:52">
      <c r="A2410" s="131"/>
      <c r="B2410" s="72"/>
      <c r="D2410" s="72"/>
      <c r="G2410" s="72"/>
      <c r="J2410" s="72"/>
      <c r="M2410" s="72"/>
      <c r="P2410" s="72"/>
      <c r="S2410" s="72"/>
      <c r="V2410" s="72"/>
      <c r="Y2410" s="72"/>
      <c r="AB2410" s="72"/>
      <c r="AE2410" s="72"/>
      <c r="AH2410" s="72"/>
      <c r="AK2410" s="72"/>
      <c r="AN2410" s="72"/>
      <c r="AQ2410" s="72"/>
      <c r="AT2410" s="72"/>
      <c r="AW2410" s="72"/>
      <c r="AZ2410" s="72"/>
    </row>
    <row r="2411" spans="1:52">
      <c r="A2411" s="131"/>
      <c r="B2411" s="72"/>
      <c r="D2411" s="72"/>
      <c r="G2411" s="72"/>
      <c r="J2411" s="72"/>
      <c r="M2411" s="72"/>
      <c r="P2411" s="72"/>
      <c r="S2411" s="72"/>
      <c r="V2411" s="72"/>
      <c r="Y2411" s="72"/>
      <c r="AB2411" s="72"/>
      <c r="AE2411" s="72"/>
      <c r="AH2411" s="72"/>
      <c r="AK2411" s="72"/>
      <c r="AN2411" s="72"/>
      <c r="AQ2411" s="72"/>
      <c r="AT2411" s="72"/>
      <c r="AW2411" s="72"/>
      <c r="AZ2411" s="72"/>
    </row>
    <row r="2412" spans="1:52">
      <c r="A2412" s="131"/>
      <c r="B2412" s="72"/>
      <c r="D2412" s="72"/>
      <c r="G2412" s="72"/>
      <c r="J2412" s="72"/>
      <c r="M2412" s="72"/>
      <c r="P2412" s="72"/>
      <c r="S2412" s="72"/>
      <c r="V2412" s="72"/>
      <c r="Y2412" s="72"/>
      <c r="AB2412" s="72"/>
      <c r="AE2412" s="72"/>
      <c r="AH2412" s="72"/>
      <c r="AK2412" s="72"/>
      <c r="AN2412" s="72"/>
      <c r="AQ2412" s="72"/>
      <c r="AT2412" s="72"/>
      <c r="AW2412" s="72"/>
      <c r="AZ2412" s="72"/>
    </row>
    <row r="2413" spans="1:52">
      <c r="A2413" s="131"/>
      <c r="B2413" s="72"/>
      <c r="D2413" s="72"/>
      <c r="G2413" s="72"/>
      <c r="J2413" s="72"/>
      <c r="M2413" s="72"/>
      <c r="P2413" s="72"/>
      <c r="S2413" s="72"/>
      <c r="V2413" s="72"/>
      <c r="Y2413" s="72"/>
      <c r="AB2413" s="72"/>
      <c r="AE2413" s="72"/>
      <c r="AH2413" s="72"/>
      <c r="AK2413" s="72"/>
      <c r="AN2413" s="72"/>
      <c r="AQ2413" s="72"/>
      <c r="AT2413" s="72"/>
      <c r="AW2413" s="72"/>
      <c r="AZ2413" s="72"/>
    </row>
    <row r="2414" spans="1:52">
      <c r="A2414" s="131"/>
      <c r="B2414" s="72"/>
      <c r="D2414" s="72"/>
      <c r="G2414" s="72"/>
      <c r="J2414" s="72"/>
      <c r="M2414" s="72"/>
      <c r="P2414" s="72"/>
      <c r="S2414" s="72"/>
      <c r="V2414" s="72"/>
      <c r="Y2414" s="72"/>
      <c r="AB2414" s="72"/>
      <c r="AE2414" s="72"/>
      <c r="AH2414" s="72"/>
      <c r="AK2414" s="72"/>
      <c r="AN2414" s="72"/>
      <c r="AQ2414" s="72"/>
      <c r="AT2414" s="72"/>
      <c r="AW2414" s="72"/>
      <c r="AZ2414" s="72"/>
    </row>
    <row r="2415" spans="1:52">
      <c r="A2415" s="131"/>
      <c r="B2415" s="72"/>
      <c r="D2415" s="72"/>
      <c r="G2415" s="72"/>
      <c r="J2415" s="72"/>
      <c r="M2415" s="72"/>
      <c r="P2415" s="72"/>
      <c r="S2415" s="72"/>
      <c r="V2415" s="72"/>
      <c r="Y2415" s="72"/>
      <c r="AB2415" s="72"/>
      <c r="AE2415" s="72"/>
      <c r="AH2415" s="72"/>
      <c r="AK2415" s="72"/>
      <c r="AN2415" s="72"/>
      <c r="AQ2415" s="72"/>
      <c r="AT2415" s="72"/>
      <c r="AW2415" s="72"/>
      <c r="AZ2415" s="72"/>
    </row>
    <row r="2416" spans="1:52">
      <c r="A2416" s="131"/>
      <c r="B2416" s="72"/>
      <c r="D2416" s="72"/>
      <c r="G2416" s="72"/>
      <c r="J2416" s="72"/>
      <c r="M2416" s="72"/>
      <c r="P2416" s="72"/>
      <c r="S2416" s="72"/>
      <c r="V2416" s="72"/>
      <c r="Y2416" s="72"/>
      <c r="AB2416" s="72"/>
      <c r="AE2416" s="72"/>
      <c r="AH2416" s="72"/>
      <c r="AK2416" s="72"/>
      <c r="AN2416" s="72"/>
      <c r="AQ2416" s="72"/>
      <c r="AT2416" s="72"/>
      <c r="AW2416" s="72"/>
      <c r="AZ2416" s="72"/>
    </row>
    <row r="2417" spans="1:52">
      <c r="A2417" s="131"/>
      <c r="B2417" s="72"/>
      <c r="D2417" s="72"/>
      <c r="G2417" s="72"/>
      <c r="J2417" s="72"/>
      <c r="M2417" s="72"/>
      <c r="P2417" s="72"/>
      <c r="S2417" s="72"/>
      <c r="V2417" s="72"/>
      <c r="Y2417" s="72"/>
      <c r="AB2417" s="72"/>
      <c r="AE2417" s="72"/>
      <c r="AH2417" s="72"/>
      <c r="AK2417" s="72"/>
      <c r="AN2417" s="72"/>
      <c r="AQ2417" s="72"/>
      <c r="AT2417" s="72"/>
      <c r="AW2417" s="72"/>
      <c r="AZ2417" s="72"/>
    </row>
    <row r="2418" spans="1:52">
      <c r="A2418" s="131"/>
      <c r="B2418" s="72"/>
      <c r="D2418" s="72"/>
      <c r="G2418" s="72"/>
      <c r="J2418" s="72"/>
      <c r="M2418" s="72"/>
      <c r="P2418" s="72"/>
      <c r="S2418" s="72"/>
      <c r="V2418" s="72"/>
      <c r="Y2418" s="72"/>
      <c r="AB2418" s="72"/>
      <c r="AE2418" s="72"/>
      <c r="AH2418" s="72"/>
      <c r="AK2418" s="72"/>
      <c r="AN2418" s="72"/>
      <c r="AQ2418" s="72"/>
      <c r="AT2418" s="72"/>
      <c r="AW2418" s="72"/>
      <c r="AZ2418" s="72"/>
    </row>
    <row r="2419" spans="1:52">
      <c r="A2419" s="131"/>
      <c r="B2419" s="72"/>
      <c r="D2419" s="72"/>
      <c r="G2419" s="72"/>
      <c r="J2419" s="72"/>
      <c r="M2419" s="72"/>
      <c r="P2419" s="72"/>
      <c r="S2419" s="72"/>
      <c r="V2419" s="72"/>
      <c r="Y2419" s="72"/>
      <c r="AB2419" s="72"/>
      <c r="AE2419" s="72"/>
      <c r="AH2419" s="72"/>
      <c r="AK2419" s="72"/>
      <c r="AN2419" s="72"/>
      <c r="AQ2419" s="72"/>
      <c r="AT2419" s="72"/>
      <c r="AW2419" s="72"/>
      <c r="AZ2419" s="72"/>
    </row>
    <row r="2420" spans="1:52">
      <c r="A2420" s="131"/>
      <c r="B2420" s="72"/>
      <c r="D2420" s="72"/>
      <c r="G2420" s="72"/>
      <c r="J2420" s="72"/>
      <c r="M2420" s="72"/>
      <c r="P2420" s="72"/>
      <c r="S2420" s="72"/>
      <c r="V2420" s="72"/>
      <c r="Y2420" s="72"/>
      <c r="AB2420" s="72"/>
      <c r="AE2420" s="72"/>
      <c r="AH2420" s="72"/>
      <c r="AK2420" s="72"/>
      <c r="AN2420" s="72"/>
      <c r="AQ2420" s="72"/>
      <c r="AT2420" s="72"/>
      <c r="AW2420" s="72"/>
      <c r="AZ2420" s="72"/>
    </row>
    <row r="2421" spans="1:52">
      <c r="A2421" s="131"/>
      <c r="B2421" s="72"/>
      <c r="D2421" s="72"/>
      <c r="G2421" s="72"/>
      <c r="J2421" s="72"/>
      <c r="M2421" s="72"/>
      <c r="P2421" s="72"/>
      <c r="S2421" s="72"/>
      <c r="V2421" s="72"/>
      <c r="Y2421" s="72"/>
      <c r="AB2421" s="72"/>
      <c r="AE2421" s="72"/>
      <c r="AH2421" s="72"/>
      <c r="AK2421" s="72"/>
      <c r="AN2421" s="72"/>
      <c r="AQ2421" s="72"/>
      <c r="AT2421" s="72"/>
      <c r="AW2421" s="72"/>
      <c r="AZ2421" s="72"/>
    </row>
    <row r="2422" spans="1:52">
      <c r="A2422" s="131"/>
      <c r="B2422" s="72"/>
      <c r="D2422" s="72"/>
      <c r="G2422" s="72"/>
      <c r="J2422" s="72"/>
      <c r="M2422" s="72"/>
      <c r="P2422" s="72"/>
      <c r="S2422" s="72"/>
      <c r="V2422" s="72"/>
      <c r="Y2422" s="72"/>
      <c r="AB2422" s="72"/>
      <c r="AE2422" s="72"/>
      <c r="AH2422" s="72"/>
      <c r="AK2422" s="72"/>
      <c r="AN2422" s="72"/>
      <c r="AQ2422" s="72"/>
      <c r="AT2422" s="72"/>
      <c r="AW2422" s="72"/>
      <c r="AZ2422" s="72"/>
    </row>
    <row r="2423" spans="1:52">
      <c r="A2423" s="131"/>
      <c r="B2423" s="72"/>
      <c r="D2423" s="72"/>
      <c r="G2423" s="72"/>
      <c r="J2423" s="72"/>
      <c r="M2423" s="72"/>
      <c r="P2423" s="72"/>
      <c r="S2423" s="72"/>
      <c r="V2423" s="72"/>
      <c r="Y2423" s="72"/>
      <c r="AB2423" s="72"/>
      <c r="AE2423" s="72"/>
      <c r="AH2423" s="72"/>
      <c r="AK2423" s="72"/>
      <c r="AN2423" s="72"/>
      <c r="AQ2423" s="72"/>
      <c r="AT2423" s="72"/>
      <c r="AW2423" s="72"/>
      <c r="AZ2423" s="72"/>
    </row>
    <row r="2424" spans="1:52">
      <c r="A2424" s="131"/>
      <c r="B2424" s="72"/>
      <c r="D2424" s="72"/>
      <c r="G2424" s="72"/>
      <c r="J2424" s="72"/>
      <c r="M2424" s="72"/>
      <c r="P2424" s="72"/>
      <c r="S2424" s="72"/>
      <c r="V2424" s="72"/>
      <c r="Y2424" s="72"/>
      <c r="AB2424" s="72"/>
      <c r="AE2424" s="72"/>
      <c r="AH2424" s="72"/>
      <c r="AK2424" s="72"/>
      <c r="AN2424" s="72"/>
      <c r="AQ2424" s="72"/>
      <c r="AT2424" s="72"/>
      <c r="AW2424" s="72"/>
      <c r="AZ2424" s="72"/>
    </row>
    <row r="2425" spans="1:52">
      <c r="A2425" s="131"/>
      <c r="B2425" s="72"/>
      <c r="D2425" s="72"/>
      <c r="G2425" s="72"/>
      <c r="J2425" s="72"/>
      <c r="M2425" s="72"/>
      <c r="P2425" s="72"/>
      <c r="S2425" s="72"/>
      <c r="V2425" s="72"/>
      <c r="Y2425" s="72"/>
      <c r="AB2425" s="72"/>
      <c r="AE2425" s="72"/>
      <c r="AH2425" s="72"/>
      <c r="AK2425" s="72"/>
      <c r="AN2425" s="72"/>
      <c r="AQ2425" s="72"/>
      <c r="AT2425" s="72"/>
      <c r="AW2425" s="72"/>
      <c r="AZ2425" s="72"/>
    </row>
    <row r="2426" spans="1:52">
      <c r="A2426" s="131"/>
      <c r="B2426" s="72"/>
      <c r="D2426" s="72"/>
      <c r="G2426" s="72"/>
      <c r="J2426" s="72"/>
      <c r="M2426" s="72"/>
      <c r="P2426" s="72"/>
      <c r="S2426" s="72"/>
      <c r="V2426" s="72"/>
      <c r="Y2426" s="72"/>
      <c r="AB2426" s="72"/>
      <c r="AE2426" s="72"/>
      <c r="AH2426" s="72"/>
      <c r="AK2426" s="72"/>
      <c r="AN2426" s="72"/>
      <c r="AQ2426" s="72"/>
      <c r="AT2426" s="72"/>
      <c r="AW2426" s="72"/>
      <c r="AZ2426" s="72"/>
    </row>
    <row r="2427" spans="1:52">
      <c r="A2427" s="131"/>
      <c r="B2427" s="72"/>
      <c r="D2427" s="72"/>
      <c r="G2427" s="72"/>
      <c r="J2427" s="72"/>
      <c r="M2427" s="72"/>
      <c r="P2427" s="72"/>
      <c r="S2427" s="72"/>
      <c r="V2427" s="72"/>
      <c r="Y2427" s="72"/>
      <c r="AB2427" s="72"/>
      <c r="AE2427" s="72"/>
      <c r="AH2427" s="72"/>
      <c r="AK2427" s="72"/>
      <c r="AN2427" s="72"/>
      <c r="AQ2427" s="72"/>
      <c r="AT2427" s="72"/>
      <c r="AW2427" s="72"/>
      <c r="AZ2427" s="72"/>
    </row>
    <row r="2428" spans="1:52">
      <c r="A2428" s="131"/>
      <c r="B2428" s="72"/>
      <c r="D2428" s="72"/>
      <c r="G2428" s="72"/>
      <c r="J2428" s="72"/>
      <c r="M2428" s="72"/>
      <c r="P2428" s="72"/>
      <c r="S2428" s="72"/>
      <c r="V2428" s="72"/>
      <c r="Y2428" s="72"/>
      <c r="AB2428" s="72"/>
      <c r="AE2428" s="72"/>
      <c r="AH2428" s="72"/>
      <c r="AK2428" s="72"/>
      <c r="AN2428" s="72"/>
      <c r="AQ2428" s="72"/>
      <c r="AT2428" s="72"/>
      <c r="AW2428" s="72"/>
      <c r="AZ2428" s="72"/>
    </row>
    <row r="2429" spans="1:52">
      <c r="A2429" s="131"/>
      <c r="B2429" s="72"/>
      <c r="D2429" s="72"/>
      <c r="G2429" s="72"/>
      <c r="J2429" s="72"/>
      <c r="M2429" s="72"/>
      <c r="P2429" s="72"/>
      <c r="S2429" s="72"/>
      <c r="V2429" s="72"/>
      <c r="Y2429" s="72"/>
      <c r="AB2429" s="72"/>
      <c r="AE2429" s="72"/>
      <c r="AH2429" s="72"/>
      <c r="AK2429" s="72"/>
      <c r="AN2429" s="72"/>
      <c r="AQ2429" s="72"/>
      <c r="AT2429" s="72"/>
      <c r="AW2429" s="72"/>
      <c r="AZ2429" s="72"/>
    </row>
    <row r="2430" spans="1:52">
      <c r="A2430" s="131"/>
      <c r="B2430" s="72"/>
      <c r="D2430" s="72"/>
      <c r="G2430" s="72"/>
      <c r="J2430" s="72"/>
      <c r="M2430" s="72"/>
      <c r="P2430" s="72"/>
      <c r="S2430" s="72"/>
      <c r="V2430" s="72"/>
      <c r="Y2430" s="72"/>
      <c r="AB2430" s="72"/>
      <c r="AE2430" s="72"/>
      <c r="AH2430" s="72"/>
      <c r="AK2430" s="72"/>
      <c r="AN2430" s="72"/>
      <c r="AQ2430" s="72"/>
      <c r="AT2430" s="72"/>
      <c r="AW2430" s="72"/>
      <c r="AZ2430" s="72"/>
    </row>
    <row r="2431" spans="1:52">
      <c r="A2431" s="131"/>
      <c r="B2431" s="72"/>
      <c r="D2431" s="72"/>
      <c r="G2431" s="72"/>
      <c r="J2431" s="72"/>
      <c r="M2431" s="72"/>
      <c r="P2431" s="72"/>
      <c r="S2431" s="72"/>
      <c r="V2431" s="72"/>
      <c r="Y2431" s="72"/>
      <c r="AB2431" s="72"/>
      <c r="AE2431" s="72"/>
      <c r="AH2431" s="72"/>
      <c r="AK2431" s="72"/>
      <c r="AN2431" s="72"/>
      <c r="AQ2431" s="72"/>
      <c r="AT2431" s="72"/>
      <c r="AW2431" s="72"/>
      <c r="AZ2431" s="72"/>
    </row>
    <row r="2432" spans="1:52">
      <c r="A2432" s="131"/>
      <c r="B2432" s="72"/>
      <c r="D2432" s="72"/>
      <c r="G2432" s="72"/>
      <c r="J2432" s="72"/>
      <c r="M2432" s="72"/>
      <c r="P2432" s="72"/>
      <c r="S2432" s="72"/>
      <c r="V2432" s="72"/>
      <c r="Y2432" s="72"/>
      <c r="AB2432" s="72"/>
      <c r="AE2432" s="72"/>
      <c r="AH2432" s="72"/>
      <c r="AK2432" s="72"/>
      <c r="AN2432" s="72"/>
      <c r="AQ2432" s="72"/>
      <c r="AT2432" s="72"/>
      <c r="AW2432" s="72"/>
      <c r="AZ2432" s="72"/>
    </row>
    <row r="2433" spans="1:52">
      <c r="A2433" s="131"/>
      <c r="B2433" s="72"/>
      <c r="D2433" s="72"/>
      <c r="G2433" s="72"/>
      <c r="J2433" s="72"/>
      <c r="M2433" s="72"/>
      <c r="P2433" s="72"/>
      <c r="S2433" s="72"/>
      <c r="V2433" s="72"/>
      <c r="Y2433" s="72"/>
      <c r="AB2433" s="72"/>
      <c r="AE2433" s="72"/>
      <c r="AH2433" s="72"/>
      <c r="AK2433" s="72"/>
      <c r="AN2433" s="72"/>
      <c r="AQ2433" s="72"/>
      <c r="AT2433" s="72"/>
      <c r="AW2433" s="72"/>
      <c r="AZ2433" s="72"/>
    </row>
    <row r="2434" spans="1:52">
      <c r="A2434" s="131"/>
      <c r="B2434" s="72"/>
      <c r="D2434" s="72"/>
      <c r="G2434" s="72"/>
      <c r="J2434" s="72"/>
      <c r="M2434" s="72"/>
      <c r="P2434" s="72"/>
      <c r="S2434" s="72"/>
      <c r="V2434" s="72"/>
      <c r="Y2434" s="72"/>
      <c r="AB2434" s="72"/>
      <c r="AE2434" s="72"/>
      <c r="AH2434" s="72"/>
      <c r="AK2434" s="72"/>
      <c r="AN2434" s="72"/>
      <c r="AQ2434" s="72"/>
      <c r="AT2434" s="72"/>
      <c r="AW2434" s="72"/>
      <c r="AZ2434" s="72"/>
    </row>
    <row r="2435" spans="1:52">
      <c r="A2435" s="131"/>
      <c r="B2435" s="72"/>
      <c r="D2435" s="72"/>
      <c r="G2435" s="72"/>
      <c r="J2435" s="72"/>
      <c r="M2435" s="72"/>
      <c r="P2435" s="72"/>
      <c r="S2435" s="72"/>
      <c r="V2435" s="72"/>
      <c r="Y2435" s="72"/>
      <c r="AB2435" s="72"/>
      <c r="AE2435" s="72"/>
      <c r="AH2435" s="72"/>
      <c r="AK2435" s="72"/>
      <c r="AN2435" s="72"/>
      <c r="AQ2435" s="72"/>
      <c r="AT2435" s="72"/>
      <c r="AW2435" s="72"/>
      <c r="AZ2435" s="72"/>
    </row>
    <row r="2436" spans="1:52">
      <c r="A2436" s="131"/>
      <c r="B2436" s="72"/>
      <c r="D2436" s="72"/>
      <c r="G2436" s="72"/>
      <c r="J2436" s="72"/>
      <c r="M2436" s="72"/>
      <c r="P2436" s="72"/>
      <c r="S2436" s="72"/>
      <c r="V2436" s="72"/>
      <c r="Y2436" s="72"/>
      <c r="AB2436" s="72"/>
      <c r="AE2436" s="72"/>
      <c r="AH2436" s="72"/>
      <c r="AK2436" s="72"/>
      <c r="AN2436" s="72"/>
      <c r="AQ2436" s="72"/>
      <c r="AT2436" s="72"/>
      <c r="AW2436" s="72"/>
      <c r="AZ2436" s="72"/>
    </row>
    <row r="2437" spans="1:52">
      <c r="A2437" s="131"/>
      <c r="B2437" s="72"/>
      <c r="D2437" s="72"/>
      <c r="G2437" s="72"/>
      <c r="J2437" s="72"/>
      <c r="M2437" s="72"/>
      <c r="P2437" s="72"/>
      <c r="S2437" s="72"/>
      <c r="V2437" s="72"/>
      <c r="Y2437" s="72"/>
      <c r="AB2437" s="72"/>
      <c r="AE2437" s="72"/>
      <c r="AH2437" s="72"/>
      <c r="AK2437" s="72"/>
      <c r="AN2437" s="72"/>
      <c r="AQ2437" s="72"/>
      <c r="AT2437" s="72"/>
      <c r="AW2437" s="72"/>
      <c r="AZ2437" s="72"/>
    </row>
    <row r="2438" spans="1:52">
      <c r="A2438" s="131"/>
      <c r="B2438" s="72"/>
      <c r="D2438" s="72"/>
      <c r="G2438" s="72"/>
      <c r="J2438" s="72"/>
      <c r="M2438" s="72"/>
      <c r="P2438" s="72"/>
      <c r="S2438" s="72"/>
      <c r="V2438" s="72"/>
      <c r="Y2438" s="72"/>
      <c r="AB2438" s="72"/>
      <c r="AE2438" s="72"/>
      <c r="AH2438" s="72"/>
      <c r="AK2438" s="72"/>
      <c r="AN2438" s="72"/>
      <c r="AQ2438" s="72"/>
      <c r="AT2438" s="72"/>
      <c r="AW2438" s="72"/>
      <c r="AZ2438" s="72"/>
    </row>
    <row r="2439" spans="1:52">
      <c r="A2439" s="131"/>
      <c r="B2439" s="72"/>
      <c r="D2439" s="72"/>
      <c r="G2439" s="72"/>
      <c r="J2439" s="72"/>
      <c r="M2439" s="72"/>
      <c r="P2439" s="72"/>
      <c r="S2439" s="72"/>
      <c r="V2439" s="72"/>
      <c r="Y2439" s="72"/>
      <c r="AB2439" s="72"/>
      <c r="AE2439" s="72"/>
      <c r="AH2439" s="72"/>
      <c r="AK2439" s="72"/>
      <c r="AN2439" s="72"/>
      <c r="AQ2439" s="72"/>
      <c r="AT2439" s="72"/>
      <c r="AW2439" s="72"/>
      <c r="AZ2439" s="72"/>
    </row>
    <row r="2440" spans="1:52">
      <c r="A2440" s="131"/>
      <c r="B2440" s="72"/>
      <c r="D2440" s="72"/>
      <c r="G2440" s="72"/>
      <c r="J2440" s="72"/>
      <c r="M2440" s="72"/>
      <c r="P2440" s="72"/>
      <c r="S2440" s="72"/>
      <c r="V2440" s="72"/>
      <c r="Y2440" s="72"/>
      <c r="AB2440" s="72"/>
      <c r="AE2440" s="72"/>
      <c r="AH2440" s="72"/>
      <c r="AK2440" s="72"/>
      <c r="AN2440" s="72"/>
      <c r="AQ2440" s="72"/>
      <c r="AT2440" s="72"/>
      <c r="AW2440" s="72"/>
      <c r="AZ2440" s="72"/>
    </row>
    <row r="2441" spans="1:52">
      <c r="A2441" s="131"/>
      <c r="B2441" s="72"/>
      <c r="D2441" s="72"/>
      <c r="G2441" s="72"/>
      <c r="J2441" s="72"/>
      <c r="M2441" s="72"/>
      <c r="P2441" s="72"/>
      <c r="S2441" s="72"/>
      <c r="V2441" s="72"/>
      <c r="Y2441" s="72"/>
      <c r="AB2441" s="72"/>
      <c r="AE2441" s="72"/>
      <c r="AH2441" s="72"/>
      <c r="AK2441" s="72"/>
      <c r="AN2441" s="72"/>
      <c r="AQ2441" s="72"/>
      <c r="AT2441" s="72"/>
      <c r="AW2441" s="72"/>
      <c r="AZ2441" s="72"/>
    </row>
    <row r="2442" spans="1:52">
      <c r="A2442" s="131"/>
      <c r="B2442" s="72"/>
      <c r="D2442" s="72"/>
      <c r="G2442" s="72"/>
      <c r="J2442" s="72"/>
      <c r="M2442" s="72"/>
      <c r="P2442" s="72"/>
      <c r="S2442" s="72"/>
      <c r="V2442" s="72"/>
      <c r="Y2442" s="72"/>
      <c r="AB2442" s="72"/>
      <c r="AE2442" s="72"/>
      <c r="AH2442" s="72"/>
      <c r="AK2442" s="72"/>
      <c r="AN2442" s="72"/>
      <c r="AQ2442" s="72"/>
      <c r="AT2442" s="72"/>
      <c r="AW2442" s="72"/>
      <c r="AZ2442" s="72"/>
    </row>
    <row r="2443" spans="1:52">
      <c r="A2443" s="131"/>
      <c r="B2443" s="72"/>
      <c r="D2443" s="72"/>
      <c r="G2443" s="72"/>
      <c r="J2443" s="72"/>
      <c r="M2443" s="72"/>
      <c r="P2443" s="72"/>
      <c r="S2443" s="72"/>
      <c r="V2443" s="72"/>
      <c r="Y2443" s="72"/>
      <c r="AB2443" s="72"/>
      <c r="AE2443" s="72"/>
      <c r="AH2443" s="72"/>
      <c r="AK2443" s="72"/>
      <c r="AN2443" s="72"/>
      <c r="AQ2443" s="72"/>
      <c r="AT2443" s="72"/>
      <c r="AW2443" s="72"/>
      <c r="AZ2443" s="72"/>
    </row>
    <row r="2444" spans="1:52">
      <c r="A2444" s="131"/>
      <c r="B2444" s="72"/>
      <c r="D2444" s="72"/>
      <c r="G2444" s="72"/>
      <c r="J2444" s="72"/>
      <c r="M2444" s="72"/>
      <c r="P2444" s="72"/>
      <c r="S2444" s="72"/>
      <c r="V2444" s="72"/>
      <c r="Y2444" s="72"/>
      <c r="AB2444" s="72"/>
      <c r="AE2444" s="72"/>
      <c r="AH2444" s="72"/>
      <c r="AK2444" s="72"/>
      <c r="AN2444" s="72"/>
      <c r="AQ2444" s="72"/>
      <c r="AT2444" s="72"/>
      <c r="AW2444" s="72"/>
      <c r="AZ2444" s="72"/>
    </row>
    <row r="2445" spans="1:52">
      <c r="A2445" s="131"/>
      <c r="B2445" s="72"/>
      <c r="D2445" s="72"/>
      <c r="G2445" s="72"/>
      <c r="J2445" s="72"/>
      <c r="M2445" s="72"/>
      <c r="P2445" s="72"/>
      <c r="S2445" s="72"/>
      <c r="V2445" s="72"/>
      <c r="Y2445" s="72"/>
      <c r="AB2445" s="72"/>
      <c r="AE2445" s="72"/>
      <c r="AH2445" s="72"/>
      <c r="AK2445" s="72"/>
      <c r="AN2445" s="72"/>
      <c r="AQ2445" s="72"/>
      <c r="AT2445" s="72"/>
      <c r="AW2445" s="72"/>
      <c r="AZ2445" s="72"/>
    </row>
    <row r="2446" spans="1:52">
      <c r="A2446" s="131"/>
      <c r="B2446" s="72"/>
      <c r="D2446" s="72"/>
      <c r="G2446" s="72"/>
      <c r="J2446" s="72"/>
      <c r="M2446" s="72"/>
      <c r="P2446" s="72"/>
      <c r="S2446" s="72"/>
      <c r="V2446" s="72"/>
      <c r="Y2446" s="72"/>
      <c r="AB2446" s="72"/>
      <c r="AE2446" s="72"/>
      <c r="AH2446" s="72"/>
      <c r="AK2446" s="72"/>
      <c r="AN2446" s="72"/>
      <c r="AQ2446" s="72"/>
      <c r="AT2446" s="72"/>
      <c r="AW2446" s="72"/>
      <c r="AZ2446" s="72"/>
    </row>
    <row r="2447" spans="1:52">
      <c r="A2447" s="131"/>
      <c r="B2447" s="72"/>
      <c r="D2447" s="72"/>
      <c r="G2447" s="72"/>
      <c r="J2447" s="72"/>
      <c r="M2447" s="72"/>
      <c r="P2447" s="72"/>
      <c r="S2447" s="72"/>
      <c r="V2447" s="72"/>
      <c r="Y2447" s="72"/>
      <c r="AB2447" s="72"/>
      <c r="AE2447" s="72"/>
      <c r="AH2447" s="72"/>
      <c r="AK2447" s="72"/>
      <c r="AN2447" s="72"/>
      <c r="AQ2447" s="72"/>
      <c r="AT2447" s="72"/>
      <c r="AW2447" s="72"/>
      <c r="AZ2447" s="72"/>
    </row>
    <row r="2448" spans="1:52">
      <c r="A2448" s="131"/>
      <c r="B2448" s="72"/>
      <c r="D2448" s="72"/>
      <c r="G2448" s="72"/>
      <c r="J2448" s="72"/>
      <c r="M2448" s="72"/>
      <c r="P2448" s="72"/>
      <c r="S2448" s="72"/>
      <c r="V2448" s="72"/>
      <c r="Y2448" s="72"/>
      <c r="AB2448" s="72"/>
      <c r="AE2448" s="72"/>
      <c r="AH2448" s="72"/>
      <c r="AK2448" s="72"/>
      <c r="AN2448" s="72"/>
      <c r="AQ2448" s="72"/>
      <c r="AT2448" s="72"/>
      <c r="AW2448" s="72"/>
      <c r="AZ2448" s="72"/>
    </row>
    <row r="2449" spans="1:52">
      <c r="A2449" s="131"/>
      <c r="B2449" s="72"/>
      <c r="D2449" s="72"/>
      <c r="G2449" s="72"/>
      <c r="J2449" s="72"/>
      <c r="M2449" s="72"/>
      <c r="P2449" s="72"/>
      <c r="S2449" s="72"/>
      <c r="V2449" s="72"/>
      <c r="Y2449" s="72"/>
      <c r="AB2449" s="72"/>
      <c r="AE2449" s="72"/>
      <c r="AH2449" s="72"/>
      <c r="AK2449" s="72"/>
      <c r="AN2449" s="72"/>
      <c r="AQ2449" s="72"/>
      <c r="AT2449" s="72"/>
      <c r="AW2449" s="72"/>
      <c r="AZ2449" s="72"/>
    </row>
    <row r="2450" spans="1:52">
      <c r="A2450" s="131"/>
      <c r="B2450" s="72"/>
      <c r="D2450" s="72"/>
      <c r="G2450" s="72"/>
      <c r="J2450" s="72"/>
      <c r="M2450" s="72"/>
      <c r="P2450" s="72"/>
      <c r="S2450" s="72"/>
      <c r="V2450" s="72"/>
      <c r="Y2450" s="72"/>
      <c r="AB2450" s="72"/>
      <c r="AE2450" s="72"/>
      <c r="AH2450" s="72"/>
      <c r="AK2450" s="72"/>
      <c r="AN2450" s="72"/>
      <c r="AQ2450" s="72"/>
      <c r="AT2450" s="72"/>
      <c r="AW2450" s="72"/>
      <c r="AZ2450" s="72"/>
    </row>
    <row r="2451" spans="1:52">
      <c r="A2451" s="131"/>
      <c r="B2451" s="72"/>
      <c r="D2451" s="72"/>
      <c r="G2451" s="72"/>
      <c r="J2451" s="72"/>
      <c r="M2451" s="72"/>
      <c r="P2451" s="72"/>
      <c r="S2451" s="72"/>
      <c r="V2451" s="72"/>
      <c r="Y2451" s="72"/>
      <c r="AB2451" s="72"/>
      <c r="AE2451" s="72"/>
      <c r="AH2451" s="72"/>
      <c r="AK2451" s="72"/>
      <c r="AN2451" s="72"/>
      <c r="AQ2451" s="72"/>
      <c r="AT2451" s="72"/>
      <c r="AW2451" s="72"/>
      <c r="AZ2451" s="72"/>
    </row>
    <row r="2452" spans="1:52">
      <c r="A2452" s="131"/>
      <c r="B2452" s="72"/>
      <c r="D2452" s="72"/>
      <c r="G2452" s="72"/>
      <c r="J2452" s="72"/>
      <c r="M2452" s="72"/>
      <c r="P2452" s="72"/>
      <c r="S2452" s="72"/>
      <c r="V2452" s="72"/>
      <c r="Y2452" s="72"/>
      <c r="AB2452" s="72"/>
      <c r="AE2452" s="72"/>
      <c r="AH2452" s="72"/>
      <c r="AK2452" s="72"/>
      <c r="AN2452" s="72"/>
      <c r="AQ2452" s="72"/>
      <c r="AT2452" s="72"/>
      <c r="AW2452" s="72"/>
      <c r="AZ2452" s="72"/>
    </row>
    <row r="2453" spans="1:52">
      <c r="A2453" s="131"/>
      <c r="B2453" s="72"/>
      <c r="D2453" s="72"/>
      <c r="G2453" s="72"/>
      <c r="J2453" s="72"/>
      <c r="M2453" s="72"/>
      <c r="P2453" s="72"/>
      <c r="S2453" s="72"/>
      <c r="V2453" s="72"/>
      <c r="Y2453" s="72"/>
      <c r="AB2453" s="72"/>
      <c r="AE2453" s="72"/>
      <c r="AH2453" s="72"/>
      <c r="AK2453" s="72"/>
      <c r="AN2453" s="72"/>
      <c r="AQ2453" s="72"/>
      <c r="AT2453" s="72"/>
      <c r="AW2453" s="72"/>
      <c r="AZ2453" s="72"/>
    </row>
    <row r="2454" spans="1:52">
      <c r="A2454" s="131"/>
      <c r="B2454" s="72"/>
      <c r="D2454" s="72"/>
      <c r="G2454" s="72"/>
      <c r="J2454" s="72"/>
      <c r="M2454" s="72"/>
      <c r="P2454" s="72"/>
      <c r="S2454" s="72"/>
      <c r="V2454" s="72"/>
      <c r="Y2454" s="72"/>
      <c r="AB2454" s="72"/>
      <c r="AE2454" s="72"/>
      <c r="AH2454" s="72"/>
      <c r="AK2454" s="72"/>
      <c r="AN2454" s="72"/>
      <c r="AQ2454" s="72"/>
      <c r="AT2454" s="72"/>
      <c r="AW2454" s="72"/>
      <c r="AZ2454" s="72"/>
    </row>
    <row r="2455" spans="1:52">
      <c r="A2455" s="131"/>
      <c r="B2455" s="72"/>
      <c r="D2455" s="72"/>
      <c r="G2455" s="72"/>
      <c r="J2455" s="72"/>
      <c r="M2455" s="72"/>
      <c r="P2455" s="72"/>
      <c r="S2455" s="72"/>
      <c r="V2455" s="72"/>
      <c r="Y2455" s="72"/>
      <c r="AB2455" s="72"/>
      <c r="AE2455" s="72"/>
      <c r="AH2455" s="72"/>
      <c r="AK2455" s="72"/>
      <c r="AN2455" s="72"/>
      <c r="AQ2455" s="72"/>
      <c r="AT2455" s="72"/>
      <c r="AW2455" s="72"/>
      <c r="AZ2455" s="72"/>
    </row>
    <row r="2456" spans="1:52">
      <c r="A2456" s="131"/>
      <c r="B2456" s="72"/>
      <c r="D2456" s="72"/>
      <c r="G2456" s="72"/>
      <c r="J2456" s="72"/>
      <c r="M2456" s="72"/>
      <c r="P2456" s="72"/>
      <c r="S2456" s="72"/>
      <c r="V2456" s="72"/>
      <c r="Y2456" s="72"/>
      <c r="AB2456" s="72"/>
      <c r="AE2456" s="72"/>
      <c r="AH2456" s="72"/>
      <c r="AK2456" s="72"/>
      <c r="AN2456" s="72"/>
      <c r="AQ2456" s="72"/>
      <c r="AT2456" s="72"/>
      <c r="AW2456" s="72"/>
      <c r="AZ2456" s="72"/>
    </row>
    <row r="2457" spans="1:52">
      <c r="A2457" s="131"/>
      <c r="B2457" s="72"/>
      <c r="D2457" s="72"/>
      <c r="G2457" s="72"/>
      <c r="J2457" s="72"/>
      <c r="M2457" s="72"/>
      <c r="P2457" s="72"/>
      <c r="S2457" s="72"/>
      <c r="V2457" s="72"/>
      <c r="Y2457" s="72"/>
      <c r="AB2457" s="72"/>
      <c r="AE2457" s="72"/>
      <c r="AH2457" s="72"/>
      <c r="AK2457" s="72"/>
      <c r="AN2457" s="72"/>
      <c r="AQ2457" s="72"/>
      <c r="AT2457" s="72"/>
      <c r="AW2457" s="72"/>
      <c r="AZ2457" s="72"/>
    </row>
    <row r="2458" spans="1:52">
      <c r="A2458" s="131"/>
      <c r="B2458" s="72"/>
      <c r="D2458" s="72"/>
      <c r="G2458" s="72"/>
      <c r="J2458" s="72"/>
      <c r="M2458" s="72"/>
      <c r="P2458" s="72"/>
      <c r="S2458" s="72"/>
      <c r="V2458" s="72"/>
      <c r="Y2458" s="72"/>
      <c r="AB2458" s="72"/>
      <c r="AE2458" s="72"/>
      <c r="AH2458" s="72"/>
      <c r="AK2458" s="72"/>
      <c r="AN2458" s="72"/>
      <c r="AQ2458" s="72"/>
      <c r="AT2458" s="72"/>
      <c r="AW2458" s="72"/>
      <c r="AZ2458" s="72"/>
    </row>
    <row r="2459" spans="1:52">
      <c r="A2459" s="131"/>
      <c r="B2459" s="72"/>
      <c r="D2459" s="72"/>
      <c r="G2459" s="72"/>
      <c r="J2459" s="72"/>
      <c r="M2459" s="72"/>
      <c r="P2459" s="72"/>
      <c r="S2459" s="72"/>
      <c r="V2459" s="72"/>
      <c r="Y2459" s="72"/>
      <c r="AB2459" s="72"/>
      <c r="AE2459" s="72"/>
      <c r="AH2459" s="72"/>
      <c r="AK2459" s="72"/>
      <c r="AN2459" s="72"/>
      <c r="AQ2459" s="72"/>
      <c r="AT2459" s="72"/>
      <c r="AW2459" s="72"/>
      <c r="AZ2459" s="72"/>
    </row>
    <row r="2460" spans="1:52">
      <c r="A2460" s="131"/>
      <c r="B2460" s="72"/>
      <c r="D2460" s="72"/>
      <c r="G2460" s="72"/>
      <c r="J2460" s="72"/>
      <c r="M2460" s="72"/>
      <c r="P2460" s="72"/>
      <c r="S2460" s="72"/>
      <c r="V2460" s="72"/>
      <c r="Y2460" s="72"/>
      <c r="AB2460" s="72"/>
      <c r="AE2460" s="72"/>
      <c r="AH2460" s="72"/>
      <c r="AK2460" s="72"/>
      <c r="AN2460" s="72"/>
      <c r="AQ2460" s="72"/>
      <c r="AT2460" s="72"/>
      <c r="AW2460" s="72"/>
      <c r="AZ2460" s="72"/>
    </row>
    <row r="2461" spans="1:52">
      <c r="A2461" s="131"/>
      <c r="B2461" s="72"/>
      <c r="D2461" s="72"/>
      <c r="G2461" s="72"/>
      <c r="J2461" s="72"/>
      <c r="M2461" s="72"/>
      <c r="P2461" s="72"/>
      <c r="S2461" s="72"/>
      <c r="V2461" s="72"/>
      <c r="Y2461" s="72"/>
      <c r="AB2461" s="72"/>
      <c r="AE2461" s="72"/>
      <c r="AH2461" s="72"/>
      <c r="AK2461" s="72"/>
      <c r="AN2461" s="72"/>
      <c r="AQ2461" s="72"/>
      <c r="AT2461" s="72"/>
      <c r="AW2461" s="72"/>
      <c r="AZ2461" s="72"/>
    </row>
    <row r="2462" spans="1:52">
      <c r="A2462" s="131"/>
      <c r="B2462" s="72"/>
      <c r="D2462" s="72"/>
      <c r="G2462" s="72"/>
      <c r="J2462" s="72"/>
      <c r="M2462" s="72"/>
      <c r="P2462" s="72"/>
      <c r="S2462" s="72"/>
      <c r="V2462" s="72"/>
      <c r="Y2462" s="72"/>
      <c r="AB2462" s="72"/>
      <c r="AE2462" s="72"/>
      <c r="AH2462" s="72"/>
      <c r="AK2462" s="72"/>
      <c r="AN2462" s="72"/>
      <c r="AQ2462" s="72"/>
      <c r="AT2462" s="72"/>
      <c r="AW2462" s="72"/>
      <c r="AZ2462" s="72"/>
    </row>
    <row r="2463" spans="1:52">
      <c r="A2463" s="131"/>
      <c r="B2463" s="72"/>
      <c r="D2463" s="72"/>
      <c r="G2463" s="72"/>
      <c r="J2463" s="72"/>
      <c r="M2463" s="72"/>
      <c r="P2463" s="72"/>
      <c r="S2463" s="72"/>
      <c r="V2463" s="72"/>
      <c r="Y2463" s="72"/>
      <c r="AB2463" s="72"/>
      <c r="AE2463" s="72"/>
      <c r="AH2463" s="72"/>
      <c r="AK2463" s="72"/>
      <c r="AN2463" s="72"/>
      <c r="AQ2463" s="72"/>
      <c r="AT2463" s="72"/>
      <c r="AW2463" s="72"/>
      <c r="AZ2463" s="72"/>
    </row>
    <row r="2464" spans="1:52">
      <c r="A2464" s="131"/>
      <c r="B2464" s="72"/>
      <c r="D2464" s="72"/>
      <c r="G2464" s="72"/>
      <c r="J2464" s="72"/>
      <c r="M2464" s="72"/>
      <c r="P2464" s="72"/>
      <c r="S2464" s="72"/>
      <c r="V2464" s="72"/>
      <c r="Y2464" s="72"/>
      <c r="AB2464" s="72"/>
      <c r="AE2464" s="72"/>
      <c r="AH2464" s="72"/>
      <c r="AK2464" s="72"/>
      <c r="AN2464" s="72"/>
      <c r="AQ2464" s="72"/>
      <c r="AT2464" s="72"/>
      <c r="AW2464" s="72"/>
      <c r="AZ2464" s="72"/>
    </row>
    <row r="2465" spans="1:52">
      <c r="A2465" s="131"/>
      <c r="B2465" s="72"/>
      <c r="D2465" s="72"/>
      <c r="G2465" s="72"/>
      <c r="J2465" s="72"/>
      <c r="M2465" s="72"/>
      <c r="P2465" s="72"/>
      <c r="S2465" s="72"/>
      <c r="V2465" s="72"/>
      <c r="Y2465" s="72"/>
      <c r="AB2465" s="72"/>
      <c r="AE2465" s="72"/>
      <c r="AH2465" s="72"/>
      <c r="AK2465" s="72"/>
      <c r="AN2465" s="72"/>
      <c r="AQ2465" s="72"/>
      <c r="AT2465" s="72"/>
      <c r="AW2465" s="72"/>
      <c r="AZ2465" s="72"/>
    </row>
    <row r="2466" spans="1:52">
      <c r="A2466" s="131"/>
      <c r="B2466" s="72"/>
      <c r="D2466" s="72"/>
      <c r="G2466" s="72"/>
      <c r="J2466" s="72"/>
      <c r="M2466" s="72"/>
      <c r="P2466" s="72"/>
      <c r="S2466" s="72"/>
      <c r="V2466" s="72"/>
      <c r="Y2466" s="72"/>
      <c r="AB2466" s="72"/>
      <c r="AE2466" s="72"/>
      <c r="AH2466" s="72"/>
      <c r="AK2466" s="72"/>
      <c r="AN2466" s="72"/>
      <c r="AQ2466" s="72"/>
      <c r="AT2466" s="72"/>
      <c r="AW2466" s="72"/>
      <c r="AZ2466" s="72"/>
    </row>
    <row r="2467" spans="1:52">
      <c r="A2467" s="131"/>
      <c r="B2467" s="72"/>
      <c r="D2467" s="72"/>
      <c r="G2467" s="72"/>
      <c r="J2467" s="72"/>
      <c r="M2467" s="72"/>
      <c r="P2467" s="72"/>
      <c r="S2467" s="72"/>
      <c r="V2467" s="72"/>
      <c r="Y2467" s="72"/>
      <c r="AB2467" s="72"/>
      <c r="AE2467" s="72"/>
      <c r="AH2467" s="72"/>
      <c r="AK2467" s="72"/>
      <c r="AN2467" s="72"/>
      <c r="AQ2467" s="72"/>
      <c r="AT2467" s="72"/>
      <c r="AW2467" s="72"/>
      <c r="AZ2467" s="72"/>
    </row>
    <row r="2468" spans="1:52">
      <c r="A2468" s="131"/>
      <c r="B2468" s="72"/>
      <c r="D2468" s="72"/>
      <c r="G2468" s="72"/>
      <c r="J2468" s="72"/>
      <c r="M2468" s="72"/>
      <c r="P2468" s="72"/>
      <c r="S2468" s="72"/>
      <c r="V2468" s="72"/>
      <c r="Y2468" s="72"/>
      <c r="AB2468" s="72"/>
      <c r="AE2468" s="72"/>
      <c r="AH2468" s="72"/>
      <c r="AK2468" s="72"/>
      <c r="AN2468" s="72"/>
      <c r="AQ2468" s="72"/>
      <c r="AT2468" s="72"/>
      <c r="AW2468" s="72"/>
      <c r="AZ2468" s="72"/>
    </row>
    <row r="2469" spans="1:52">
      <c r="A2469" s="131"/>
      <c r="B2469" s="72"/>
      <c r="D2469" s="72"/>
      <c r="G2469" s="72"/>
      <c r="J2469" s="72"/>
      <c r="M2469" s="72"/>
      <c r="P2469" s="72"/>
      <c r="S2469" s="72"/>
      <c r="V2469" s="72"/>
      <c r="Y2469" s="72"/>
      <c r="AB2469" s="72"/>
      <c r="AE2469" s="72"/>
      <c r="AH2469" s="72"/>
      <c r="AK2469" s="72"/>
      <c r="AN2469" s="72"/>
      <c r="AQ2469" s="72"/>
      <c r="AT2469" s="72"/>
      <c r="AW2469" s="72"/>
      <c r="AZ2469" s="72"/>
    </row>
    <row r="2470" spans="1:52">
      <c r="A2470" s="131"/>
      <c r="B2470" s="72"/>
      <c r="D2470" s="72"/>
      <c r="G2470" s="72"/>
      <c r="J2470" s="72"/>
      <c r="M2470" s="72"/>
      <c r="P2470" s="72"/>
      <c r="S2470" s="72"/>
      <c r="V2470" s="72"/>
      <c r="Y2470" s="72"/>
      <c r="AB2470" s="72"/>
      <c r="AE2470" s="72"/>
      <c r="AH2470" s="72"/>
      <c r="AK2470" s="72"/>
      <c r="AN2470" s="72"/>
      <c r="AQ2470" s="72"/>
      <c r="AT2470" s="72"/>
      <c r="AW2470" s="72"/>
      <c r="AZ2470" s="72"/>
    </row>
    <row r="2471" spans="1:52">
      <c r="A2471" s="131"/>
      <c r="B2471" s="72"/>
      <c r="D2471" s="72"/>
      <c r="G2471" s="72"/>
      <c r="J2471" s="72"/>
      <c r="M2471" s="72"/>
      <c r="P2471" s="72"/>
      <c r="S2471" s="72"/>
      <c r="V2471" s="72"/>
      <c r="Y2471" s="72"/>
      <c r="AB2471" s="72"/>
      <c r="AE2471" s="72"/>
      <c r="AH2471" s="72"/>
      <c r="AK2471" s="72"/>
      <c r="AN2471" s="72"/>
      <c r="AQ2471" s="72"/>
      <c r="AT2471" s="72"/>
      <c r="AW2471" s="72"/>
      <c r="AZ2471" s="72"/>
    </row>
    <row r="2472" spans="1:52">
      <c r="A2472" s="131"/>
      <c r="B2472" s="72"/>
      <c r="D2472" s="72"/>
      <c r="G2472" s="72"/>
      <c r="J2472" s="72"/>
      <c r="M2472" s="72"/>
      <c r="P2472" s="72"/>
      <c r="S2472" s="72"/>
      <c r="V2472" s="72"/>
      <c r="Y2472" s="72"/>
      <c r="AB2472" s="72"/>
      <c r="AE2472" s="72"/>
      <c r="AH2472" s="72"/>
      <c r="AK2472" s="72"/>
      <c r="AN2472" s="72"/>
      <c r="AQ2472" s="72"/>
      <c r="AT2472" s="72"/>
      <c r="AW2472" s="72"/>
      <c r="AZ2472" s="72"/>
    </row>
    <row r="2473" spans="1:52">
      <c r="A2473" s="131"/>
      <c r="B2473" s="72"/>
      <c r="D2473" s="72"/>
      <c r="G2473" s="72"/>
      <c r="J2473" s="72"/>
      <c r="M2473" s="72"/>
      <c r="P2473" s="72"/>
      <c r="S2473" s="72"/>
      <c r="V2473" s="72"/>
      <c r="Y2473" s="72"/>
      <c r="AB2473" s="72"/>
      <c r="AE2473" s="72"/>
      <c r="AH2473" s="72"/>
      <c r="AK2473" s="72"/>
      <c r="AN2473" s="72"/>
      <c r="AQ2473" s="72"/>
      <c r="AT2473" s="72"/>
      <c r="AW2473" s="72"/>
      <c r="AZ2473" s="72"/>
    </row>
    <row r="2474" spans="1:52">
      <c r="A2474" s="131"/>
      <c r="B2474" s="72"/>
      <c r="D2474" s="72"/>
      <c r="G2474" s="72"/>
      <c r="J2474" s="72"/>
      <c r="M2474" s="72"/>
      <c r="P2474" s="72"/>
      <c r="S2474" s="72"/>
      <c r="V2474" s="72"/>
      <c r="Y2474" s="72"/>
      <c r="AB2474" s="72"/>
      <c r="AE2474" s="72"/>
      <c r="AH2474" s="72"/>
      <c r="AK2474" s="72"/>
      <c r="AN2474" s="72"/>
      <c r="AQ2474" s="72"/>
      <c r="AT2474" s="72"/>
      <c r="AW2474" s="72"/>
      <c r="AZ2474" s="72"/>
    </row>
    <row r="2475" spans="1:52">
      <c r="A2475" s="131"/>
      <c r="B2475" s="72"/>
      <c r="D2475" s="72"/>
      <c r="G2475" s="72"/>
      <c r="J2475" s="72"/>
      <c r="M2475" s="72"/>
      <c r="P2475" s="72"/>
      <c r="S2475" s="72"/>
      <c r="V2475" s="72"/>
      <c r="Y2475" s="72"/>
      <c r="AB2475" s="72"/>
      <c r="AE2475" s="72"/>
      <c r="AH2475" s="72"/>
      <c r="AK2475" s="72"/>
      <c r="AN2475" s="72"/>
      <c r="AQ2475" s="72"/>
      <c r="AT2475" s="72"/>
      <c r="AW2475" s="72"/>
      <c r="AZ2475" s="72"/>
    </row>
    <row r="2476" spans="1:52">
      <c r="A2476" s="131"/>
      <c r="B2476" s="72"/>
      <c r="D2476" s="72"/>
      <c r="G2476" s="72"/>
      <c r="J2476" s="72"/>
      <c r="M2476" s="72"/>
      <c r="P2476" s="72"/>
      <c r="S2476" s="72"/>
      <c r="V2476" s="72"/>
      <c r="Y2476" s="72"/>
      <c r="AB2476" s="72"/>
      <c r="AE2476" s="72"/>
      <c r="AH2476" s="72"/>
      <c r="AK2476" s="72"/>
      <c r="AN2476" s="72"/>
      <c r="AQ2476" s="72"/>
      <c r="AT2476" s="72"/>
      <c r="AW2476" s="72"/>
      <c r="AZ2476" s="72"/>
    </row>
    <row r="2477" spans="1:52">
      <c r="A2477" s="131"/>
      <c r="B2477" s="72"/>
      <c r="D2477" s="72"/>
      <c r="G2477" s="72"/>
      <c r="J2477" s="72"/>
      <c r="M2477" s="72"/>
      <c r="P2477" s="72"/>
      <c r="S2477" s="72"/>
      <c r="V2477" s="72"/>
      <c r="Y2477" s="72"/>
      <c r="AB2477" s="72"/>
      <c r="AE2477" s="72"/>
      <c r="AH2477" s="72"/>
      <c r="AK2477" s="72"/>
      <c r="AN2477" s="72"/>
      <c r="AQ2477" s="72"/>
      <c r="AT2477" s="72"/>
      <c r="AW2477" s="72"/>
      <c r="AZ2477" s="72"/>
    </row>
    <row r="2478" spans="1:52">
      <c r="A2478" s="131"/>
      <c r="B2478" s="72"/>
      <c r="D2478" s="72"/>
      <c r="G2478" s="72"/>
      <c r="J2478" s="72"/>
      <c r="M2478" s="72"/>
      <c r="P2478" s="72"/>
      <c r="S2478" s="72"/>
      <c r="V2478" s="72"/>
      <c r="Y2478" s="72"/>
      <c r="AB2478" s="72"/>
      <c r="AE2478" s="72"/>
      <c r="AH2478" s="72"/>
      <c r="AK2478" s="72"/>
      <c r="AN2478" s="72"/>
      <c r="AQ2478" s="72"/>
      <c r="AT2478" s="72"/>
      <c r="AW2478" s="72"/>
      <c r="AZ2478" s="72"/>
    </row>
    <row r="2479" spans="1:52">
      <c r="A2479" s="131"/>
      <c r="B2479" s="72"/>
      <c r="D2479" s="72"/>
      <c r="G2479" s="72"/>
      <c r="J2479" s="72"/>
      <c r="M2479" s="72"/>
      <c r="P2479" s="72"/>
      <c r="S2479" s="72"/>
      <c r="V2479" s="72"/>
      <c r="Y2479" s="72"/>
      <c r="AB2479" s="72"/>
      <c r="AE2479" s="72"/>
      <c r="AH2479" s="72"/>
      <c r="AK2479" s="72"/>
      <c r="AN2479" s="72"/>
      <c r="AQ2479" s="72"/>
      <c r="AT2479" s="72"/>
      <c r="AW2479" s="72"/>
      <c r="AZ2479" s="72"/>
    </row>
    <row r="2480" spans="1:52">
      <c r="A2480" s="131"/>
      <c r="B2480" s="72"/>
      <c r="D2480" s="72"/>
      <c r="G2480" s="72"/>
      <c r="J2480" s="72"/>
      <c r="M2480" s="72"/>
      <c r="P2480" s="72"/>
      <c r="S2480" s="72"/>
      <c r="V2480" s="72"/>
      <c r="Y2480" s="72"/>
      <c r="AB2480" s="72"/>
      <c r="AE2480" s="72"/>
      <c r="AH2480" s="72"/>
      <c r="AK2480" s="72"/>
      <c r="AN2480" s="72"/>
      <c r="AQ2480" s="72"/>
      <c r="AT2480" s="72"/>
      <c r="AW2480" s="72"/>
      <c r="AZ2480" s="72"/>
    </row>
    <row r="2481" spans="1:52">
      <c r="A2481" s="131"/>
      <c r="B2481" s="72"/>
      <c r="D2481" s="72"/>
      <c r="G2481" s="72"/>
      <c r="J2481" s="72"/>
      <c r="M2481" s="72"/>
      <c r="P2481" s="72"/>
      <c r="S2481" s="72"/>
      <c r="V2481" s="72"/>
      <c r="Y2481" s="72"/>
      <c r="AB2481" s="72"/>
      <c r="AE2481" s="72"/>
      <c r="AH2481" s="72"/>
      <c r="AK2481" s="72"/>
      <c r="AN2481" s="72"/>
      <c r="AQ2481" s="72"/>
      <c r="AT2481" s="72"/>
      <c r="AW2481" s="72"/>
      <c r="AZ2481" s="72"/>
    </row>
    <row r="2482" spans="1:52">
      <c r="A2482" s="131"/>
      <c r="B2482" s="72"/>
      <c r="D2482" s="72"/>
      <c r="G2482" s="72"/>
      <c r="J2482" s="72"/>
      <c r="M2482" s="72"/>
      <c r="P2482" s="72"/>
      <c r="S2482" s="72"/>
      <c r="V2482" s="72"/>
      <c r="Y2482" s="72"/>
      <c r="AB2482" s="72"/>
      <c r="AE2482" s="72"/>
      <c r="AH2482" s="72"/>
      <c r="AK2482" s="72"/>
      <c r="AN2482" s="72"/>
      <c r="AQ2482" s="72"/>
      <c r="AT2482" s="72"/>
      <c r="AW2482" s="72"/>
      <c r="AZ2482" s="72"/>
    </row>
    <row r="2483" spans="1:52">
      <c r="A2483" s="131"/>
      <c r="B2483" s="72"/>
      <c r="D2483" s="72"/>
      <c r="G2483" s="72"/>
      <c r="J2483" s="72"/>
      <c r="M2483" s="72"/>
      <c r="P2483" s="72"/>
      <c r="S2483" s="72"/>
      <c r="V2483" s="72"/>
      <c r="Y2483" s="72"/>
      <c r="AB2483" s="72"/>
      <c r="AE2483" s="72"/>
      <c r="AH2483" s="72"/>
      <c r="AK2483" s="72"/>
      <c r="AN2483" s="72"/>
      <c r="AQ2483" s="72"/>
      <c r="AT2483" s="72"/>
      <c r="AW2483" s="72"/>
      <c r="AZ2483" s="72"/>
    </row>
    <row r="2484" spans="1:52">
      <c r="A2484" s="131"/>
      <c r="B2484" s="72"/>
      <c r="D2484" s="72"/>
      <c r="G2484" s="72"/>
      <c r="J2484" s="72"/>
      <c r="M2484" s="72"/>
      <c r="P2484" s="72"/>
      <c r="S2484" s="72"/>
      <c r="V2484" s="72"/>
      <c r="Y2484" s="72"/>
      <c r="AB2484" s="72"/>
      <c r="AE2484" s="72"/>
      <c r="AH2484" s="72"/>
      <c r="AK2484" s="72"/>
      <c r="AN2484" s="72"/>
      <c r="AQ2484" s="72"/>
      <c r="AT2484" s="72"/>
      <c r="AW2484" s="72"/>
      <c r="AZ2484" s="72"/>
    </row>
    <row r="2485" spans="1:52">
      <c r="A2485" s="131"/>
      <c r="B2485" s="72"/>
      <c r="D2485" s="72"/>
      <c r="G2485" s="72"/>
      <c r="J2485" s="72"/>
      <c r="M2485" s="72"/>
      <c r="P2485" s="72"/>
      <c r="S2485" s="72"/>
      <c r="V2485" s="72"/>
      <c r="Y2485" s="72"/>
      <c r="AB2485" s="72"/>
      <c r="AE2485" s="72"/>
      <c r="AH2485" s="72"/>
      <c r="AK2485" s="72"/>
      <c r="AN2485" s="72"/>
      <c r="AQ2485" s="72"/>
      <c r="AT2485" s="72"/>
      <c r="AW2485" s="72"/>
      <c r="AZ2485" s="72"/>
    </row>
    <row r="2486" spans="1:52">
      <c r="A2486" s="131"/>
      <c r="B2486" s="72"/>
      <c r="D2486" s="72"/>
      <c r="G2486" s="72"/>
      <c r="J2486" s="72"/>
      <c r="M2486" s="72"/>
      <c r="P2486" s="72"/>
      <c r="S2486" s="72"/>
      <c r="V2486" s="72"/>
      <c r="Y2486" s="72"/>
      <c r="AB2486" s="72"/>
      <c r="AE2486" s="72"/>
      <c r="AH2486" s="72"/>
      <c r="AK2486" s="72"/>
      <c r="AN2486" s="72"/>
      <c r="AQ2486" s="72"/>
      <c r="AT2486" s="72"/>
      <c r="AW2486" s="72"/>
      <c r="AZ2486" s="72"/>
    </row>
    <row r="2487" spans="1:52">
      <c r="A2487" s="131"/>
      <c r="B2487" s="72"/>
      <c r="D2487" s="72"/>
      <c r="G2487" s="72"/>
      <c r="J2487" s="72"/>
      <c r="M2487" s="72"/>
      <c r="P2487" s="72"/>
      <c r="S2487" s="72"/>
      <c r="V2487" s="72"/>
      <c r="Y2487" s="72"/>
      <c r="AB2487" s="72"/>
      <c r="AE2487" s="72"/>
      <c r="AH2487" s="72"/>
      <c r="AK2487" s="72"/>
      <c r="AN2487" s="72"/>
      <c r="AQ2487" s="72"/>
      <c r="AT2487" s="72"/>
      <c r="AW2487" s="72"/>
      <c r="AZ2487" s="72"/>
    </row>
    <row r="2488" spans="1:52">
      <c r="A2488" s="131"/>
      <c r="B2488" s="72"/>
      <c r="D2488" s="72"/>
      <c r="G2488" s="72"/>
      <c r="J2488" s="72"/>
      <c r="M2488" s="72"/>
      <c r="P2488" s="72"/>
      <c r="S2488" s="72"/>
      <c r="V2488" s="72"/>
      <c r="Y2488" s="72"/>
      <c r="AB2488" s="72"/>
      <c r="AE2488" s="72"/>
      <c r="AH2488" s="72"/>
      <c r="AK2488" s="72"/>
      <c r="AN2488" s="72"/>
      <c r="AQ2488" s="72"/>
      <c r="AT2488" s="72"/>
      <c r="AW2488" s="72"/>
      <c r="AZ2488" s="72"/>
    </row>
    <row r="2489" spans="1:52">
      <c r="A2489" s="131"/>
      <c r="B2489" s="72"/>
      <c r="D2489" s="72"/>
      <c r="G2489" s="72"/>
      <c r="J2489" s="72"/>
      <c r="M2489" s="72"/>
      <c r="P2489" s="72"/>
      <c r="S2489" s="72"/>
      <c r="V2489" s="72"/>
      <c r="Y2489" s="72"/>
      <c r="AB2489" s="72"/>
      <c r="AE2489" s="72"/>
      <c r="AH2489" s="72"/>
      <c r="AK2489" s="72"/>
      <c r="AN2489" s="72"/>
      <c r="AQ2489" s="72"/>
      <c r="AT2489" s="72"/>
      <c r="AW2489" s="72"/>
      <c r="AZ2489" s="72"/>
    </row>
    <row r="2490" spans="1:52">
      <c r="A2490" s="131"/>
      <c r="B2490" s="72"/>
      <c r="D2490" s="72"/>
      <c r="G2490" s="72"/>
      <c r="J2490" s="72"/>
      <c r="M2490" s="72"/>
      <c r="P2490" s="72"/>
      <c r="S2490" s="72"/>
      <c r="V2490" s="72"/>
      <c r="Y2490" s="72"/>
      <c r="AB2490" s="72"/>
      <c r="AE2490" s="72"/>
      <c r="AH2490" s="72"/>
      <c r="AK2490" s="72"/>
      <c r="AN2490" s="72"/>
      <c r="AQ2490" s="72"/>
      <c r="AT2490" s="72"/>
      <c r="AW2490" s="72"/>
      <c r="AZ2490" s="72"/>
    </row>
    <row r="2491" spans="1:52">
      <c r="A2491" s="131"/>
      <c r="B2491" s="72"/>
      <c r="D2491" s="72"/>
      <c r="G2491" s="72"/>
      <c r="J2491" s="72"/>
      <c r="M2491" s="72"/>
      <c r="P2491" s="72"/>
      <c r="S2491" s="72"/>
      <c r="V2491" s="72"/>
      <c r="Y2491" s="72"/>
      <c r="AB2491" s="72"/>
      <c r="AE2491" s="72"/>
      <c r="AH2491" s="72"/>
      <c r="AK2491" s="72"/>
      <c r="AN2491" s="72"/>
      <c r="AQ2491" s="72"/>
      <c r="AT2491" s="72"/>
      <c r="AW2491" s="72"/>
      <c r="AZ2491" s="72"/>
    </row>
    <row r="2492" spans="1:52">
      <c r="A2492" s="131"/>
      <c r="B2492" s="72"/>
      <c r="D2492" s="72"/>
      <c r="G2492" s="72"/>
      <c r="J2492" s="72"/>
      <c r="M2492" s="72"/>
      <c r="P2492" s="72"/>
      <c r="S2492" s="72"/>
      <c r="V2492" s="72"/>
      <c r="Y2492" s="72"/>
      <c r="AB2492" s="72"/>
      <c r="AE2492" s="72"/>
      <c r="AH2492" s="72"/>
      <c r="AK2492" s="72"/>
      <c r="AN2492" s="72"/>
      <c r="AQ2492" s="72"/>
      <c r="AT2492" s="72"/>
      <c r="AW2492" s="72"/>
      <c r="AZ2492" s="72"/>
    </row>
    <row r="2493" spans="1:52">
      <c r="A2493" s="131"/>
      <c r="B2493" s="72"/>
      <c r="D2493" s="72"/>
      <c r="G2493" s="72"/>
      <c r="J2493" s="72"/>
      <c r="M2493" s="72"/>
      <c r="P2493" s="72"/>
      <c r="S2493" s="72"/>
      <c r="V2493" s="72"/>
      <c r="Y2493" s="72"/>
      <c r="AB2493" s="72"/>
      <c r="AE2493" s="72"/>
      <c r="AH2493" s="72"/>
      <c r="AK2493" s="72"/>
      <c r="AN2493" s="72"/>
      <c r="AQ2493" s="72"/>
      <c r="AT2493" s="72"/>
      <c r="AW2493" s="72"/>
      <c r="AZ2493" s="72"/>
    </row>
    <row r="2494" spans="1:52">
      <c r="A2494" s="131"/>
      <c r="B2494" s="72"/>
      <c r="D2494" s="72"/>
      <c r="G2494" s="72"/>
      <c r="J2494" s="72"/>
      <c r="M2494" s="72"/>
      <c r="P2494" s="72"/>
      <c r="S2494" s="72"/>
      <c r="V2494" s="72"/>
      <c r="Y2494" s="72"/>
      <c r="AB2494" s="72"/>
      <c r="AE2494" s="72"/>
      <c r="AH2494" s="72"/>
      <c r="AK2494" s="72"/>
      <c r="AN2494" s="72"/>
      <c r="AQ2494" s="72"/>
      <c r="AT2494" s="72"/>
      <c r="AW2494" s="72"/>
      <c r="AZ2494" s="72"/>
    </row>
    <row r="2495" spans="1:52">
      <c r="A2495" s="131"/>
      <c r="B2495" s="72"/>
      <c r="D2495" s="72"/>
      <c r="G2495" s="72"/>
      <c r="J2495" s="72"/>
      <c r="M2495" s="72"/>
      <c r="P2495" s="72"/>
      <c r="S2495" s="72"/>
      <c r="V2495" s="72"/>
      <c r="Y2495" s="72"/>
      <c r="AB2495" s="72"/>
      <c r="AE2495" s="72"/>
      <c r="AH2495" s="72"/>
      <c r="AK2495" s="72"/>
      <c r="AN2495" s="72"/>
      <c r="AQ2495" s="72"/>
      <c r="AT2495" s="72"/>
      <c r="AW2495" s="72"/>
      <c r="AZ2495" s="72"/>
    </row>
    <row r="2496" spans="1:52">
      <c r="A2496" s="131"/>
      <c r="B2496" s="72"/>
      <c r="D2496" s="72"/>
      <c r="G2496" s="72"/>
      <c r="J2496" s="72"/>
      <c r="M2496" s="72"/>
      <c r="P2496" s="72"/>
      <c r="S2496" s="72"/>
      <c r="V2496" s="72"/>
      <c r="Y2496" s="72"/>
      <c r="AB2496" s="72"/>
      <c r="AE2496" s="72"/>
      <c r="AH2496" s="72"/>
      <c r="AK2496" s="72"/>
      <c r="AN2496" s="72"/>
      <c r="AQ2496" s="72"/>
      <c r="AT2496" s="72"/>
      <c r="AW2496" s="72"/>
      <c r="AZ2496" s="72"/>
    </row>
    <row r="2497" spans="1:52">
      <c r="A2497" s="131"/>
      <c r="B2497" s="72"/>
      <c r="D2497" s="72"/>
      <c r="G2497" s="72"/>
      <c r="J2497" s="72"/>
      <c r="M2497" s="72"/>
      <c r="P2497" s="72"/>
      <c r="S2497" s="72"/>
      <c r="V2497" s="72"/>
      <c r="Y2497" s="72"/>
      <c r="AB2497" s="72"/>
      <c r="AE2497" s="72"/>
      <c r="AH2497" s="72"/>
      <c r="AK2497" s="72"/>
      <c r="AN2497" s="72"/>
      <c r="AQ2497" s="72"/>
      <c r="AT2497" s="72"/>
      <c r="AW2497" s="72"/>
      <c r="AZ2497" s="72"/>
    </row>
    <row r="2498" spans="1:52">
      <c r="A2498" s="131"/>
      <c r="B2498" s="72"/>
      <c r="D2498" s="72"/>
      <c r="G2498" s="72"/>
      <c r="J2498" s="72"/>
      <c r="M2498" s="72"/>
      <c r="P2498" s="72"/>
      <c r="S2498" s="72"/>
      <c r="V2498" s="72"/>
      <c r="Y2498" s="72"/>
      <c r="AB2498" s="72"/>
      <c r="AE2498" s="72"/>
      <c r="AH2498" s="72"/>
      <c r="AK2498" s="72"/>
      <c r="AN2498" s="72"/>
      <c r="AQ2498" s="72"/>
      <c r="AT2498" s="72"/>
      <c r="AW2498" s="72"/>
      <c r="AZ2498" s="72"/>
    </row>
    <row r="2499" spans="1:52">
      <c r="A2499" s="131"/>
      <c r="B2499" s="72"/>
      <c r="D2499" s="72"/>
      <c r="G2499" s="72"/>
      <c r="J2499" s="72"/>
      <c r="M2499" s="72"/>
      <c r="P2499" s="72"/>
      <c r="S2499" s="72"/>
      <c r="V2499" s="72"/>
      <c r="Y2499" s="72"/>
      <c r="AB2499" s="72"/>
      <c r="AE2499" s="72"/>
      <c r="AH2499" s="72"/>
      <c r="AK2499" s="72"/>
      <c r="AN2499" s="72"/>
      <c r="AQ2499" s="72"/>
      <c r="AT2499" s="72"/>
      <c r="AW2499" s="72"/>
      <c r="AZ2499" s="72"/>
    </row>
    <row r="2500" spans="1:52">
      <c r="A2500" s="131"/>
      <c r="B2500" s="72"/>
      <c r="D2500" s="72"/>
      <c r="G2500" s="72"/>
      <c r="J2500" s="72"/>
      <c r="M2500" s="72"/>
      <c r="P2500" s="72"/>
      <c r="S2500" s="72"/>
      <c r="V2500" s="72"/>
      <c r="Y2500" s="72"/>
      <c r="AB2500" s="72"/>
      <c r="AE2500" s="72"/>
      <c r="AH2500" s="72"/>
      <c r="AK2500" s="72"/>
      <c r="AN2500" s="72"/>
      <c r="AQ2500" s="72"/>
      <c r="AT2500" s="72"/>
      <c r="AW2500" s="72"/>
      <c r="AZ2500" s="72"/>
    </row>
    <row r="2501" spans="1:52">
      <c r="A2501" s="131"/>
      <c r="B2501" s="72"/>
      <c r="D2501" s="72"/>
      <c r="G2501" s="72"/>
      <c r="J2501" s="72"/>
      <c r="M2501" s="72"/>
      <c r="P2501" s="72"/>
      <c r="S2501" s="72"/>
      <c r="V2501" s="72"/>
      <c r="Y2501" s="72"/>
      <c r="AB2501" s="72"/>
      <c r="AE2501" s="72"/>
      <c r="AH2501" s="72"/>
      <c r="AK2501" s="72"/>
      <c r="AN2501" s="72"/>
      <c r="AQ2501" s="72"/>
      <c r="AT2501" s="72"/>
      <c r="AW2501" s="72"/>
      <c r="AZ2501" s="72"/>
    </row>
    <row r="2502" spans="1:52">
      <c r="A2502" s="131"/>
      <c r="B2502" s="72"/>
      <c r="D2502" s="72"/>
      <c r="G2502" s="72"/>
      <c r="J2502" s="72"/>
      <c r="M2502" s="72"/>
      <c r="P2502" s="72"/>
      <c r="S2502" s="72"/>
      <c r="V2502" s="72"/>
      <c r="Y2502" s="72"/>
      <c r="AB2502" s="72"/>
      <c r="AE2502" s="72"/>
      <c r="AH2502" s="72"/>
      <c r="AK2502" s="72"/>
      <c r="AN2502" s="72"/>
      <c r="AQ2502" s="72"/>
      <c r="AT2502" s="72"/>
      <c r="AW2502" s="72"/>
      <c r="AZ2502" s="72"/>
    </row>
    <row r="2503" spans="1:52">
      <c r="A2503" s="131"/>
      <c r="B2503" s="72"/>
      <c r="D2503" s="72"/>
      <c r="G2503" s="72"/>
      <c r="J2503" s="72"/>
      <c r="M2503" s="72"/>
      <c r="P2503" s="72"/>
      <c r="S2503" s="72"/>
      <c r="V2503" s="72"/>
      <c r="Y2503" s="72"/>
      <c r="AB2503" s="72"/>
      <c r="AE2503" s="72"/>
      <c r="AH2503" s="72"/>
      <c r="AK2503" s="72"/>
      <c r="AN2503" s="72"/>
      <c r="AQ2503" s="72"/>
      <c r="AT2503" s="72"/>
      <c r="AW2503" s="72"/>
      <c r="AZ2503" s="72"/>
    </row>
    <row r="2504" spans="1:52">
      <c r="A2504" s="131"/>
      <c r="B2504" s="72"/>
      <c r="D2504" s="72"/>
      <c r="G2504" s="72"/>
      <c r="J2504" s="72"/>
      <c r="M2504" s="72"/>
      <c r="P2504" s="72"/>
      <c r="S2504" s="72"/>
      <c r="V2504" s="72"/>
      <c r="Y2504" s="72"/>
      <c r="AB2504" s="72"/>
      <c r="AE2504" s="72"/>
      <c r="AH2504" s="72"/>
      <c r="AK2504" s="72"/>
      <c r="AN2504" s="72"/>
      <c r="AQ2504" s="72"/>
      <c r="AT2504" s="72"/>
      <c r="AW2504" s="72"/>
      <c r="AZ2504" s="72"/>
    </row>
    <row r="2505" spans="1:52">
      <c r="A2505" s="131"/>
      <c r="B2505" s="72"/>
      <c r="D2505" s="72"/>
      <c r="G2505" s="72"/>
      <c r="J2505" s="72"/>
      <c r="M2505" s="72"/>
      <c r="P2505" s="72"/>
      <c r="S2505" s="72"/>
      <c r="V2505" s="72"/>
      <c r="Y2505" s="72"/>
      <c r="AB2505" s="72"/>
      <c r="AE2505" s="72"/>
      <c r="AH2505" s="72"/>
      <c r="AK2505" s="72"/>
      <c r="AN2505" s="72"/>
      <c r="AQ2505" s="72"/>
      <c r="AT2505" s="72"/>
      <c r="AW2505" s="72"/>
      <c r="AZ2505" s="72"/>
    </row>
    <row r="2506" spans="1:52">
      <c r="A2506" s="131"/>
      <c r="B2506" s="72"/>
      <c r="D2506" s="72"/>
      <c r="G2506" s="72"/>
      <c r="J2506" s="72"/>
      <c r="M2506" s="72"/>
      <c r="P2506" s="72"/>
      <c r="S2506" s="72"/>
      <c r="V2506" s="72"/>
      <c r="Y2506" s="72"/>
      <c r="AB2506" s="72"/>
      <c r="AE2506" s="72"/>
      <c r="AH2506" s="72"/>
      <c r="AK2506" s="72"/>
      <c r="AN2506" s="72"/>
      <c r="AQ2506" s="72"/>
      <c r="AT2506" s="72"/>
      <c r="AW2506" s="72"/>
      <c r="AZ2506" s="72"/>
    </row>
    <row r="2507" spans="1:52">
      <c r="A2507" s="131"/>
      <c r="B2507" s="72"/>
      <c r="D2507" s="72"/>
      <c r="G2507" s="72"/>
      <c r="J2507" s="72"/>
      <c r="M2507" s="72"/>
      <c r="P2507" s="72"/>
      <c r="S2507" s="72"/>
      <c r="V2507" s="72"/>
      <c r="Y2507" s="72"/>
      <c r="AB2507" s="72"/>
      <c r="AE2507" s="72"/>
      <c r="AH2507" s="72"/>
      <c r="AK2507" s="72"/>
      <c r="AN2507" s="72"/>
      <c r="AQ2507" s="72"/>
      <c r="AT2507" s="72"/>
      <c r="AW2507" s="72"/>
      <c r="AZ2507" s="72"/>
    </row>
    <row r="2508" spans="1:52">
      <c r="A2508" s="131"/>
      <c r="B2508" s="72"/>
      <c r="D2508" s="72"/>
      <c r="G2508" s="72"/>
      <c r="J2508" s="72"/>
      <c r="M2508" s="72"/>
      <c r="P2508" s="72"/>
      <c r="S2508" s="72"/>
      <c r="V2508" s="72"/>
      <c r="Y2508" s="72"/>
      <c r="AB2508" s="72"/>
      <c r="AE2508" s="72"/>
      <c r="AH2508" s="72"/>
      <c r="AK2508" s="72"/>
      <c r="AN2508" s="72"/>
      <c r="AQ2508" s="72"/>
      <c r="AT2508" s="72"/>
      <c r="AW2508" s="72"/>
      <c r="AZ2508" s="72"/>
    </row>
    <row r="2509" spans="1:52">
      <c r="A2509" s="131"/>
      <c r="B2509" s="72"/>
      <c r="D2509" s="72"/>
      <c r="G2509" s="72"/>
      <c r="J2509" s="72"/>
      <c r="M2509" s="72"/>
      <c r="P2509" s="72"/>
      <c r="S2509" s="72"/>
      <c r="V2509" s="72"/>
      <c r="Y2509" s="72"/>
      <c r="AB2509" s="72"/>
      <c r="AE2509" s="72"/>
      <c r="AH2509" s="72"/>
      <c r="AK2509" s="72"/>
      <c r="AN2509" s="72"/>
      <c r="AQ2509" s="72"/>
      <c r="AT2509" s="72"/>
      <c r="AW2509" s="72"/>
      <c r="AZ2509" s="72"/>
    </row>
    <row r="2510" spans="1:52">
      <c r="A2510" s="131"/>
      <c r="B2510" s="72"/>
      <c r="D2510" s="72"/>
      <c r="G2510" s="72"/>
      <c r="J2510" s="72"/>
      <c r="M2510" s="72"/>
      <c r="P2510" s="72"/>
      <c r="S2510" s="72"/>
      <c r="V2510" s="72"/>
      <c r="Y2510" s="72"/>
      <c r="AB2510" s="72"/>
      <c r="AE2510" s="72"/>
      <c r="AH2510" s="72"/>
      <c r="AK2510" s="72"/>
      <c r="AN2510" s="72"/>
      <c r="AQ2510" s="72"/>
      <c r="AT2510" s="72"/>
      <c r="AW2510" s="72"/>
      <c r="AZ2510" s="72"/>
    </row>
    <row r="2511" spans="1:52">
      <c r="A2511" s="131"/>
      <c r="B2511" s="72"/>
      <c r="D2511" s="72"/>
      <c r="G2511" s="72"/>
      <c r="J2511" s="72"/>
      <c r="M2511" s="72"/>
      <c r="P2511" s="72"/>
      <c r="S2511" s="72"/>
      <c r="V2511" s="72"/>
      <c r="Y2511" s="72"/>
      <c r="AB2511" s="72"/>
      <c r="AE2511" s="72"/>
      <c r="AH2511" s="72"/>
      <c r="AK2511" s="72"/>
      <c r="AN2511" s="72"/>
      <c r="AQ2511" s="72"/>
      <c r="AT2511" s="72"/>
      <c r="AW2511" s="72"/>
      <c r="AZ2511" s="72"/>
    </row>
    <row r="2512" spans="1:52">
      <c r="A2512" s="131"/>
      <c r="B2512" s="72"/>
      <c r="D2512" s="72"/>
      <c r="G2512" s="72"/>
      <c r="J2512" s="72"/>
      <c r="M2512" s="72"/>
      <c r="P2512" s="72"/>
      <c r="S2512" s="72"/>
      <c r="V2512" s="72"/>
      <c r="Y2512" s="72"/>
      <c r="AB2512" s="72"/>
      <c r="AE2512" s="72"/>
      <c r="AH2512" s="72"/>
      <c r="AK2512" s="72"/>
      <c r="AN2512" s="72"/>
      <c r="AQ2512" s="72"/>
      <c r="AT2512" s="72"/>
      <c r="AW2512" s="72"/>
      <c r="AZ2512" s="72"/>
    </row>
    <row r="2513" spans="1:52">
      <c r="A2513" s="131"/>
      <c r="B2513" s="72"/>
      <c r="D2513" s="72"/>
      <c r="G2513" s="72"/>
      <c r="J2513" s="72"/>
      <c r="M2513" s="72"/>
      <c r="P2513" s="72"/>
      <c r="S2513" s="72"/>
      <c r="V2513" s="72"/>
      <c r="Y2513" s="72"/>
      <c r="AB2513" s="72"/>
      <c r="AE2513" s="72"/>
      <c r="AH2513" s="72"/>
      <c r="AK2513" s="72"/>
      <c r="AN2513" s="72"/>
      <c r="AQ2513" s="72"/>
      <c r="AT2513" s="72"/>
      <c r="AW2513" s="72"/>
      <c r="AZ2513" s="72"/>
    </row>
    <row r="2514" spans="1:52">
      <c r="A2514" s="131"/>
      <c r="B2514" s="72"/>
      <c r="D2514" s="72"/>
      <c r="G2514" s="72"/>
      <c r="J2514" s="72"/>
      <c r="M2514" s="72"/>
      <c r="P2514" s="72"/>
      <c r="S2514" s="72"/>
      <c r="V2514" s="72"/>
      <c r="Y2514" s="72"/>
      <c r="AB2514" s="72"/>
      <c r="AE2514" s="72"/>
      <c r="AH2514" s="72"/>
      <c r="AK2514" s="72"/>
      <c r="AN2514" s="72"/>
      <c r="AQ2514" s="72"/>
      <c r="AT2514" s="72"/>
      <c r="AW2514" s="72"/>
      <c r="AZ2514" s="72"/>
    </row>
    <row r="2515" spans="1:52">
      <c r="A2515" s="131"/>
      <c r="B2515" s="72"/>
      <c r="D2515" s="72"/>
      <c r="G2515" s="72"/>
      <c r="J2515" s="72"/>
      <c r="M2515" s="72"/>
      <c r="P2515" s="72"/>
      <c r="S2515" s="72"/>
      <c r="V2515" s="72"/>
      <c r="Y2515" s="72"/>
      <c r="AB2515" s="72"/>
      <c r="AE2515" s="72"/>
      <c r="AH2515" s="72"/>
      <c r="AK2515" s="72"/>
      <c r="AN2515" s="72"/>
      <c r="AQ2515" s="72"/>
      <c r="AT2515" s="72"/>
      <c r="AW2515" s="72"/>
      <c r="AZ2515" s="72"/>
    </row>
    <row r="2516" spans="1:52">
      <c r="A2516" s="131"/>
      <c r="B2516" s="72"/>
      <c r="D2516" s="72"/>
      <c r="G2516" s="72"/>
      <c r="J2516" s="72"/>
      <c r="M2516" s="72"/>
      <c r="P2516" s="72"/>
      <c r="S2516" s="72"/>
      <c r="V2516" s="72"/>
      <c r="Y2516" s="72"/>
      <c r="AB2516" s="72"/>
      <c r="AE2516" s="72"/>
      <c r="AH2516" s="72"/>
      <c r="AK2516" s="72"/>
      <c r="AN2516" s="72"/>
      <c r="AQ2516" s="72"/>
      <c r="AT2516" s="72"/>
      <c r="AW2516" s="72"/>
      <c r="AZ2516" s="72"/>
    </row>
    <row r="2517" spans="1:52">
      <c r="A2517" s="131"/>
      <c r="B2517" s="72"/>
      <c r="D2517" s="72"/>
      <c r="G2517" s="72"/>
      <c r="J2517" s="72"/>
      <c r="M2517" s="72"/>
      <c r="P2517" s="72"/>
      <c r="S2517" s="72"/>
      <c r="V2517" s="72"/>
      <c r="Y2517" s="72"/>
      <c r="AB2517" s="72"/>
      <c r="AE2517" s="72"/>
      <c r="AH2517" s="72"/>
      <c r="AK2517" s="72"/>
      <c r="AN2517" s="72"/>
      <c r="AQ2517" s="72"/>
      <c r="AT2517" s="72"/>
      <c r="AW2517" s="72"/>
      <c r="AZ2517" s="72"/>
    </row>
    <row r="2518" spans="1:52">
      <c r="A2518" s="131"/>
      <c r="B2518" s="72"/>
      <c r="D2518" s="72"/>
      <c r="G2518" s="72"/>
      <c r="J2518" s="72"/>
      <c r="M2518" s="72"/>
      <c r="P2518" s="72"/>
      <c r="S2518" s="72"/>
      <c r="V2518" s="72"/>
      <c r="Y2518" s="72"/>
      <c r="AB2518" s="72"/>
      <c r="AE2518" s="72"/>
      <c r="AH2518" s="72"/>
      <c r="AK2518" s="72"/>
      <c r="AN2518" s="72"/>
      <c r="AQ2518" s="72"/>
      <c r="AT2518" s="72"/>
      <c r="AW2518" s="72"/>
      <c r="AZ2518" s="72"/>
    </row>
    <row r="2519" spans="1:52">
      <c r="A2519" s="131"/>
      <c r="B2519" s="72"/>
      <c r="D2519" s="72"/>
      <c r="G2519" s="72"/>
      <c r="J2519" s="72"/>
      <c r="M2519" s="72"/>
      <c r="P2519" s="72"/>
      <c r="S2519" s="72"/>
      <c r="V2519" s="72"/>
      <c r="Y2519" s="72"/>
      <c r="AB2519" s="72"/>
      <c r="AE2519" s="72"/>
      <c r="AH2519" s="72"/>
      <c r="AK2519" s="72"/>
      <c r="AN2519" s="72"/>
      <c r="AQ2519" s="72"/>
      <c r="AT2519" s="72"/>
      <c r="AW2519" s="72"/>
      <c r="AZ2519" s="72"/>
    </row>
    <row r="2520" spans="1:52">
      <c r="A2520" s="131"/>
      <c r="B2520" s="72"/>
      <c r="D2520" s="72"/>
      <c r="G2520" s="72"/>
      <c r="J2520" s="72"/>
      <c r="M2520" s="72"/>
      <c r="P2520" s="72"/>
      <c r="S2520" s="72"/>
      <c r="V2520" s="72"/>
      <c r="Y2520" s="72"/>
      <c r="AB2520" s="72"/>
      <c r="AE2520" s="72"/>
      <c r="AH2520" s="72"/>
      <c r="AK2520" s="72"/>
      <c r="AN2520" s="72"/>
      <c r="AQ2520" s="72"/>
      <c r="AT2520" s="72"/>
      <c r="AW2520" s="72"/>
      <c r="AZ2520" s="72"/>
    </row>
    <row r="2521" spans="1:52">
      <c r="A2521" s="131"/>
      <c r="B2521" s="72"/>
      <c r="D2521" s="72"/>
      <c r="G2521" s="72"/>
      <c r="J2521" s="72"/>
      <c r="M2521" s="72"/>
      <c r="P2521" s="72"/>
      <c r="S2521" s="72"/>
      <c r="V2521" s="72"/>
      <c r="Y2521" s="72"/>
      <c r="AB2521" s="72"/>
      <c r="AE2521" s="72"/>
      <c r="AH2521" s="72"/>
      <c r="AK2521" s="72"/>
      <c r="AN2521" s="72"/>
      <c r="AQ2521" s="72"/>
      <c r="AT2521" s="72"/>
      <c r="AW2521" s="72"/>
      <c r="AZ2521" s="72"/>
    </row>
    <row r="2522" spans="1:52">
      <c r="A2522" s="131"/>
      <c r="B2522" s="72"/>
      <c r="D2522" s="72"/>
      <c r="G2522" s="72"/>
      <c r="J2522" s="72"/>
      <c r="M2522" s="72"/>
      <c r="P2522" s="72"/>
      <c r="S2522" s="72"/>
      <c r="V2522" s="72"/>
      <c r="Y2522" s="72"/>
      <c r="AB2522" s="72"/>
      <c r="AE2522" s="72"/>
      <c r="AH2522" s="72"/>
      <c r="AK2522" s="72"/>
      <c r="AN2522" s="72"/>
      <c r="AQ2522" s="72"/>
      <c r="AT2522" s="72"/>
      <c r="AW2522" s="72"/>
      <c r="AZ2522" s="72"/>
    </row>
    <row r="2523" spans="1:52">
      <c r="A2523" s="131"/>
      <c r="B2523" s="72"/>
      <c r="D2523" s="72"/>
      <c r="G2523" s="72"/>
      <c r="J2523" s="72"/>
      <c r="M2523" s="72"/>
      <c r="P2523" s="72"/>
      <c r="S2523" s="72"/>
      <c r="V2523" s="72"/>
      <c r="Y2523" s="72"/>
      <c r="AB2523" s="72"/>
      <c r="AE2523" s="72"/>
      <c r="AH2523" s="72"/>
      <c r="AK2523" s="72"/>
      <c r="AN2523" s="72"/>
      <c r="AQ2523" s="72"/>
      <c r="AT2523" s="72"/>
      <c r="AW2523" s="72"/>
      <c r="AZ2523" s="72"/>
    </row>
    <row r="2524" spans="1:52">
      <c r="A2524" s="131"/>
      <c r="B2524" s="72"/>
      <c r="D2524" s="72"/>
      <c r="G2524" s="72"/>
      <c r="J2524" s="72"/>
      <c r="M2524" s="72"/>
      <c r="P2524" s="72"/>
      <c r="S2524" s="72"/>
      <c r="V2524" s="72"/>
      <c r="Y2524" s="72"/>
      <c r="AB2524" s="72"/>
      <c r="AE2524" s="72"/>
      <c r="AH2524" s="72"/>
      <c r="AK2524" s="72"/>
      <c r="AN2524" s="72"/>
      <c r="AQ2524" s="72"/>
      <c r="AT2524" s="72"/>
      <c r="AW2524" s="72"/>
      <c r="AZ2524" s="72"/>
    </row>
    <row r="2525" spans="1:52">
      <c r="A2525" s="131"/>
      <c r="B2525" s="72"/>
      <c r="D2525" s="72"/>
      <c r="G2525" s="72"/>
      <c r="J2525" s="72"/>
      <c r="M2525" s="72"/>
      <c r="P2525" s="72"/>
      <c r="S2525" s="72"/>
      <c r="V2525" s="72"/>
      <c r="Y2525" s="72"/>
      <c r="AB2525" s="72"/>
      <c r="AE2525" s="72"/>
      <c r="AH2525" s="72"/>
      <c r="AK2525" s="72"/>
      <c r="AN2525" s="72"/>
      <c r="AQ2525" s="72"/>
      <c r="AT2525" s="72"/>
      <c r="AW2525" s="72"/>
      <c r="AZ2525" s="72"/>
    </row>
    <row r="2526" spans="1:52">
      <c r="A2526" s="131"/>
      <c r="B2526" s="72"/>
      <c r="D2526" s="72"/>
      <c r="G2526" s="72"/>
      <c r="J2526" s="72"/>
      <c r="M2526" s="72"/>
      <c r="P2526" s="72"/>
      <c r="S2526" s="72"/>
      <c r="V2526" s="72"/>
      <c r="Y2526" s="72"/>
      <c r="AB2526" s="72"/>
      <c r="AE2526" s="72"/>
      <c r="AH2526" s="72"/>
      <c r="AK2526" s="72"/>
      <c r="AN2526" s="72"/>
      <c r="AQ2526" s="72"/>
      <c r="AT2526" s="72"/>
      <c r="AW2526" s="72"/>
      <c r="AZ2526" s="72"/>
    </row>
    <row r="2527" spans="1:52">
      <c r="A2527" s="131"/>
      <c r="B2527" s="72"/>
      <c r="D2527" s="72"/>
      <c r="G2527" s="72"/>
      <c r="J2527" s="72"/>
      <c r="M2527" s="72"/>
      <c r="P2527" s="72"/>
      <c r="S2527" s="72"/>
      <c r="V2527" s="72"/>
      <c r="Y2527" s="72"/>
      <c r="AB2527" s="72"/>
      <c r="AE2527" s="72"/>
      <c r="AH2527" s="72"/>
      <c r="AK2527" s="72"/>
      <c r="AN2527" s="72"/>
      <c r="AQ2527" s="72"/>
      <c r="AT2527" s="72"/>
      <c r="AW2527" s="72"/>
      <c r="AZ2527" s="72"/>
    </row>
    <row r="2528" spans="1:52">
      <c r="A2528" s="131"/>
      <c r="B2528" s="72"/>
      <c r="D2528" s="72"/>
      <c r="G2528" s="72"/>
      <c r="J2528" s="72"/>
      <c r="M2528" s="72"/>
      <c r="P2528" s="72"/>
      <c r="S2528" s="72"/>
      <c r="V2528" s="72"/>
      <c r="Y2528" s="72"/>
      <c r="AB2528" s="72"/>
      <c r="AE2528" s="72"/>
      <c r="AH2528" s="72"/>
      <c r="AK2528" s="72"/>
      <c r="AN2528" s="72"/>
      <c r="AQ2528" s="72"/>
      <c r="AT2528" s="72"/>
      <c r="AW2528" s="72"/>
      <c r="AZ2528" s="72"/>
    </row>
    <row r="2529" spans="1:52">
      <c r="A2529" s="131"/>
      <c r="B2529" s="72"/>
      <c r="D2529" s="72"/>
      <c r="G2529" s="72"/>
      <c r="J2529" s="72"/>
      <c r="M2529" s="72"/>
      <c r="P2529" s="72"/>
      <c r="S2529" s="72"/>
      <c r="V2529" s="72"/>
      <c r="Y2529" s="72"/>
      <c r="AB2529" s="72"/>
      <c r="AE2529" s="72"/>
      <c r="AH2529" s="72"/>
      <c r="AK2529" s="72"/>
      <c r="AN2529" s="72"/>
      <c r="AQ2529" s="72"/>
      <c r="AT2529" s="72"/>
      <c r="AW2529" s="72"/>
      <c r="AZ2529" s="72"/>
    </row>
    <row r="2530" spans="1:52">
      <c r="A2530" s="131"/>
      <c r="B2530" s="72"/>
      <c r="D2530" s="72"/>
      <c r="G2530" s="72"/>
      <c r="J2530" s="72"/>
      <c r="M2530" s="72"/>
      <c r="P2530" s="72"/>
      <c r="S2530" s="72"/>
      <c r="V2530" s="72"/>
      <c r="Y2530" s="72"/>
      <c r="AB2530" s="72"/>
      <c r="AE2530" s="72"/>
      <c r="AH2530" s="72"/>
      <c r="AK2530" s="72"/>
      <c r="AN2530" s="72"/>
      <c r="AQ2530" s="72"/>
      <c r="AT2530" s="72"/>
      <c r="AW2530" s="72"/>
      <c r="AZ2530" s="72"/>
    </row>
    <row r="2531" spans="1:52">
      <c r="A2531" s="131"/>
      <c r="B2531" s="72"/>
      <c r="D2531" s="72"/>
      <c r="G2531" s="72"/>
      <c r="J2531" s="72"/>
      <c r="M2531" s="72"/>
      <c r="P2531" s="72"/>
      <c r="S2531" s="72"/>
      <c r="V2531" s="72"/>
      <c r="Y2531" s="72"/>
      <c r="AB2531" s="72"/>
      <c r="AE2531" s="72"/>
      <c r="AH2531" s="72"/>
      <c r="AK2531" s="72"/>
      <c r="AN2531" s="72"/>
      <c r="AQ2531" s="72"/>
      <c r="AT2531" s="72"/>
      <c r="AW2531" s="72"/>
      <c r="AZ2531" s="72"/>
    </row>
    <row r="2532" spans="1:52">
      <c r="A2532" s="131"/>
      <c r="B2532" s="72"/>
      <c r="D2532" s="72"/>
      <c r="G2532" s="72"/>
      <c r="J2532" s="72"/>
      <c r="M2532" s="72"/>
      <c r="P2532" s="72"/>
      <c r="S2532" s="72"/>
      <c r="V2532" s="72"/>
      <c r="Y2532" s="72"/>
      <c r="AB2532" s="72"/>
      <c r="AE2532" s="72"/>
      <c r="AH2532" s="72"/>
      <c r="AK2532" s="72"/>
      <c r="AN2532" s="72"/>
      <c r="AQ2532" s="72"/>
      <c r="AT2532" s="72"/>
      <c r="AW2532" s="72"/>
      <c r="AZ2532" s="72"/>
    </row>
    <row r="2533" spans="1:52">
      <c r="A2533" s="131"/>
      <c r="B2533" s="72"/>
      <c r="D2533" s="72"/>
      <c r="G2533" s="72"/>
      <c r="J2533" s="72"/>
      <c r="M2533" s="72"/>
      <c r="P2533" s="72"/>
      <c r="S2533" s="72"/>
      <c r="V2533" s="72"/>
      <c r="Y2533" s="72"/>
      <c r="AB2533" s="72"/>
      <c r="AE2533" s="72"/>
      <c r="AH2533" s="72"/>
      <c r="AK2533" s="72"/>
      <c r="AN2533" s="72"/>
      <c r="AQ2533" s="72"/>
      <c r="AT2533" s="72"/>
      <c r="AW2533" s="72"/>
      <c r="AZ2533" s="72"/>
    </row>
    <row r="2534" spans="1:52">
      <c r="A2534" s="131"/>
      <c r="B2534" s="72"/>
      <c r="D2534" s="72"/>
      <c r="G2534" s="72"/>
      <c r="J2534" s="72"/>
      <c r="M2534" s="72"/>
      <c r="P2534" s="72"/>
      <c r="S2534" s="72"/>
      <c r="V2534" s="72"/>
      <c r="Y2534" s="72"/>
      <c r="AB2534" s="72"/>
      <c r="AE2534" s="72"/>
      <c r="AH2534" s="72"/>
      <c r="AK2534" s="72"/>
      <c r="AN2534" s="72"/>
      <c r="AQ2534" s="72"/>
      <c r="AT2534" s="72"/>
      <c r="AW2534" s="72"/>
      <c r="AZ2534" s="72"/>
    </row>
    <row r="2535" spans="1:52">
      <c r="A2535" s="131"/>
      <c r="B2535" s="72"/>
      <c r="D2535" s="72"/>
      <c r="G2535" s="72"/>
      <c r="J2535" s="72"/>
      <c r="M2535" s="72"/>
      <c r="P2535" s="72"/>
      <c r="S2535" s="72"/>
      <c r="V2535" s="72"/>
      <c r="Y2535" s="72"/>
      <c r="AB2535" s="72"/>
      <c r="AE2535" s="72"/>
      <c r="AH2535" s="72"/>
      <c r="AK2535" s="72"/>
      <c r="AN2535" s="72"/>
      <c r="AQ2535" s="72"/>
      <c r="AT2535" s="72"/>
      <c r="AW2535" s="72"/>
      <c r="AZ2535" s="72"/>
    </row>
    <row r="2536" spans="1:52">
      <c r="A2536" s="131"/>
      <c r="B2536" s="72"/>
      <c r="D2536" s="72"/>
      <c r="G2536" s="72"/>
      <c r="J2536" s="72"/>
      <c r="M2536" s="72"/>
      <c r="P2536" s="72"/>
      <c r="S2536" s="72"/>
      <c r="V2536" s="72"/>
      <c r="Y2536" s="72"/>
      <c r="AB2536" s="72"/>
      <c r="AE2536" s="72"/>
      <c r="AH2536" s="72"/>
      <c r="AK2536" s="72"/>
      <c r="AN2536" s="72"/>
      <c r="AQ2536" s="72"/>
      <c r="AT2536" s="72"/>
      <c r="AW2536" s="72"/>
      <c r="AZ2536" s="72"/>
    </row>
    <row r="2537" spans="1:52">
      <c r="A2537" s="131"/>
      <c r="B2537" s="72"/>
      <c r="D2537" s="72"/>
      <c r="G2537" s="72"/>
      <c r="J2537" s="72"/>
      <c r="M2537" s="72"/>
      <c r="P2537" s="72"/>
      <c r="S2537" s="72"/>
      <c r="V2537" s="72"/>
      <c r="Y2537" s="72"/>
      <c r="AB2537" s="72"/>
      <c r="AE2537" s="72"/>
      <c r="AH2537" s="72"/>
      <c r="AK2537" s="72"/>
      <c r="AN2537" s="72"/>
      <c r="AQ2537" s="72"/>
      <c r="AT2537" s="72"/>
      <c r="AW2537" s="72"/>
      <c r="AZ2537" s="72"/>
    </row>
    <row r="2538" spans="1:52">
      <c r="A2538" s="131"/>
      <c r="B2538" s="72"/>
      <c r="D2538" s="72"/>
      <c r="G2538" s="72"/>
      <c r="J2538" s="72"/>
      <c r="M2538" s="72"/>
      <c r="P2538" s="72"/>
      <c r="S2538" s="72"/>
      <c r="V2538" s="72"/>
      <c r="Y2538" s="72"/>
      <c r="AB2538" s="72"/>
      <c r="AE2538" s="72"/>
      <c r="AH2538" s="72"/>
      <c r="AK2538" s="72"/>
      <c r="AN2538" s="72"/>
      <c r="AQ2538" s="72"/>
      <c r="AT2538" s="72"/>
      <c r="AW2538" s="72"/>
      <c r="AZ2538" s="72"/>
    </row>
    <row r="2539" spans="1:52">
      <c r="A2539" s="131"/>
      <c r="B2539" s="72"/>
      <c r="D2539" s="72"/>
      <c r="G2539" s="72"/>
      <c r="J2539" s="72"/>
      <c r="M2539" s="72"/>
      <c r="P2539" s="72"/>
      <c r="S2539" s="72"/>
      <c r="V2539" s="72"/>
      <c r="Y2539" s="72"/>
      <c r="AB2539" s="72"/>
      <c r="AE2539" s="72"/>
      <c r="AH2539" s="72"/>
      <c r="AK2539" s="72"/>
      <c r="AN2539" s="72"/>
      <c r="AQ2539" s="72"/>
      <c r="AT2539" s="72"/>
      <c r="AW2539" s="72"/>
      <c r="AZ2539" s="72"/>
    </row>
    <row r="2540" spans="1:52">
      <c r="A2540" s="131"/>
      <c r="B2540" s="72"/>
      <c r="D2540" s="72"/>
      <c r="G2540" s="72"/>
      <c r="J2540" s="72"/>
      <c r="M2540" s="72"/>
      <c r="P2540" s="72"/>
      <c r="S2540" s="72"/>
      <c r="V2540" s="72"/>
      <c r="Y2540" s="72"/>
      <c r="AB2540" s="72"/>
      <c r="AE2540" s="72"/>
      <c r="AH2540" s="72"/>
      <c r="AK2540" s="72"/>
      <c r="AN2540" s="72"/>
      <c r="AQ2540" s="72"/>
      <c r="AT2540" s="72"/>
      <c r="AW2540" s="72"/>
      <c r="AZ2540" s="72"/>
    </row>
    <row r="2541" spans="1:52">
      <c r="A2541" s="131"/>
      <c r="B2541" s="72"/>
      <c r="D2541" s="72"/>
      <c r="G2541" s="72"/>
      <c r="J2541" s="72"/>
      <c r="M2541" s="72"/>
      <c r="P2541" s="72"/>
      <c r="S2541" s="72"/>
      <c r="V2541" s="72"/>
      <c r="Y2541" s="72"/>
      <c r="AB2541" s="72"/>
      <c r="AE2541" s="72"/>
      <c r="AH2541" s="72"/>
      <c r="AK2541" s="72"/>
      <c r="AN2541" s="72"/>
      <c r="AQ2541" s="72"/>
      <c r="AT2541" s="72"/>
      <c r="AW2541" s="72"/>
      <c r="AZ2541" s="72"/>
    </row>
    <row r="2542" spans="1:52">
      <c r="A2542" s="131"/>
      <c r="B2542" s="72"/>
      <c r="D2542" s="72"/>
      <c r="G2542" s="72"/>
      <c r="J2542" s="72"/>
      <c r="M2542" s="72"/>
      <c r="P2542" s="72"/>
      <c r="S2542" s="72"/>
      <c r="V2542" s="72"/>
      <c r="Y2542" s="72"/>
      <c r="AB2542" s="72"/>
      <c r="AE2542" s="72"/>
      <c r="AH2542" s="72"/>
      <c r="AK2542" s="72"/>
      <c r="AN2542" s="72"/>
      <c r="AQ2542" s="72"/>
      <c r="AT2542" s="72"/>
      <c r="AW2542" s="72"/>
      <c r="AZ2542" s="72"/>
    </row>
    <row r="2543" spans="1:52">
      <c r="A2543" s="131"/>
      <c r="B2543" s="72"/>
      <c r="D2543" s="72"/>
      <c r="G2543" s="72"/>
      <c r="J2543" s="72"/>
      <c r="M2543" s="72"/>
      <c r="P2543" s="72"/>
      <c r="S2543" s="72"/>
      <c r="V2543" s="72"/>
      <c r="Y2543" s="72"/>
      <c r="AB2543" s="72"/>
      <c r="AE2543" s="72"/>
      <c r="AH2543" s="72"/>
      <c r="AK2543" s="72"/>
      <c r="AN2543" s="72"/>
      <c r="AQ2543" s="72"/>
      <c r="AT2543" s="72"/>
      <c r="AW2543" s="72"/>
      <c r="AZ2543" s="72"/>
    </row>
    <row r="2544" spans="1:52">
      <c r="A2544" s="131"/>
      <c r="B2544" s="72"/>
      <c r="D2544" s="72"/>
      <c r="G2544" s="72"/>
      <c r="J2544" s="72"/>
      <c r="M2544" s="72"/>
      <c r="P2544" s="72"/>
      <c r="S2544" s="72"/>
      <c r="V2544" s="72"/>
      <c r="Y2544" s="72"/>
      <c r="AB2544" s="72"/>
      <c r="AE2544" s="72"/>
      <c r="AH2544" s="72"/>
      <c r="AK2544" s="72"/>
      <c r="AN2544" s="72"/>
      <c r="AQ2544" s="72"/>
      <c r="AT2544" s="72"/>
      <c r="AW2544" s="72"/>
      <c r="AZ2544" s="72"/>
    </row>
    <row r="2545" spans="1:52">
      <c r="A2545" s="131"/>
      <c r="B2545" s="72"/>
      <c r="D2545" s="72"/>
      <c r="G2545" s="72"/>
      <c r="J2545" s="72"/>
      <c r="M2545" s="72"/>
      <c r="P2545" s="72"/>
      <c r="S2545" s="72"/>
      <c r="V2545" s="72"/>
      <c r="Y2545" s="72"/>
      <c r="AB2545" s="72"/>
      <c r="AE2545" s="72"/>
      <c r="AH2545" s="72"/>
      <c r="AK2545" s="72"/>
      <c r="AN2545" s="72"/>
      <c r="AQ2545" s="72"/>
      <c r="AT2545" s="72"/>
      <c r="AW2545" s="72"/>
      <c r="AZ2545" s="72"/>
    </row>
    <row r="2546" spans="1:52">
      <c r="A2546" s="131"/>
      <c r="B2546" s="72"/>
      <c r="D2546" s="72"/>
      <c r="G2546" s="72"/>
      <c r="J2546" s="72"/>
      <c r="M2546" s="72"/>
      <c r="P2546" s="72"/>
      <c r="S2546" s="72"/>
      <c r="V2546" s="72"/>
      <c r="Y2546" s="72"/>
      <c r="AB2546" s="72"/>
      <c r="AE2546" s="72"/>
      <c r="AH2546" s="72"/>
      <c r="AK2546" s="72"/>
      <c r="AN2546" s="72"/>
      <c r="AQ2546" s="72"/>
      <c r="AT2546" s="72"/>
      <c r="AW2546" s="72"/>
      <c r="AZ2546" s="72"/>
    </row>
    <row r="2547" spans="1:52">
      <c r="A2547" s="131"/>
      <c r="B2547" s="72"/>
      <c r="D2547" s="72"/>
      <c r="G2547" s="72"/>
      <c r="J2547" s="72"/>
      <c r="M2547" s="72"/>
      <c r="P2547" s="72"/>
      <c r="S2547" s="72"/>
      <c r="V2547" s="72"/>
      <c r="Y2547" s="72"/>
      <c r="AB2547" s="72"/>
      <c r="AE2547" s="72"/>
      <c r="AH2547" s="72"/>
      <c r="AK2547" s="72"/>
      <c r="AN2547" s="72"/>
      <c r="AQ2547" s="72"/>
      <c r="AT2547" s="72"/>
      <c r="AW2547" s="72"/>
      <c r="AZ2547" s="72"/>
    </row>
    <row r="2548" spans="1:52">
      <c r="A2548" s="131"/>
      <c r="B2548" s="72"/>
      <c r="D2548" s="72"/>
      <c r="G2548" s="72"/>
      <c r="J2548" s="72"/>
      <c r="M2548" s="72"/>
      <c r="P2548" s="72"/>
      <c r="S2548" s="72"/>
      <c r="V2548" s="72"/>
      <c r="Y2548" s="72"/>
      <c r="AB2548" s="72"/>
      <c r="AE2548" s="72"/>
      <c r="AH2548" s="72"/>
      <c r="AK2548" s="72"/>
      <c r="AN2548" s="72"/>
      <c r="AQ2548" s="72"/>
      <c r="AT2548" s="72"/>
      <c r="AW2548" s="72"/>
      <c r="AZ2548" s="72"/>
    </row>
    <row r="2549" spans="1:52">
      <c r="A2549" s="131"/>
      <c r="B2549" s="72"/>
      <c r="D2549" s="72"/>
      <c r="G2549" s="72"/>
      <c r="J2549" s="72"/>
      <c r="M2549" s="72"/>
      <c r="P2549" s="72"/>
      <c r="S2549" s="72"/>
      <c r="V2549" s="72"/>
      <c r="Y2549" s="72"/>
      <c r="AB2549" s="72"/>
      <c r="AE2549" s="72"/>
      <c r="AH2549" s="72"/>
      <c r="AK2549" s="72"/>
      <c r="AN2549" s="72"/>
      <c r="AQ2549" s="72"/>
      <c r="AT2549" s="72"/>
      <c r="AW2549" s="72"/>
      <c r="AZ2549" s="72"/>
    </row>
    <row r="2550" spans="1:52">
      <c r="A2550" s="131"/>
      <c r="B2550" s="72"/>
      <c r="D2550" s="72"/>
      <c r="G2550" s="72"/>
      <c r="J2550" s="72"/>
      <c r="M2550" s="72"/>
      <c r="P2550" s="72"/>
      <c r="S2550" s="72"/>
      <c r="V2550" s="72"/>
      <c r="Y2550" s="72"/>
      <c r="AB2550" s="72"/>
      <c r="AE2550" s="72"/>
      <c r="AH2550" s="72"/>
      <c r="AK2550" s="72"/>
      <c r="AN2550" s="72"/>
      <c r="AQ2550" s="72"/>
      <c r="AT2550" s="72"/>
      <c r="AW2550" s="72"/>
      <c r="AZ2550" s="72"/>
    </row>
    <row r="2551" spans="1:52">
      <c r="A2551" s="131"/>
      <c r="B2551" s="72"/>
      <c r="D2551" s="72"/>
      <c r="G2551" s="72"/>
      <c r="J2551" s="72"/>
      <c r="M2551" s="72"/>
      <c r="P2551" s="72"/>
      <c r="S2551" s="72"/>
      <c r="V2551" s="72"/>
      <c r="Y2551" s="72"/>
      <c r="AB2551" s="72"/>
      <c r="AE2551" s="72"/>
      <c r="AH2551" s="72"/>
      <c r="AK2551" s="72"/>
      <c r="AN2551" s="72"/>
      <c r="AQ2551" s="72"/>
      <c r="AT2551" s="72"/>
      <c r="AW2551" s="72"/>
      <c r="AZ2551" s="72"/>
    </row>
    <row r="2552" spans="1:52">
      <c r="A2552" s="131"/>
      <c r="B2552" s="72"/>
      <c r="D2552" s="72"/>
      <c r="G2552" s="72"/>
      <c r="J2552" s="72"/>
      <c r="M2552" s="72"/>
      <c r="P2552" s="72"/>
      <c r="S2552" s="72"/>
      <c r="V2552" s="72"/>
      <c r="Y2552" s="72"/>
      <c r="AB2552" s="72"/>
      <c r="AE2552" s="72"/>
      <c r="AH2552" s="72"/>
      <c r="AK2552" s="72"/>
      <c r="AN2552" s="72"/>
      <c r="AQ2552" s="72"/>
      <c r="AT2552" s="72"/>
      <c r="AW2552" s="72"/>
      <c r="AZ2552" s="72"/>
    </row>
    <row r="2553" spans="1:52">
      <c r="A2553" s="131"/>
      <c r="B2553" s="72"/>
      <c r="D2553" s="72"/>
      <c r="G2553" s="72"/>
      <c r="J2553" s="72"/>
      <c r="M2553" s="72"/>
      <c r="P2553" s="72"/>
      <c r="S2553" s="72"/>
      <c r="V2553" s="72"/>
      <c r="Y2553" s="72"/>
      <c r="AB2553" s="72"/>
      <c r="AE2553" s="72"/>
      <c r="AH2553" s="72"/>
      <c r="AK2553" s="72"/>
      <c r="AN2553" s="72"/>
      <c r="AQ2553" s="72"/>
      <c r="AT2553" s="72"/>
      <c r="AW2553" s="72"/>
      <c r="AZ2553" s="72"/>
    </row>
    <row r="2554" spans="1:52">
      <c r="A2554" s="131"/>
      <c r="B2554" s="72"/>
      <c r="D2554" s="72"/>
      <c r="G2554" s="72"/>
      <c r="J2554" s="72"/>
      <c r="M2554" s="72"/>
      <c r="P2554" s="72"/>
      <c r="S2554" s="72"/>
      <c r="V2554" s="72"/>
      <c r="Y2554" s="72"/>
      <c r="AB2554" s="72"/>
      <c r="AE2554" s="72"/>
      <c r="AH2554" s="72"/>
      <c r="AK2554" s="72"/>
      <c r="AN2554" s="72"/>
      <c r="AQ2554" s="72"/>
      <c r="AT2554" s="72"/>
      <c r="AW2554" s="72"/>
      <c r="AZ2554" s="72"/>
    </row>
    <row r="2555" spans="1:52">
      <c r="A2555" s="131"/>
      <c r="B2555" s="72"/>
      <c r="D2555" s="72"/>
      <c r="G2555" s="72"/>
      <c r="J2555" s="72"/>
      <c r="M2555" s="72"/>
      <c r="P2555" s="72"/>
      <c r="S2555" s="72"/>
      <c r="V2555" s="72"/>
      <c r="Y2555" s="72"/>
      <c r="AB2555" s="72"/>
      <c r="AE2555" s="72"/>
      <c r="AH2555" s="72"/>
      <c r="AK2555" s="72"/>
      <c r="AN2555" s="72"/>
      <c r="AQ2555" s="72"/>
      <c r="AT2555" s="72"/>
      <c r="AW2555" s="72"/>
      <c r="AZ2555" s="72"/>
    </row>
    <row r="2556" spans="1:52">
      <c r="A2556" s="131"/>
      <c r="B2556" s="72"/>
      <c r="D2556" s="72"/>
      <c r="G2556" s="72"/>
      <c r="J2556" s="72"/>
      <c r="M2556" s="72"/>
      <c r="P2556" s="72"/>
      <c r="S2556" s="72"/>
      <c r="V2556" s="72"/>
      <c r="Y2556" s="72"/>
      <c r="AB2556" s="72"/>
      <c r="AE2556" s="72"/>
      <c r="AH2556" s="72"/>
      <c r="AK2556" s="72"/>
      <c r="AN2556" s="72"/>
      <c r="AQ2556" s="72"/>
      <c r="AT2556" s="72"/>
      <c r="AW2556" s="72"/>
      <c r="AZ2556" s="72"/>
    </row>
    <row r="2557" spans="1:52">
      <c r="A2557" s="131"/>
      <c r="B2557" s="72"/>
      <c r="D2557" s="72"/>
      <c r="G2557" s="72"/>
      <c r="J2557" s="72"/>
      <c r="M2557" s="72"/>
      <c r="P2557" s="72"/>
      <c r="S2557" s="72"/>
      <c r="V2557" s="72"/>
      <c r="Y2557" s="72"/>
      <c r="AB2557" s="72"/>
      <c r="AE2557" s="72"/>
      <c r="AH2557" s="72"/>
      <c r="AK2557" s="72"/>
      <c r="AN2557" s="72"/>
      <c r="AQ2557" s="72"/>
      <c r="AT2557" s="72"/>
      <c r="AW2557" s="72"/>
      <c r="AZ2557" s="72"/>
    </row>
    <row r="2558" spans="1:52">
      <c r="A2558" s="131"/>
      <c r="B2558" s="72"/>
      <c r="D2558" s="72"/>
      <c r="G2558" s="72"/>
      <c r="J2558" s="72"/>
      <c r="M2558" s="72"/>
      <c r="P2558" s="72"/>
      <c r="S2558" s="72"/>
      <c r="V2558" s="72"/>
      <c r="Y2558" s="72"/>
      <c r="AB2558" s="72"/>
      <c r="AE2558" s="72"/>
      <c r="AH2558" s="72"/>
      <c r="AK2558" s="72"/>
      <c r="AN2558" s="72"/>
      <c r="AQ2558" s="72"/>
      <c r="AT2558" s="72"/>
      <c r="AW2558" s="72"/>
      <c r="AZ2558" s="72"/>
    </row>
    <row r="2559" spans="1:52">
      <c r="A2559" s="131"/>
      <c r="B2559" s="72"/>
      <c r="D2559" s="72"/>
      <c r="G2559" s="72"/>
      <c r="J2559" s="72"/>
      <c r="M2559" s="72"/>
      <c r="P2559" s="72"/>
      <c r="S2559" s="72"/>
      <c r="V2559" s="72"/>
      <c r="Y2559" s="72"/>
      <c r="AB2559" s="72"/>
      <c r="AE2559" s="72"/>
      <c r="AH2559" s="72"/>
      <c r="AK2559" s="72"/>
      <c r="AN2559" s="72"/>
      <c r="AQ2559" s="72"/>
      <c r="AT2559" s="72"/>
      <c r="AW2559" s="72"/>
      <c r="AZ2559" s="72"/>
    </row>
    <row r="2560" spans="1:52">
      <c r="A2560" s="131"/>
      <c r="B2560" s="72"/>
      <c r="D2560" s="72"/>
      <c r="G2560" s="72"/>
      <c r="J2560" s="72"/>
      <c r="M2560" s="72"/>
      <c r="P2560" s="72"/>
      <c r="S2560" s="72"/>
      <c r="V2560" s="72"/>
      <c r="Y2560" s="72"/>
      <c r="AB2560" s="72"/>
      <c r="AE2560" s="72"/>
      <c r="AH2560" s="72"/>
      <c r="AK2560" s="72"/>
      <c r="AN2560" s="72"/>
      <c r="AQ2560" s="72"/>
      <c r="AT2560" s="72"/>
      <c r="AW2560" s="72"/>
      <c r="AZ2560" s="72"/>
    </row>
    <row r="2561" spans="1:52">
      <c r="A2561" s="131"/>
      <c r="B2561" s="72"/>
      <c r="D2561" s="72"/>
      <c r="G2561" s="72"/>
      <c r="J2561" s="72"/>
      <c r="M2561" s="72"/>
      <c r="P2561" s="72"/>
      <c r="S2561" s="72"/>
      <c r="V2561" s="72"/>
      <c r="Y2561" s="72"/>
      <c r="AB2561" s="72"/>
      <c r="AE2561" s="72"/>
      <c r="AH2561" s="72"/>
      <c r="AK2561" s="72"/>
      <c r="AN2561" s="72"/>
      <c r="AQ2561" s="72"/>
      <c r="AT2561" s="72"/>
      <c r="AW2561" s="72"/>
      <c r="AZ2561" s="72"/>
    </row>
    <row r="2562" spans="1:52">
      <c r="A2562" s="131"/>
      <c r="B2562" s="72"/>
      <c r="D2562" s="72"/>
      <c r="G2562" s="72"/>
      <c r="J2562" s="72"/>
      <c r="M2562" s="72"/>
      <c r="P2562" s="72"/>
      <c r="S2562" s="72"/>
      <c r="V2562" s="72"/>
      <c r="Y2562" s="72"/>
      <c r="AB2562" s="72"/>
      <c r="AE2562" s="72"/>
      <c r="AH2562" s="72"/>
      <c r="AK2562" s="72"/>
      <c r="AN2562" s="72"/>
      <c r="AQ2562" s="72"/>
      <c r="AT2562" s="72"/>
      <c r="AW2562" s="72"/>
      <c r="AZ2562" s="72"/>
    </row>
    <row r="2563" spans="1:52">
      <c r="A2563" s="131"/>
      <c r="B2563" s="72"/>
      <c r="D2563" s="72"/>
      <c r="G2563" s="72"/>
      <c r="J2563" s="72"/>
      <c r="M2563" s="72"/>
      <c r="P2563" s="72"/>
      <c r="S2563" s="72"/>
      <c r="V2563" s="72"/>
      <c r="Y2563" s="72"/>
      <c r="AB2563" s="72"/>
      <c r="AE2563" s="72"/>
      <c r="AH2563" s="72"/>
      <c r="AK2563" s="72"/>
      <c r="AN2563" s="72"/>
      <c r="AQ2563" s="72"/>
      <c r="AT2563" s="72"/>
      <c r="AW2563" s="72"/>
      <c r="AZ2563" s="72"/>
    </row>
    <row r="2564" spans="1:52">
      <c r="A2564" s="131"/>
      <c r="B2564" s="72"/>
      <c r="D2564" s="72"/>
      <c r="G2564" s="72"/>
      <c r="J2564" s="72"/>
      <c r="M2564" s="72"/>
      <c r="P2564" s="72"/>
      <c r="S2564" s="72"/>
      <c r="V2564" s="72"/>
      <c r="Y2564" s="72"/>
      <c r="AB2564" s="72"/>
      <c r="AE2564" s="72"/>
      <c r="AH2564" s="72"/>
      <c r="AK2564" s="72"/>
      <c r="AN2564" s="72"/>
      <c r="AQ2564" s="72"/>
      <c r="AT2564" s="72"/>
      <c r="AW2564" s="72"/>
      <c r="AZ2564" s="72"/>
    </row>
    <row r="2565" spans="1:52">
      <c r="A2565" s="131"/>
      <c r="B2565" s="72"/>
      <c r="D2565" s="72"/>
      <c r="G2565" s="72"/>
      <c r="J2565" s="72"/>
      <c r="M2565" s="72"/>
      <c r="P2565" s="72"/>
      <c r="S2565" s="72"/>
      <c r="V2565" s="72"/>
      <c r="Y2565" s="72"/>
      <c r="AB2565" s="72"/>
      <c r="AE2565" s="72"/>
      <c r="AH2565" s="72"/>
      <c r="AK2565" s="72"/>
      <c r="AN2565" s="72"/>
      <c r="AQ2565" s="72"/>
      <c r="AT2565" s="72"/>
      <c r="AW2565" s="72"/>
      <c r="AZ2565" s="72"/>
    </row>
    <row r="2566" spans="1:52">
      <c r="A2566" s="131"/>
      <c r="B2566" s="72"/>
      <c r="D2566" s="72"/>
      <c r="G2566" s="72"/>
      <c r="J2566" s="72"/>
      <c r="M2566" s="72"/>
      <c r="P2566" s="72"/>
      <c r="S2566" s="72"/>
      <c r="V2566" s="72"/>
      <c r="Y2566" s="72"/>
      <c r="AB2566" s="72"/>
      <c r="AE2566" s="72"/>
      <c r="AH2566" s="72"/>
      <c r="AK2566" s="72"/>
      <c r="AN2566" s="72"/>
      <c r="AQ2566" s="72"/>
      <c r="AT2566" s="72"/>
      <c r="AW2566" s="72"/>
      <c r="AZ2566" s="72"/>
    </row>
    <row r="2567" spans="1:52">
      <c r="A2567" s="131"/>
      <c r="B2567" s="72"/>
      <c r="D2567" s="72"/>
      <c r="G2567" s="72"/>
      <c r="J2567" s="72"/>
      <c r="M2567" s="72"/>
      <c r="P2567" s="72"/>
      <c r="S2567" s="72"/>
      <c r="V2567" s="72"/>
      <c r="Y2567" s="72"/>
      <c r="AB2567" s="72"/>
      <c r="AE2567" s="72"/>
      <c r="AH2567" s="72"/>
      <c r="AK2567" s="72"/>
      <c r="AN2567" s="72"/>
      <c r="AQ2567" s="72"/>
      <c r="AT2567" s="72"/>
      <c r="AW2567" s="72"/>
      <c r="AZ2567" s="72"/>
    </row>
    <row r="2568" spans="1:52">
      <c r="A2568" s="131"/>
      <c r="B2568" s="72"/>
      <c r="D2568" s="72"/>
      <c r="G2568" s="72"/>
      <c r="J2568" s="72"/>
      <c r="M2568" s="72"/>
      <c r="P2568" s="72"/>
      <c r="S2568" s="72"/>
      <c r="V2568" s="72"/>
      <c r="Y2568" s="72"/>
      <c r="AB2568" s="72"/>
      <c r="AE2568" s="72"/>
      <c r="AH2568" s="72"/>
      <c r="AK2568" s="72"/>
      <c r="AN2568" s="72"/>
      <c r="AQ2568" s="72"/>
      <c r="AT2568" s="72"/>
      <c r="AW2568" s="72"/>
      <c r="AZ2568" s="72"/>
    </row>
    <row r="2569" spans="1:52">
      <c r="A2569" s="131"/>
      <c r="B2569" s="72"/>
      <c r="D2569" s="72"/>
      <c r="G2569" s="72"/>
      <c r="J2569" s="72"/>
      <c r="M2569" s="72"/>
      <c r="P2569" s="72"/>
      <c r="S2569" s="72"/>
      <c r="V2569" s="72"/>
      <c r="Y2569" s="72"/>
      <c r="AB2569" s="72"/>
      <c r="AE2569" s="72"/>
      <c r="AH2569" s="72"/>
      <c r="AK2569" s="72"/>
      <c r="AN2569" s="72"/>
      <c r="AQ2569" s="72"/>
      <c r="AT2569" s="72"/>
      <c r="AW2569" s="72"/>
      <c r="AZ2569" s="72"/>
    </row>
    <row r="2570" spans="1:52">
      <c r="A2570" s="131"/>
      <c r="B2570" s="72"/>
      <c r="D2570" s="72"/>
      <c r="G2570" s="72"/>
      <c r="J2570" s="72"/>
      <c r="M2570" s="72"/>
      <c r="P2570" s="72"/>
      <c r="S2570" s="72"/>
      <c r="V2570" s="72"/>
      <c r="Y2570" s="72"/>
      <c r="AB2570" s="72"/>
      <c r="AE2570" s="72"/>
      <c r="AH2570" s="72"/>
      <c r="AK2570" s="72"/>
      <c r="AN2570" s="72"/>
      <c r="AQ2570" s="72"/>
      <c r="AT2570" s="72"/>
      <c r="AW2570" s="72"/>
      <c r="AZ2570" s="72"/>
    </row>
    <row r="2571" spans="1:52">
      <c r="A2571" s="131"/>
      <c r="B2571" s="72"/>
      <c r="D2571" s="72"/>
      <c r="G2571" s="72"/>
      <c r="J2571" s="72"/>
      <c r="M2571" s="72"/>
      <c r="P2571" s="72"/>
      <c r="S2571" s="72"/>
      <c r="V2571" s="72"/>
      <c r="Y2571" s="72"/>
      <c r="AB2571" s="72"/>
      <c r="AE2571" s="72"/>
      <c r="AH2571" s="72"/>
      <c r="AK2571" s="72"/>
      <c r="AN2571" s="72"/>
      <c r="AQ2571" s="72"/>
      <c r="AT2571" s="72"/>
      <c r="AW2571" s="72"/>
      <c r="AZ2571" s="72"/>
    </row>
    <row r="2572" spans="1:52">
      <c r="A2572" s="131"/>
      <c r="B2572" s="72"/>
      <c r="D2572" s="72"/>
      <c r="G2572" s="72"/>
      <c r="J2572" s="72"/>
      <c r="M2572" s="72"/>
      <c r="P2572" s="72"/>
      <c r="S2572" s="72"/>
      <c r="V2572" s="72"/>
      <c r="Y2572" s="72"/>
      <c r="AB2572" s="72"/>
      <c r="AE2572" s="72"/>
      <c r="AH2572" s="72"/>
      <c r="AK2572" s="72"/>
      <c r="AN2572" s="72"/>
      <c r="AQ2572" s="72"/>
      <c r="AT2572" s="72"/>
      <c r="AW2572" s="72"/>
      <c r="AZ2572" s="72"/>
    </row>
    <row r="2573" spans="1:52">
      <c r="A2573" s="131"/>
      <c r="B2573" s="72"/>
      <c r="D2573" s="72"/>
      <c r="G2573" s="72"/>
      <c r="J2573" s="72"/>
      <c r="M2573" s="72"/>
      <c r="P2573" s="72"/>
      <c r="S2573" s="72"/>
      <c r="V2573" s="72"/>
      <c r="Y2573" s="72"/>
      <c r="AB2573" s="72"/>
      <c r="AE2573" s="72"/>
      <c r="AH2573" s="72"/>
      <c r="AK2573" s="72"/>
      <c r="AN2573" s="72"/>
      <c r="AQ2573" s="72"/>
      <c r="AT2573" s="72"/>
      <c r="AW2573" s="72"/>
      <c r="AZ2573" s="72"/>
    </row>
    <row r="2574" spans="1:52">
      <c r="A2574" s="131"/>
      <c r="B2574" s="72"/>
      <c r="D2574" s="72"/>
      <c r="G2574" s="72"/>
      <c r="J2574" s="72"/>
      <c r="M2574" s="72"/>
      <c r="P2574" s="72"/>
      <c r="S2574" s="72"/>
      <c r="V2574" s="72"/>
      <c r="Y2574" s="72"/>
      <c r="AB2574" s="72"/>
      <c r="AE2574" s="72"/>
      <c r="AH2574" s="72"/>
      <c r="AK2574" s="72"/>
      <c r="AN2574" s="72"/>
      <c r="AQ2574" s="72"/>
      <c r="AT2574" s="72"/>
      <c r="AW2574" s="72"/>
      <c r="AZ2574" s="72"/>
    </row>
    <row r="2575" spans="1:52">
      <c r="A2575" s="131"/>
      <c r="B2575" s="72"/>
      <c r="D2575" s="72"/>
      <c r="G2575" s="72"/>
      <c r="J2575" s="72"/>
      <c r="M2575" s="72"/>
      <c r="P2575" s="72"/>
      <c r="S2575" s="72"/>
      <c r="V2575" s="72"/>
      <c r="Y2575" s="72"/>
      <c r="AB2575" s="72"/>
      <c r="AE2575" s="72"/>
      <c r="AH2575" s="72"/>
      <c r="AK2575" s="72"/>
      <c r="AN2575" s="72"/>
      <c r="AQ2575" s="72"/>
      <c r="AT2575" s="72"/>
      <c r="AW2575" s="72"/>
      <c r="AZ2575" s="72"/>
    </row>
    <row r="2576" spans="1:52">
      <c r="A2576" s="131"/>
      <c r="B2576" s="72"/>
      <c r="D2576" s="72"/>
      <c r="G2576" s="72"/>
      <c r="J2576" s="72"/>
      <c r="M2576" s="72"/>
      <c r="P2576" s="72"/>
      <c r="S2576" s="72"/>
      <c r="V2576" s="72"/>
      <c r="Y2576" s="72"/>
      <c r="AB2576" s="72"/>
      <c r="AE2576" s="72"/>
      <c r="AH2576" s="72"/>
      <c r="AK2576" s="72"/>
      <c r="AN2576" s="72"/>
      <c r="AQ2576" s="72"/>
      <c r="AT2576" s="72"/>
      <c r="AW2576" s="72"/>
      <c r="AZ2576" s="72"/>
    </row>
    <row r="2577" spans="1:52">
      <c r="A2577" s="131"/>
      <c r="B2577" s="72"/>
      <c r="D2577" s="72"/>
      <c r="G2577" s="72"/>
      <c r="J2577" s="72"/>
      <c r="M2577" s="72"/>
      <c r="P2577" s="72"/>
      <c r="S2577" s="72"/>
      <c r="V2577" s="72"/>
      <c r="Y2577" s="72"/>
      <c r="AB2577" s="72"/>
      <c r="AE2577" s="72"/>
      <c r="AH2577" s="72"/>
      <c r="AK2577" s="72"/>
      <c r="AN2577" s="72"/>
      <c r="AQ2577" s="72"/>
      <c r="AT2577" s="72"/>
      <c r="AW2577" s="72"/>
      <c r="AZ2577" s="72"/>
    </row>
    <row r="2578" spans="1:52">
      <c r="A2578" s="131"/>
      <c r="B2578" s="72"/>
      <c r="D2578" s="72"/>
      <c r="G2578" s="72"/>
      <c r="J2578" s="72"/>
      <c r="M2578" s="72"/>
      <c r="P2578" s="72"/>
      <c r="S2578" s="72"/>
      <c r="V2578" s="72"/>
      <c r="Y2578" s="72"/>
      <c r="AB2578" s="72"/>
      <c r="AE2578" s="72"/>
      <c r="AH2578" s="72"/>
      <c r="AK2578" s="72"/>
      <c r="AN2578" s="72"/>
      <c r="AQ2578" s="72"/>
      <c r="AT2578" s="72"/>
      <c r="AW2578" s="72"/>
      <c r="AZ2578" s="72"/>
    </row>
    <row r="2579" spans="1:52">
      <c r="A2579" s="131"/>
      <c r="B2579" s="72"/>
      <c r="D2579" s="72"/>
      <c r="G2579" s="72"/>
      <c r="J2579" s="72"/>
      <c r="M2579" s="72"/>
      <c r="P2579" s="72"/>
      <c r="S2579" s="72"/>
      <c r="V2579" s="72"/>
      <c r="Y2579" s="72"/>
      <c r="AB2579" s="72"/>
      <c r="AE2579" s="72"/>
      <c r="AH2579" s="72"/>
      <c r="AK2579" s="72"/>
      <c r="AN2579" s="72"/>
      <c r="AQ2579" s="72"/>
      <c r="AT2579" s="72"/>
      <c r="AW2579" s="72"/>
      <c r="AZ2579" s="72"/>
    </row>
    <row r="2580" spans="1:52">
      <c r="A2580" s="131"/>
      <c r="B2580" s="72"/>
      <c r="D2580" s="72"/>
      <c r="G2580" s="72"/>
      <c r="J2580" s="72"/>
      <c r="M2580" s="72"/>
      <c r="P2580" s="72"/>
      <c r="S2580" s="72"/>
      <c r="V2580" s="72"/>
      <c r="Y2580" s="72"/>
      <c r="AB2580" s="72"/>
      <c r="AE2580" s="72"/>
      <c r="AH2580" s="72"/>
      <c r="AK2580" s="72"/>
      <c r="AN2580" s="72"/>
      <c r="AQ2580" s="72"/>
      <c r="AT2580" s="72"/>
      <c r="AW2580" s="72"/>
      <c r="AZ2580" s="72"/>
    </row>
    <row r="2581" spans="1:52">
      <c r="A2581" s="131"/>
      <c r="B2581" s="72"/>
      <c r="D2581" s="72"/>
      <c r="G2581" s="72"/>
      <c r="J2581" s="72"/>
      <c r="M2581" s="72"/>
      <c r="P2581" s="72"/>
      <c r="S2581" s="72"/>
      <c r="V2581" s="72"/>
      <c r="Y2581" s="72"/>
      <c r="AB2581" s="72"/>
      <c r="AE2581" s="72"/>
      <c r="AH2581" s="72"/>
      <c r="AK2581" s="72"/>
      <c r="AN2581" s="72"/>
      <c r="AQ2581" s="72"/>
      <c r="AT2581" s="72"/>
      <c r="AW2581" s="72"/>
      <c r="AZ2581" s="72"/>
    </row>
    <row r="2582" spans="1:52">
      <c r="A2582" s="131"/>
      <c r="B2582" s="72"/>
      <c r="D2582" s="72"/>
      <c r="G2582" s="72"/>
      <c r="J2582" s="72"/>
      <c r="M2582" s="72"/>
      <c r="P2582" s="72"/>
      <c r="S2582" s="72"/>
      <c r="V2582" s="72"/>
      <c r="Y2582" s="72"/>
      <c r="AB2582" s="72"/>
      <c r="AE2582" s="72"/>
      <c r="AH2582" s="72"/>
      <c r="AK2582" s="72"/>
      <c r="AN2582" s="72"/>
      <c r="AQ2582" s="72"/>
      <c r="AT2582" s="72"/>
      <c r="AW2582" s="72"/>
      <c r="AZ2582" s="72"/>
    </row>
    <row r="2583" spans="1:52">
      <c r="A2583" s="131"/>
      <c r="B2583" s="72"/>
      <c r="D2583" s="72"/>
      <c r="G2583" s="72"/>
      <c r="J2583" s="72"/>
      <c r="M2583" s="72"/>
      <c r="P2583" s="72"/>
      <c r="S2583" s="72"/>
      <c r="V2583" s="72"/>
      <c r="Y2583" s="72"/>
      <c r="AB2583" s="72"/>
      <c r="AE2583" s="72"/>
      <c r="AH2583" s="72"/>
      <c r="AK2583" s="72"/>
      <c r="AN2583" s="72"/>
      <c r="AQ2583" s="72"/>
      <c r="AT2583" s="72"/>
      <c r="AW2583" s="72"/>
      <c r="AZ2583" s="72"/>
    </row>
    <row r="2584" spans="1:52">
      <c r="A2584" s="131"/>
      <c r="B2584" s="72"/>
      <c r="D2584" s="72"/>
      <c r="G2584" s="72"/>
      <c r="J2584" s="72"/>
      <c r="M2584" s="72"/>
      <c r="P2584" s="72"/>
      <c r="S2584" s="72"/>
      <c r="V2584" s="72"/>
      <c r="Y2584" s="72"/>
      <c r="AB2584" s="72"/>
      <c r="AE2584" s="72"/>
      <c r="AH2584" s="72"/>
      <c r="AK2584" s="72"/>
      <c r="AN2584" s="72"/>
      <c r="AQ2584" s="72"/>
      <c r="AT2584" s="72"/>
      <c r="AW2584" s="72"/>
      <c r="AZ2584" s="72"/>
    </row>
    <row r="2585" spans="1:52">
      <c r="A2585" s="131"/>
      <c r="B2585" s="72"/>
      <c r="D2585" s="72"/>
      <c r="G2585" s="72"/>
      <c r="J2585" s="72"/>
      <c r="M2585" s="72"/>
      <c r="P2585" s="72"/>
      <c r="S2585" s="72"/>
      <c r="V2585" s="72"/>
      <c r="Y2585" s="72"/>
      <c r="AB2585" s="72"/>
      <c r="AE2585" s="72"/>
      <c r="AH2585" s="72"/>
      <c r="AK2585" s="72"/>
      <c r="AN2585" s="72"/>
      <c r="AQ2585" s="72"/>
      <c r="AT2585" s="72"/>
      <c r="AW2585" s="72"/>
      <c r="AZ2585" s="72"/>
    </row>
    <row r="2586" spans="1:52">
      <c r="A2586" s="131"/>
      <c r="B2586" s="72"/>
      <c r="D2586" s="72"/>
      <c r="G2586" s="72"/>
      <c r="J2586" s="72"/>
      <c r="M2586" s="72"/>
      <c r="P2586" s="72"/>
      <c r="S2586" s="72"/>
      <c r="V2586" s="72"/>
      <c r="Y2586" s="72"/>
      <c r="AB2586" s="72"/>
      <c r="AE2586" s="72"/>
      <c r="AH2586" s="72"/>
      <c r="AK2586" s="72"/>
      <c r="AN2586" s="72"/>
      <c r="AQ2586" s="72"/>
      <c r="AT2586" s="72"/>
      <c r="AW2586" s="72"/>
      <c r="AZ2586" s="72"/>
    </row>
    <row r="2587" spans="1:52">
      <c r="A2587" s="131"/>
      <c r="B2587" s="72"/>
      <c r="D2587" s="72"/>
      <c r="G2587" s="72"/>
      <c r="J2587" s="72"/>
      <c r="M2587" s="72"/>
      <c r="P2587" s="72"/>
      <c r="S2587" s="72"/>
      <c r="V2587" s="72"/>
      <c r="Y2587" s="72"/>
      <c r="AB2587" s="72"/>
      <c r="AE2587" s="72"/>
      <c r="AH2587" s="72"/>
      <c r="AK2587" s="72"/>
      <c r="AN2587" s="72"/>
      <c r="AQ2587" s="72"/>
      <c r="AT2587" s="72"/>
      <c r="AW2587" s="72"/>
      <c r="AZ2587" s="72"/>
    </row>
    <row r="2588" spans="1:52">
      <c r="A2588" s="131"/>
      <c r="B2588" s="72"/>
      <c r="D2588" s="72"/>
      <c r="G2588" s="72"/>
      <c r="J2588" s="72"/>
      <c r="M2588" s="72"/>
      <c r="P2588" s="72"/>
      <c r="S2588" s="72"/>
      <c r="V2588" s="72"/>
      <c r="Y2588" s="72"/>
      <c r="AB2588" s="72"/>
      <c r="AE2588" s="72"/>
      <c r="AH2588" s="72"/>
      <c r="AK2588" s="72"/>
      <c r="AN2588" s="72"/>
      <c r="AQ2588" s="72"/>
      <c r="AT2588" s="72"/>
      <c r="AW2588" s="72"/>
      <c r="AZ2588" s="72"/>
    </row>
    <row r="2589" spans="1:52">
      <c r="A2589" s="131"/>
      <c r="B2589" s="72"/>
      <c r="D2589" s="72"/>
      <c r="G2589" s="72"/>
      <c r="J2589" s="72"/>
      <c r="M2589" s="72"/>
      <c r="P2589" s="72"/>
      <c r="S2589" s="72"/>
      <c r="V2589" s="72"/>
      <c r="Y2589" s="72"/>
      <c r="AB2589" s="72"/>
      <c r="AE2589" s="72"/>
      <c r="AH2589" s="72"/>
      <c r="AK2589" s="72"/>
      <c r="AN2589" s="72"/>
      <c r="AQ2589" s="72"/>
      <c r="AT2589" s="72"/>
      <c r="AW2589" s="72"/>
      <c r="AZ2589" s="72"/>
    </row>
    <row r="2590" spans="1:52">
      <c r="A2590" s="131"/>
      <c r="B2590" s="72"/>
      <c r="D2590" s="72"/>
      <c r="G2590" s="72"/>
      <c r="J2590" s="72"/>
      <c r="M2590" s="72"/>
      <c r="P2590" s="72"/>
      <c r="S2590" s="72"/>
      <c r="V2590" s="72"/>
      <c r="Y2590" s="72"/>
      <c r="AB2590" s="72"/>
      <c r="AE2590" s="72"/>
      <c r="AH2590" s="72"/>
      <c r="AK2590" s="72"/>
      <c r="AN2590" s="72"/>
      <c r="AQ2590" s="72"/>
      <c r="AT2590" s="72"/>
      <c r="AW2590" s="72"/>
      <c r="AZ2590" s="72"/>
    </row>
    <row r="2591" spans="1:52">
      <c r="A2591" s="131"/>
      <c r="B2591" s="72"/>
      <c r="D2591" s="72"/>
      <c r="G2591" s="72"/>
      <c r="J2591" s="72"/>
      <c r="M2591" s="72"/>
      <c r="P2591" s="72"/>
      <c r="S2591" s="72"/>
      <c r="V2591" s="72"/>
      <c r="Y2591" s="72"/>
      <c r="AB2591" s="72"/>
      <c r="AE2591" s="72"/>
      <c r="AH2591" s="72"/>
      <c r="AK2591" s="72"/>
      <c r="AN2591" s="72"/>
      <c r="AQ2591" s="72"/>
      <c r="AT2591" s="72"/>
      <c r="AW2591" s="72"/>
      <c r="AZ2591" s="72"/>
    </row>
    <row r="2592" spans="1:52">
      <c r="A2592" s="131"/>
      <c r="B2592" s="72"/>
      <c r="D2592" s="72"/>
      <c r="G2592" s="72"/>
      <c r="J2592" s="72"/>
      <c r="M2592" s="72"/>
      <c r="P2592" s="72"/>
      <c r="S2592" s="72"/>
      <c r="V2592" s="72"/>
      <c r="Y2592" s="72"/>
      <c r="AB2592" s="72"/>
      <c r="AE2592" s="72"/>
      <c r="AH2592" s="72"/>
      <c r="AK2592" s="72"/>
      <c r="AN2592" s="72"/>
      <c r="AQ2592" s="72"/>
      <c r="AT2592" s="72"/>
      <c r="AW2592" s="72"/>
      <c r="AZ2592" s="72"/>
    </row>
    <row r="2593" spans="1:52">
      <c r="A2593" s="131"/>
      <c r="B2593" s="72"/>
      <c r="D2593" s="72"/>
      <c r="G2593" s="72"/>
      <c r="J2593" s="72"/>
      <c r="M2593" s="72"/>
      <c r="P2593" s="72"/>
      <c r="S2593" s="72"/>
      <c r="V2593" s="72"/>
      <c r="Y2593" s="72"/>
      <c r="AB2593" s="72"/>
      <c r="AE2593" s="72"/>
      <c r="AH2593" s="72"/>
      <c r="AK2593" s="72"/>
      <c r="AN2593" s="72"/>
      <c r="AQ2593" s="72"/>
      <c r="AT2593" s="72"/>
      <c r="AW2593" s="72"/>
      <c r="AZ2593" s="72"/>
    </row>
    <row r="2594" spans="1:52">
      <c r="A2594" s="131"/>
      <c r="B2594" s="72"/>
      <c r="D2594" s="72"/>
      <c r="G2594" s="72"/>
      <c r="J2594" s="72"/>
      <c r="M2594" s="72"/>
      <c r="P2594" s="72"/>
      <c r="S2594" s="72"/>
      <c r="V2594" s="72"/>
      <c r="Y2594" s="72"/>
      <c r="AB2594" s="72"/>
      <c r="AE2594" s="72"/>
      <c r="AH2594" s="72"/>
      <c r="AK2594" s="72"/>
      <c r="AN2594" s="72"/>
      <c r="AQ2594" s="72"/>
      <c r="AT2594" s="72"/>
      <c r="AW2594" s="72"/>
      <c r="AZ2594" s="72"/>
    </row>
    <row r="2595" spans="1:52">
      <c r="A2595" s="131"/>
      <c r="B2595" s="72"/>
      <c r="D2595" s="72"/>
      <c r="G2595" s="72"/>
      <c r="J2595" s="72"/>
      <c r="M2595" s="72"/>
      <c r="P2595" s="72"/>
      <c r="S2595" s="72"/>
      <c r="V2595" s="72"/>
      <c r="Y2595" s="72"/>
      <c r="AB2595" s="72"/>
      <c r="AE2595" s="72"/>
      <c r="AH2595" s="72"/>
      <c r="AK2595" s="72"/>
      <c r="AN2595" s="72"/>
      <c r="AQ2595" s="72"/>
      <c r="AT2595" s="72"/>
      <c r="AW2595" s="72"/>
      <c r="AZ2595" s="72"/>
    </row>
    <row r="2596" spans="1:52">
      <c r="A2596" s="131"/>
      <c r="B2596" s="72"/>
      <c r="D2596" s="72"/>
      <c r="G2596" s="72"/>
      <c r="J2596" s="72"/>
      <c r="M2596" s="72"/>
      <c r="P2596" s="72"/>
      <c r="S2596" s="72"/>
      <c r="V2596" s="72"/>
      <c r="Y2596" s="72"/>
      <c r="AB2596" s="72"/>
      <c r="AE2596" s="72"/>
      <c r="AH2596" s="72"/>
      <c r="AK2596" s="72"/>
      <c r="AN2596" s="72"/>
      <c r="AQ2596" s="72"/>
      <c r="AT2596" s="72"/>
      <c r="AW2596" s="72"/>
      <c r="AZ2596" s="72"/>
    </row>
    <row r="2597" spans="1:52">
      <c r="A2597" s="131"/>
      <c r="B2597" s="72"/>
      <c r="D2597" s="72"/>
      <c r="G2597" s="72"/>
      <c r="J2597" s="72"/>
      <c r="M2597" s="72"/>
      <c r="P2597" s="72"/>
      <c r="S2597" s="72"/>
      <c r="V2597" s="72"/>
      <c r="Y2597" s="72"/>
      <c r="AB2597" s="72"/>
      <c r="AE2597" s="72"/>
      <c r="AH2597" s="72"/>
      <c r="AK2597" s="72"/>
      <c r="AN2597" s="72"/>
      <c r="AQ2597" s="72"/>
      <c r="AT2597" s="72"/>
      <c r="AW2597" s="72"/>
      <c r="AZ2597" s="72"/>
    </row>
    <row r="2598" spans="1:52">
      <c r="A2598" s="131"/>
      <c r="B2598" s="72"/>
      <c r="D2598" s="72"/>
      <c r="G2598" s="72"/>
      <c r="J2598" s="72"/>
      <c r="M2598" s="72"/>
      <c r="P2598" s="72"/>
      <c r="S2598" s="72"/>
      <c r="V2598" s="72"/>
      <c r="Y2598" s="72"/>
      <c r="AB2598" s="72"/>
      <c r="AE2598" s="72"/>
      <c r="AH2598" s="72"/>
      <c r="AK2598" s="72"/>
      <c r="AN2598" s="72"/>
      <c r="AQ2598" s="72"/>
      <c r="AT2598" s="72"/>
      <c r="AW2598" s="72"/>
      <c r="AZ2598" s="72"/>
    </row>
    <row r="2599" spans="1:52">
      <c r="A2599" s="131"/>
      <c r="B2599" s="72"/>
      <c r="D2599" s="72"/>
      <c r="G2599" s="72"/>
      <c r="J2599" s="72"/>
      <c r="M2599" s="72"/>
      <c r="P2599" s="72"/>
      <c r="S2599" s="72"/>
      <c r="V2599" s="72"/>
      <c r="Y2599" s="72"/>
      <c r="AB2599" s="72"/>
      <c r="AE2599" s="72"/>
      <c r="AH2599" s="72"/>
      <c r="AK2599" s="72"/>
      <c r="AN2599" s="72"/>
      <c r="AQ2599" s="72"/>
      <c r="AT2599" s="72"/>
      <c r="AW2599" s="72"/>
      <c r="AZ2599" s="72"/>
    </row>
    <row r="2600" spans="1:52">
      <c r="A2600" s="131"/>
      <c r="B2600" s="72"/>
      <c r="D2600" s="72"/>
      <c r="G2600" s="72"/>
      <c r="J2600" s="72"/>
      <c r="M2600" s="72"/>
      <c r="P2600" s="72"/>
      <c r="S2600" s="72"/>
      <c r="V2600" s="72"/>
      <c r="Y2600" s="72"/>
      <c r="AB2600" s="72"/>
      <c r="AE2600" s="72"/>
      <c r="AH2600" s="72"/>
      <c r="AK2600" s="72"/>
      <c r="AN2600" s="72"/>
      <c r="AQ2600" s="72"/>
      <c r="AT2600" s="72"/>
      <c r="AW2600" s="72"/>
      <c r="AZ2600" s="72"/>
    </row>
    <row r="2601" spans="1:52">
      <c r="A2601" s="131"/>
      <c r="B2601" s="72"/>
      <c r="D2601" s="72"/>
      <c r="G2601" s="72"/>
      <c r="J2601" s="72"/>
      <c r="M2601" s="72"/>
      <c r="P2601" s="72"/>
      <c r="S2601" s="72"/>
      <c r="V2601" s="72"/>
      <c r="Y2601" s="72"/>
      <c r="AB2601" s="72"/>
      <c r="AE2601" s="72"/>
      <c r="AH2601" s="72"/>
      <c r="AK2601" s="72"/>
      <c r="AN2601" s="72"/>
      <c r="AQ2601" s="72"/>
      <c r="AT2601" s="72"/>
      <c r="AW2601" s="72"/>
      <c r="AZ2601" s="72"/>
    </row>
    <row r="2602" spans="1:52">
      <c r="A2602" s="131"/>
      <c r="B2602" s="72"/>
      <c r="D2602" s="72"/>
      <c r="G2602" s="72"/>
      <c r="J2602" s="72"/>
      <c r="M2602" s="72"/>
      <c r="P2602" s="72"/>
      <c r="S2602" s="72"/>
      <c r="V2602" s="72"/>
      <c r="Y2602" s="72"/>
      <c r="AB2602" s="72"/>
      <c r="AE2602" s="72"/>
      <c r="AH2602" s="72"/>
      <c r="AK2602" s="72"/>
      <c r="AN2602" s="72"/>
      <c r="AQ2602" s="72"/>
      <c r="AT2602" s="72"/>
      <c r="AW2602" s="72"/>
      <c r="AZ2602" s="72"/>
    </row>
    <row r="2603" spans="1:52">
      <c r="A2603" s="131"/>
      <c r="B2603" s="72"/>
      <c r="D2603" s="72"/>
      <c r="G2603" s="72"/>
      <c r="J2603" s="72"/>
      <c r="M2603" s="72"/>
      <c r="P2603" s="72"/>
      <c r="S2603" s="72"/>
      <c r="V2603" s="72"/>
      <c r="Y2603" s="72"/>
      <c r="AB2603" s="72"/>
      <c r="AE2603" s="72"/>
      <c r="AH2603" s="72"/>
      <c r="AK2603" s="72"/>
      <c r="AN2603" s="72"/>
      <c r="AQ2603" s="72"/>
      <c r="AT2603" s="72"/>
      <c r="AW2603" s="72"/>
      <c r="AZ2603" s="72"/>
    </row>
    <row r="2604" spans="1:52">
      <c r="A2604" s="131"/>
      <c r="B2604" s="72"/>
      <c r="D2604" s="72"/>
      <c r="G2604" s="72"/>
      <c r="J2604" s="72"/>
      <c r="M2604" s="72"/>
      <c r="P2604" s="72"/>
      <c r="S2604" s="72"/>
      <c r="V2604" s="72"/>
      <c r="Y2604" s="72"/>
      <c r="AB2604" s="72"/>
      <c r="AE2604" s="72"/>
      <c r="AH2604" s="72"/>
      <c r="AK2604" s="72"/>
      <c r="AN2604" s="72"/>
      <c r="AQ2604" s="72"/>
      <c r="AT2604" s="72"/>
      <c r="AW2604" s="72"/>
      <c r="AZ2604" s="72"/>
    </row>
    <row r="2605" spans="1:52">
      <c r="A2605" s="131"/>
      <c r="B2605" s="72"/>
      <c r="D2605" s="72"/>
      <c r="G2605" s="72"/>
      <c r="J2605" s="72"/>
      <c r="M2605" s="72"/>
      <c r="P2605" s="72"/>
      <c r="S2605" s="72"/>
      <c r="V2605" s="72"/>
      <c r="Y2605" s="72"/>
      <c r="AB2605" s="72"/>
      <c r="AE2605" s="72"/>
      <c r="AH2605" s="72"/>
      <c r="AK2605" s="72"/>
      <c r="AN2605" s="72"/>
      <c r="AQ2605" s="72"/>
      <c r="AT2605" s="72"/>
      <c r="AW2605" s="72"/>
      <c r="AZ2605" s="72"/>
    </row>
    <row r="2606" spans="1:52">
      <c r="A2606" s="131"/>
      <c r="B2606" s="72"/>
      <c r="D2606" s="72"/>
      <c r="G2606" s="72"/>
      <c r="J2606" s="72"/>
      <c r="M2606" s="72"/>
      <c r="P2606" s="72"/>
      <c r="S2606" s="72"/>
      <c r="V2606" s="72"/>
      <c r="Y2606" s="72"/>
      <c r="AB2606" s="72"/>
      <c r="AE2606" s="72"/>
      <c r="AH2606" s="72"/>
      <c r="AK2606" s="72"/>
      <c r="AN2606" s="72"/>
      <c r="AQ2606" s="72"/>
      <c r="AT2606" s="72"/>
      <c r="AW2606" s="72"/>
      <c r="AZ2606" s="72"/>
    </row>
    <row r="2607" spans="1:52">
      <c r="A2607" s="131"/>
      <c r="B2607" s="72"/>
      <c r="D2607" s="72"/>
      <c r="G2607" s="72"/>
      <c r="J2607" s="72"/>
      <c r="M2607" s="72"/>
      <c r="P2607" s="72"/>
      <c r="S2607" s="72"/>
      <c r="V2607" s="72"/>
      <c r="Y2607" s="72"/>
      <c r="AB2607" s="72"/>
      <c r="AE2607" s="72"/>
      <c r="AH2607" s="72"/>
      <c r="AK2607" s="72"/>
      <c r="AN2607" s="72"/>
      <c r="AQ2607" s="72"/>
      <c r="AT2607" s="72"/>
      <c r="AW2607" s="72"/>
      <c r="AZ2607" s="72"/>
    </row>
    <row r="2608" spans="1:52">
      <c r="A2608" s="131"/>
      <c r="B2608" s="72"/>
      <c r="D2608" s="72"/>
      <c r="G2608" s="72"/>
      <c r="J2608" s="72"/>
      <c r="M2608" s="72"/>
      <c r="P2608" s="72"/>
      <c r="S2608" s="72"/>
      <c r="V2608" s="72"/>
      <c r="Y2608" s="72"/>
      <c r="AB2608" s="72"/>
      <c r="AE2608" s="72"/>
      <c r="AH2608" s="72"/>
      <c r="AK2608" s="72"/>
      <c r="AN2608" s="72"/>
      <c r="AQ2608" s="72"/>
      <c r="AT2608" s="72"/>
      <c r="AW2608" s="72"/>
      <c r="AZ2608" s="72"/>
    </row>
    <row r="2609" spans="1:52">
      <c r="A2609" s="131"/>
      <c r="B2609" s="72"/>
      <c r="D2609" s="72"/>
      <c r="G2609" s="72"/>
      <c r="J2609" s="72"/>
      <c r="M2609" s="72"/>
      <c r="P2609" s="72"/>
      <c r="S2609" s="72"/>
      <c r="V2609" s="72"/>
      <c r="Y2609" s="72"/>
      <c r="AB2609" s="72"/>
      <c r="AE2609" s="72"/>
      <c r="AH2609" s="72"/>
      <c r="AK2609" s="72"/>
      <c r="AN2609" s="72"/>
      <c r="AQ2609" s="72"/>
      <c r="AT2609" s="72"/>
      <c r="AW2609" s="72"/>
      <c r="AZ2609" s="72"/>
    </row>
    <row r="2610" spans="1:52">
      <c r="A2610" s="131"/>
      <c r="B2610" s="72"/>
      <c r="D2610" s="72"/>
      <c r="G2610" s="72"/>
      <c r="J2610" s="72"/>
      <c r="M2610" s="72"/>
      <c r="P2610" s="72"/>
      <c r="S2610" s="72"/>
      <c r="V2610" s="72"/>
      <c r="Y2610" s="72"/>
      <c r="AB2610" s="72"/>
      <c r="AE2610" s="72"/>
      <c r="AH2610" s="72"/>
      <c r="AK2610" s="72"/>
      <c r="AN2610" s="72"/>
      <c r="AQ2610" s="72"/>
      <c r="AT2610" s="72"/>
      <c r="AW2610" s="72"/>
      <c r="AZ2610" s="72"/>
    </row>
    <row r="2611" spans="1:52">
      <c r="A2611" s="131"/>
      <c r="B2611" s="72"/>
      <c r="D2611" s="72"/>
      <c r="G2611" s="72"/>
      <c r="J2611" s="72"/>
      <c r="M2611" s="72"/>
      <c r="P2611" s="72"/>
      <c r="S2611" s="72"/>
      <c r="V2611" s="72"/>
      <c r="Y2611" s="72"/>
      <c r="AB2611" s="72"/>
      <c r="AE2611" s="72"/>
      <c r="AH2611" s="72"/>
      <c r="AK2611" s="72"/>
      <c r="AN2611" s="72"/>
      <c r="AQ2611" s="72"/>
      <c r="AT2611" s="72"/>
      <c r="AW2611" s="72"/>
      <c r="AZ2611" s="72"/>
    </row>
    <row r="2612" spans="1:52">
      <c r="A2612" s="131"/>
      <c r="B2612" s="72"/>
      <c r="D2612" s="72"/>
      <c r="G2612" s="72"/>
      <c r="J2612" s="72"/>
      <c r="M2612" s="72"/>
      <c r="P2612" s="72"/>
      <c r="S2612" s="72"/>
      <c r="V2612" s="72"/>
      <c r="Y2612" s="72"/>
      <c r="AB2612" s="72"/>
      <c r="AE2612" s="72"/>
      <c r="AH2612" s="72"/>
      <c r="AK2612" s="72"/>
      <c r="AN2612" s="72"/>
      <c r="AQ2612" s="72"/>
      <c r="AT2612" s="72"/>
      <c r="AW2612" s="72"/>
      <c r="AZ2612" s="72"/>
    </row>
    <row r="2613" spans="1:52">
      <c r="A2613" s="131"/>
      <c r="B2613" s="72"/>
      <c r="D2613" s="72"/>
      <c r="G2613" s="72"/>
      <c r="J2613" s="72"/>
      <c r="M2613" s="72"/>
      <c r="P2613" s="72"/>
      <c r="S2613" s="72"/>
      <c r="V2613" s="72"/>
      <c r="Y2613" s="72"/>
      <c r="AB2613" s="72"/>
      <c r="AE2613" s="72"/>
      <c r="AH2613" s="72"/>
      <c r="AK2613" s="72"/>
      <c r="AN2613" s="72"/>
      <c r="AQ2613" s="72"/>
      <c r="AT2613" s="72"/>
      <c r="AW2613" s="72"/>
      <c r="AZ2613" s="72"/>
    </row>
    <row r="2614" spans="1:52">
      <c r="A2614" s="131"/>
      <c r="B2614" s="72"/>
      <c r="D2614" s="72"/>
      <c r="G2614" s="72"/>
      <c r="J2614" s="72"/>
      <c r="M2614" s="72"/>
      <c r="P2614" s="72"/>
      <c r="S2614" s="72"/>
      <c r="V2614" s="72"/>
      <c r="Y2614" s="72"/>
      <c r="AB2614" s="72"/>
      <c r="AE2614" s="72"/>
      <c r="AH2614" s="72"/>
      <c r="AK2614" s="72"/>
      <c r="AN2614" s="72"/>
      <c r="AQ2614" s="72"/>
      <c r="AT2614" s="72"/>
      <c r="AW2614" s="72"/>
      <c r="AZ2614" s="72"/>
    </row>
    <row r="2615" spans="1:52">
      <c r="A2615" s="131"/>
      <c r="B2615" s="72"/>
      <c r="D2615" s="72"/>
      <c r="G2615" s="72"/>
      <c r="J2615" s="72"/>
      <c r="M2615" s="72"/>
      <c r="P2615" s="72"/>
      <c r="S2615" s="72"/>
      <c r="V2615" s="72"/>
      <c r="Y2615" s="72"/>
      <c r="AB2615" s="72"/>
      <c r="AE2615" s="72"/>
      <c r="AH2615" s="72"/>
      <c r="AK2615" s="72"/>
      <c r="AN2615" s="72"/>
      <c r="AQ2615" s="72"/>
      <c r="AT2615" s="72"/>
      <c r="AW2615" s="72"/>
      <c r="AZ2615" s="72"/>
    </row>
    <row r="2616" spans="1:52">
      <c r="A2616" s="131"/>
      <c r="B2616" s="72"/>
      <c r="D2616" s="72"/>
      <c r="G2616" s="72"/>
      <c r="J2616" s="72"/>
      <c r="M2616" s="72"/>
      <c r="P2616" s="72"/>
      <c r="S2616" s="72"/>
      <c r="V2616" s="72"/>
      <c r="Y2616" s="72"/>
      <c r="AB2616" s="72"/>
      <c r="AE2616" s="72"/>
      <c r="AH2616" s="72"/>
      <c r="AK2616" s="72"/>
      <c r="AN2616" s="72"/>
      <c r="AQ2616" s="72"/>
      <c r="AT2616" s="72"/>
      <c r="AW2616" s="72"/>
      <c r="AZ2616" s="72"/>
    </row>
    <row r="2617" spans="1:52">
      <c r="A2617" s="131"/>
      <c r="B2617" s="72"/>
      <c r="D2617" s="72"/>
      <c r="G2617" s="72"/>
      <c r="J2617" s="72"/>
      <c r="M2617" s="72"/>
      <c r="P2617" s="72"/>
      <c r="S2617" s="72"/>
      <c r="V2617" s="72"/>
      <c r="Y2617" s="72"/>
      <c r="AB2617" s="72"/>
      <c r="AE2617" s="72"/>
      <c r="AH2617" s="72"/>
      <c r="AK2617" s="72"/>
      <c r="AN2617" s="72"/>
      <c r="AQ2617" s="72"/>
      <c r="AT2617" s="72"/>
      <c r="AW2617" s="72"/>
      <c r="AZ2617" s="72"/>
    </row>
    <row r="2618" spans="1:52">
      <c r="A2618" s="131"/>
      <c r="B2618" s="72"/>
      <c r="D2618" s="72"/>
      <c r="G2618" s="72"/>
      <c r="J2618" s="72"/>
      <c r="M2618" s="72"/>
      <c r="P2618" s="72"/>
      <c r="S2618" s="72"/>
      <c r="V2618" s="72"/>
      <c r="Y2618" s="72"/>
      <c r="AB2618" s="72"/>
      <c r="AE2618" s="72"/>
      <c r="AH2618" s="72"/>
      <c r="AK2618" s="72"/>
      <c r="AN2618" s="72"/>
      <c r="AQ2618" s="72"/>
      <c r="AT2618" s="72"/>
      <c r="AW2618" s="72"/>
      <c r="AZ2618" s="72"/>
    </row>
    <row r="2619" spans="1:52">
      <c r="A2619" s="131"/>
      <c r="B2619" s="72"/>
      <c r="D2619" s="72"/>
      <c r="G2619" s="72"/>
      <c r="J2619" s="72"/>
      <c r="M2619" s="72"/>
      <c r="P2619" s="72"/>
      <c r="S2619" s="72"/>
      <c r="V2619" s="72"/>
      <c r="Y2619" s="72"/>
      <c r="AB2619" s="72"/>
      <c r="AE2619" s="72"/>
      <c r="AH2619" s="72"/>
      <c r="AK2619" s="72"/>
      <c r="AN2619" s="72"/>
      <c r="AQ2619" s="72"/>
      <c r="AT2619" s="72"/>
      <c r="AW2619" s="72"/>
      <c r="AZ2619" s="72"/>
    </row>
    <row r="2620" spans="1:52">
      <c r="A2620" s="131"/>
      <c r="B2620" s="72"/>
      <c r="D2620" s="72"/>
      <c r="G2620" s="72"/>
      <c r="J2620" s="72"/>
      <c r="M2620" s="72"/>
      <c r="P2620" s="72"/>
      <c r="S2620" s="72"/>
      <c r="V2620" s="72"/>
      <c r="Y2620" s="72"/>
      <c r="AB2620" s="72"/>
      <c r="AE2620" s="72"/>
      <c r="AH2620" s="72"/>
      <c r="AK2620" s="72"/>
      <c r="AN2620" s="72"/>
      <c r="AQ2620" s="72"/>
      <c r="AT2620" s="72"/>
      <c r="AW2620" s="72"/>
      <c r="AZ2620" s="72"/>
    </row>
    <row r="2621" spans="1:52">
      <c r="A2621" s="131"/>
      <c r="B2621" s="72"/>
      <c r="D2621" s="72"/>
      <c r="G2621" s="72"/>
      <c r="J2621" s="72"/>
      <c r="M2621" s="72"/>
      <c r="P2621" s="72"/>
      <c r="S2621" s="72"/>
      <c r="V2621" s="72"/>
      <c r="Y2621" s="72"/>
      <c r="AB2621" s="72"/>
      <c r="AE2621" s="72"/>
      <c r="AH2621" s="72"/>
      <c r="AK2621" s="72"/>
      <c r="AN2621" s="72"/>
      <c r="AQ2621" s="72"/>
      <c r="AT2621" s="72"/>
      <c r="AW2621" s="72"/>
      <c r="AZ2621" s="72"/>
    </row>
    <row r="2622" spans="1:52">
      <c r="A2622" s="131"/>
      <c r="B2622" s="72"/>
      <c r="D2622" s="72"/>
      <c r="G2622" s="72"/>
      <c r="J2622" s="72"/>
      <c r="M2622" s="72"/>
      <c r="P2622" s="72"/>
      <c r="S2622" s="72"/>
      <c r="V2622" s="72"/>
      <c r="Y2622" s="72"/>
      <c r="AB2622" s="72"/>
      <c r="AE2622" s="72"/>
      <c r="AH2622" s="72"/>
      <c r="AK2622" s="72"/>
      <c r="AN2622" s="72"/>
      <c r="AQ2622" s="72"/>
      <c r="AT2622" s="72"/>
      <c r="AW2622" s="72"/>
      <c r="AZ2622" s="72"/>
    </row>
    <row r="2623" spans="1:52">
      <c r="A2623" s="131"/>
      <c r="B2623" s="72"/>
      <c r="D2623" s="72"/>
      <c r="G2623" s="72"/>
      <c r="J2623" s="72"/>
      <c r="M2623" s="72"/>
      <c r="P2623" s="72"/>
      <c r="S2623" s="72"/>
      <c r="V2623" s="72"/>
      <c r="Y2623" s="72"/>
      <c r="AB2623" s="72"/>
      <c r="AE2623" s="72"/>
      <c r="AH2623" s="72"/>
      <c r="AK2623" s="72"/>
      <c r="AN2623" s="72"/>
      <c r="AQ2623" s="72"/>
      <c r="AT2623" s="72"/>
      <c r="AW2623" s="72"/>
      <c r="AZ2623" s="72"/>
    </row>
    <row r="2624" spans="1:52">
      <c r="A2624" s="131"/>
      <c r="B2624" s="72"/>
      <c r="D2624" s="72"/>
      <c r="G2624" s="72"/>
      <c r="J2624" s="72"/>
      <c r="M2624" s="72"/>
      <c r="P2624" s="72"/>
      <c r="S2624" s="72"/>
      <c r="V2624" s="72"/>
      <c r="Y2624" s="72"/>
      <c r="AB2624" s="72"/>
      <c r="AE2624" s="72"/>
      <c r="AH2624" s="72"/>
      <c r="AK2624" s="72"/>
      <c r="AN2624" s="72"/>
      <c r="AQ2624" s="72"/>
      <c r="AT2624" s="72"/>
      <c r="AW2624" s="72"/>
      <c r="AZ2624" s="72"/>
    </row>
    <row r="2625" spans="1:52">
      <c r="A2625" s="131"/>
      <c r="B2625" s="72"/>
      <c r="D2625" s="72"/>
      <c r="G2625" s="72"/>
      <c r="J2625" s="72"/>
      <c r="M2625" s="72"/>
      <c r="P2625" s="72"/>
      <c r="S2625" s="72"/>
      <c r="V2625" s="72"/>
      <c r="Y2625" s="72"/>
      <c r="AB2625" s="72"/>
      <c r="AE2625" s="72"/>
      <c r="AH2625" s="72"/>
      <c r="AK2625" s="72"/>
      <c r="AN2625" s="72"/>
      <c r="AQ2625" s="72"/>
      <c r="AT2625" s="72"/>
      <c r="AW2625" s="72"/>
      <c r="AZ2625" s="72"/>
    </row>
    <row r="2626" spans="1:52">
      <c r="A2626" s="131"/>
      <c r="B2626" s="72"/>
      <c r="D2626" s="72"/>
      <c r="G2626" s="72"/>
      <c r="J2626" s="72"/>
      <c r="M2626" s="72"/>
      <c r="P2626" s="72"/>
      <c r="S2626" s="72"/>
      <c r="V2626" s="72"/>
      <c r="Y2626" s="72"/>
      <c r="AB2626" s="72"/>
      <c r="AE2626" s="72"/>
      <c r="AH2626" s="72"/>
      <c r="AK2626" s="72"/>
      <c r="AN2626" s="72"/>
      <c r="AQ2626" s="72"/>
      <c r="AT2626" s="72"/>
      <c r="AW2626" s="72"/>
      <c r="AZ2626" s="72"/>
    </row>
    <row r="2627" spans="1:52">
      <c r="A2627" s="131"/>
      <c r="B2627" s="72"/>
      <c r="D2627" s="72"/>
      <c r="G2627" s="72"/>
      <c r="J2627" s="72"/>
      <c r="M2627" s="72"/>
      <c r="P2627" s="72"/>
      <c r="S2627" s="72"/>
      <c r="V2627" s="72"/>
      <c r="Y2627" s="72"/>
      <c r="AB2627" s="72"/>
      <c r="AE2627" s="72"/>
      <c r="AH2627" s="72"/>
      <c r="AK2627" s="72"/>
      <c r="AN2627" s="72"/>
      <c r="AQ2627" s="72"/>
      <c r="AT2627" s="72"/>
      <c r="AW2627" s="72"/>
      <c r="AZ2627" s="72"/>
    </row>
    <row r="2628" spans="1:52">
      <c r="A2628" s="131"/>
      <c r="B2628" s="72"/>
      <c r="D2628" s="72"/>
      <c r="G2628" s="72"/>
      <c r="J2628" s="72"/>
      <c r="M2628" s="72"/>
      <c r="P2628" s="72"/>
      <c r="S2628" s="72"/>
      <c r="V2628" s="72"/>
      <c r="Y2628" s="72"/>
      <c r="AB2628" s="72"/>
      <c r="AE2628" s="72"/>
      <c r="AH2628" s="72"/>
      <c r="AK2628" s="72"/>
      <c r="AN2628" s="72"/>
      <c r="AQ2628" s="72"/>
      <c r="AT2628" s="72"/>
      <c r="AW2628" s="72"/>
      <c r="AZ2628" s="72"/>
    </row>
    <row r="2629" spans="1:52">
      <c r="A2629" s="131"/>
      <c r="B2629" s="72"/>
      <c r="D2629" s="72"/>
      <c r="G2629" s="72"/>
      <c r="J2629" s="72"/>
      <c r="M2629" s="72"/>
      <c r="P2629" s="72"/>
      <c r="S2629" s="72"/>
      <c r="V2629" s="72"/>
      <c r="Y2629" s="72"/>
      <c r="AB2629" s="72"/>
      <c r="AE2629" s="72"/>
      <c r="AH2629" s="72"/>
      <c r="AK2629" s="72"/>
      <c r="AN2629" s="72"/>
      <c r="AQ2629" s="72"/>
      <c r="AT2629" s="72"/>
      <c r="AW2629" s="72"/>
      <c r="AZ2629" s="72"/>
    </row>
    <row r="2630" spans="1:52">
      <c r="A2630" s="131"/>
      <c r="B2630" s="72"/>
      <c r="D2630" s="72"/>
      <c r="G2630" s="72"/>
      <c r="J2630" s="72"/>
      <c r="M2630" s="72"/>
      <c r="P2630" s="72"/>
      <c r="S2630" s="72"/>
      <c r="V2630" s="72"/>
      <c r="Y2630" s="72"/>
      <c r="AB2630" s="72"/>
      <c r="AE2630" s="72"/>
      <c r="AH2630" s="72"/>
      <c r="AK2630" s="72"/>
      <c r="AN2630" s="72"/>
      <c r="AQ2630" s="72"/>
      <c r="AT2630" s="72"/>
      <c r="AW2630" s="72"/>
      <c r="AZ2630" s="72"/>
    </row>
    <row r="2631" spans="1:52">
      <c r="A2631" s="131"/>
      <c r="B2631" s="72"/>
      <c r="D2631" s="72"/>
      <c r="G2631" s="72"/>
      <c r="J2631" s="72"/>
      <c r="M2631" s="72"/>
      <c r="P2631" s="72"/>
      <c r="S2631" s="72"/>
      <c r="V2631" s="72"/>
      <c r="Y2631" s="72"/>
      <c r="AB2631" s="72"/>
      <c r="AE2631" s="72"/>
      <c r="AH2631" s="72"/>
      <c r="AK2631" s="72"/>
      <c r="AN2631" s="72"/>
      <c r="AQ2631" s="72"/>
      <c r="AT2631" s="72"/>
      <c r="AW2631" s="72"/>
      <c r="AZ2631" s="72"/>
    </row>
    <row r="2632" spans="1:52">
      <c r="A2632" s="131"/>
      <c r="B2632" s="72"/>
      <c r="D2632" s="72"/>
      <c r="G2632" s="72"/>
      <c r="J2632" s="72"/>
      <c r="M2632" s="72"/>
      <c r="P2632" s="72"/>
      <c r="S2632" s="72"/>
      <c r="V2632" s="72"/>
      <c r="Y2632" s="72"/>
      <c r="AB2632" s="72"/>
      <c r="AE2632" s="72"/>
      <c r="AH2632" s="72"/>
      <c r="AK2632" s="72"/>
      <c r="AN2632" s="72"/>
      <c r="AQ2632" s="72"/>
      <c r="AT2632" s="72"/>
      <c r="AW2632" s="72"/>
      <c r="AZ2632" s="72"/>
    </row>
    <row r="2633" spans="1:52">
      <c r="A2633" s="131"/>
      <c r="B2633" s="72"/>
      <c r="D2633" s="72"/>
      <c r="G2633" s="72"/>
      <c r="J2633" s="72"/>
      <c r="M2633" s="72"/>
      <c r="P2633" s="72"/>
      <c r="S2633" s="72"/>
      <c r="V2633" s="72"/>
      <c r="Y2633" s="72"/>
      <c r="AB2633" s="72"/>
      <c r="AE2633" s="72"/>
      <c r="AH2633" s="72"/>
      <c r="AK2633" s="72"/>
      <c r="AN2633" s="72"/>
      <c r="AQ2633" s="72"/>
      <c r="AT2633" s="72"/>
      <c r="AW2633" s="72"/>
      <c r="AZ2633" s="72"/>
    </row>
    <row r="2634" spans="1:52">
      <c r="A2634" s="131"/>
      <c r="B2634" s="72"/>
      <c r="D2634" s="72"/>
      <c r="G2634" s="72"/>
      <c r="J2634" s="72"/>
      <c r="M2634" s="72"/>
      <c r="P2634" s="72"/>
      <c r="S2634" s="72"/>
      <c r="V2634" s="72"/>
      <c r="Y2634" s="72"/>
      <c r="AB2634" s="72"/>
      <c r="AE2634" s="72"/>
      <c r="AH2634" s="72"/>
      <c r="AK2634" s="72"/>
      <c r="AN2634" s="72"/>
      <c r="AQ2634" s="72"/>
      <c r="AT2634" s="72"/>
      <c r="AW2634" s="72"/>
      <c r="AZ2634" s="72"/>
    </row>
    <row r="2635" spans="1:52">
      <c r="A2635" s="131"/>
      <c r="B2635" s="72"/>
      <c r="D2635" s="72"/>
      <c r="G2635" s="72"/>
      <c r="J2635" s="72"/>
      <c r="M2635" s="72"/>
      <c r="P2635" s="72"/>
      <c r="S2635" s="72"/>
      <c r="V2635" s="72"/>
      <c r="Y2635" s="72"/>
      <c r="AB2635" s="72"/>
      <c r="AE2635" s="72"/>
      <c r="AH2635" s="72"/>
      <c r="AK2635" s="72"/>
      <c r="AN2635" s="72"/>
      <c r="AQ2635" s="72"/>
      <c r="AT2635" s="72"/>
      <c r="AW2635" s="72"/>
      <c r="AZ2635" s="72"/>
    </row>
    <row r="2636" spans="1:52">
      <c r="A2636" s="131"/>
      <c r="B2636" s="72"/>
      <c r="D2636" s="72"/>
      <c r="G2636" s="72"/>
      <c r="J2636" s="72"/>
      <c r="M2636" s="72"/>
      <c r="P2636" s="72"/>
      <c r="S2636" s="72"/>
      <c r="V2636" s="72"/>
      <c r="Y2636" s="72"/>
      <c r="AB2636" s="72"/>
      <c r="AE2636" s="72"/>
      <c r="AH2636" s="72"/>
      <c r="AK2636" s="72"/>
      <c r="AN2636" s="72"/>
      <c r="AQ2636" s="72"/>
      <c r="AT2636" s="72"/>
      <c r="AW2636" s="72"/>
      <c r="AZ2636" s="72"/>
    </row>
    <row r="2637" spans="1:52">
      <c r="A2637" s="131"/>
      <c r="B2637" s="72"/>
      <c r="D2637" s="72"/>
      <c r="G2637" s="72"/>
      <c r="J2637" s="72"/>
      <c r="M2637" s="72"/>
      <c r="P2637" s="72"/>
      <c r="S2637" s="72"/>
      <c r="V2637" s="72"/>
      <c r="Y2637" s="72"/>
      <c r="AB2637" s="72"/>
      <c r="AE2637" s="72"/>
      <c r="AH2637" s="72"/>
      <c r="AK2637" s="72"/>
      <c r="AN2637" s="72"/>
      <c r="AQ2637" s="72"/>
      <c r="AT2637" s="72"/>
      <c r="AW2637" s="72"/>
      <c r="AZ2637" s="72"/>
    </row>
    <row r="2638" spans="1:52">
      <c r="A2638" s="131"/>
      <c r="B2638" s="72"/>
      <c r="D2638" s="72"/>
      <c r="G2638" s="72"/>
      <c r="J2638" s="72"/>
      <c r="M2638" s="72"/>
      <c r="P2638" s="72"/>
      <c r="S2638" s="72"/>
      <c r="V2638" s="72"/>
      <c r="Y2638" s="72"/>
      <c r="AB2638" s="72"/>
      <c r="AE2638" s="72"/>
      <c r="AH2638" s="72"/>
      <c r="AK2638" s="72"/>
      <c r="AN2638" s="72"/>
      <c r="AQ2638" s="72"/>
      <c r="AT2638" s="72"/>
      <c r="AW2638" s="72"/>
      <c r="AZ2638" s="72"/>
    </row>
    <row r="2639" spans="1:52">
      <c r="A2639" s="131"/>
      <c r="B2639" s="72"/>
      <c r="D2639" s="72"/>
      <c r="G2639" s="72"/>
      <c r="J2639" s="72"/>
      <c r="M2639" s="72"/>
      <c r="P2639" s="72"/>
      <c r="S2639" s="72"/>
      <c r="V2639" s="72"/>
      <c r="Y2639" s="72"/>
      <c r="AB2639" s="72"/>
      <c r="AE2639" s="72"/>
      <c r="AH2639" s="72"/>
      <c r="AK2639" s="72"/>
      <c r="AN2639" s="72"/>
      <c r="AQ2639" s="72"/>
      <c r="AT2639" s="72"/>
      <c r="AW2639" s="72"/>
      <c r="AZ2639" s="72"/>
    </row>
    <row r="2640" spans="1:52">
      <c r="A2640" s="131"/>
      <c r="B2640" s="72"/>
      <c r="D2640" s="72"/>
      <c r="G2640" s="72"/>
      <c r="J2640" s="72"/>
      <c r="M2640" s="72"/>
      <c r="P2640" s="72"/>
      <c r="S2640" s="72"/>
      <c r="V2640" s="72"/>
      <c r="Y2640" s="72"/>
      <c r="AB2640" s="72"/>
      <c r="AE2640" s="72"/>
      <c r="AH2640" s="72"/>
      <c r="AK2640" s="72"/>
      <c r="AN2640" s="72"/>
      <c r="AQ2640" s="72"/>
      <c r="AT2640" s="72"/>
      <c r="AW2640" s="72"/>
      <c r="AZ2640" s="72"/>
    </row>
    <row r="2641" spans="1:52">
      <c r="A2641" s="131"/>
      <c r="B2641" s="72"/>
      <c r="D2641" s="72"/>
      <c r="G2641" s="72"/>
      <c r="J2641" s="72"/>
      <c r="M2641" s="72"/>
      <c r="P2641" s="72"/>
      <c r="S2641" s="72"/>
      <c r="V2641" s="72"/>
      <c r="Y2641" s="72"/>
      <c r="AB2641" s="72"/>
      <c r="AE2641" s="72"/>
      <c r="AH2641" s="72"/>
      <c r="AK2641" s="72"/>
      <c r="AN2641" s="72"/>
      <c r="AQ2641" s="72"/>
      <c r="AT2641" s="72"/>
      <c r="AW2641" s="72"/>
      <c r="AZ2641" s="72"/>
    </row>
    <row r="2642" spans="1:52">
      <c r="A2642" s="131"/>
      <c r="B2642" s="72"/>
      <c r="D2642" s="72"/>
      <c r="G2642" s="72"/>
      <c r="J2642" s="72"/>
      <c r="M2642" s="72"/>
      <c r="P2642" s="72"/>
      <c r="S2642" s="72"/>
      <c r="V2642" s="72"/>
      <c r="Y2642" s="72"/>
      <c r="AB2642" s="72"/>
      <c r="AE2642" s="72"/>
      <c r="AH2642" s="72"/>
      <c r="AK2642" s="72"/>
      <c r="AN2642" s="72"/>
      <c r="AQ2642" s="72"/>
      <c r="AT2642" s="72"/>
      <c r="AW2642" s="72"/>
      <c r="AZ2642" s="72"/>
    </row>
    <row r="2643" spans="1:52">
      <c r="A2643" s="131"/>
      <c r="B2643" s="72"/>
      <c r="D2643" s="72"/>
      <c r="G2643" s="72"/>
      <c r="J2643" s="72"/>
      <c r="M2643" s="72"/>
      <c r="P2643" s="72"/>
      <c r="S2643" s="72"/>
      <c r="V2643" s="72"/>
      <c r="Y2643" s="72"/>
      <c r="AB2643" s="72"/>
      <c r="AE2643" s="72"/>
      <c r="AH2643" s="72"/>
      <c r="AK2643" s="72"/>
      <c r="AN2643" s="72"/>
      <c r="AQ2643" s="72"/>
      <c r="AT2643" s="72"/>
      <c r="AW2643" s="72"/>
      <c r="AZ2643" s="72"/>
    </row>
    <row r="2644" spans="1:52">
      <c r="A2644" s="131"/>
      <c r="B2644" s="72"/>
      <c r="D2644" s="72"/>
      <c r="G2644" s="72"/>
      <c r="J2644" s="72"/>
      <c r="M2644" s="72"/>
      <c r="P2644" s="72"/>
      <c r="S2644" s="72"/>
      <c r="V2644" s="72"/>
      <c r="Y2644" s="72"/>
      <c r="AB2644" s="72"/>
      <c r="AE2644" s="72"/>
      <c r="AH2644" s="72"/>
      <c r="AK2644" s="72"/>
      <c r="AN2644" s="72"/>
      <c r="AQ2644" s="72"/>
      <c r="AT2644" s="72"/>
      <c r="AW2644" s="72"/>
      <c r="AZ2644" s="72"/>
    </row>
    <row r="2645" spans="1:52">
      <c r="A2645" s="131"/>
      <c r="B2645" s="72"/>
      <c r="D2645" s="72"/>
      <c r="G2645" s="72"/>
      <c r="J2645" s="72"/>
      <c r="M2645" s="72"/>
      <c r="P2645" s="72"/>
      <c r="S2645" s="72"/>
      <c r="V2645" s="72"/>
      <c r="Y2645" s="72"/>
      <c r="AB2645" s="72"/>
      <c r="AE2645" s="72"/>
      <c r="AH2645" s="72"/>
      <c r="AK2645" s="72"/>
      <c r="AN2645" s="72"/>
      <c r="AQ2645" s="72"/>
      <c r="AT2645" s="72"/>
      <c r="AW2645" s="72"/>
      <c r="AZ2645" s="72"/>
    </row>
    <row r="2646" spans="1:52">
      <c r="A2646" s="131"/>
      <c r="B2646" s="72"/>
      <c r="D2646" s="72"/>
      <c r="G2646" s="72"/>
      <c r="J2646" s="72"/>
      <c r="M2646" s="72"/>
      <c r="P2646" s="72"/>
      <c r="S2646" s="72"/>
      <c r="V2646" s="72"/>
      <c r="Y2646" s="72"/>
      <c r="AB2646" s="72"/>
      <c r="AE2646" s="72"/>
      <c r="AH2646" s="72"/>
      <c r="AK2646" s="72"/>
      <c r="AN2646" s="72"/>
      <c r="AQ2646" s="72"/>
      <c r="AT2646" s="72"/>
      <c r="AW2646" s="72"/>
      <c r="AZ2646" s="72"/>
    </row>
    <row r="2647" spans="1:52">
      <c r="A2647" s="131"/>
      <c r="B2647" s="72"/>
      <c r="D2647" s="72"/>
      <c r="G2647" s="72"/>
      <c r="J2647" s="72"/>
      <c r="M2647" s="72"/>
      <c r="P2647" s="72"/>
      <c r="S2647" s="72"/>
      <c r="V2647" s="72"/>
      <c r="Y2647" s="72"/>
      <c r="AB2647" s="72"/>
      <c r="AE2647" s="72"/>
      <c r="AH2647" s="72"/>
      <c r="AK2647" s="72"/>
      <c r="AN2647" s="72"/>
      <c r="AQ2647" s="72"/>
      <c r="AT2647" s="72"/>
      <c r="AW2647" s="72"/>
      <c r="AZ2647" s="72"/>
    </row>
    <row r="2648" spans="1:52">
      <c r="A2648" s="131"/>
      <c r="B2648" s="72"/>
      <c r="D2648" s="72"/>
      <c r="G2648" s="72"/>
      <c r="J2648" s="72"/>
      <c r="M2648" s="72"/>
      <c r="P2648" s="72"/>
      <c r="S2648" s="72"/>
      <c r="V2648" s="72"/>
      <c r="Y2648" s="72"/>
      <c r="AB2648" s="72"/>
      <c r="AE2648" s="72"/>
      <c r="AH2648" s="72"/>
      <c r="AK2648" s="72"/>
      <c r="AN2648" s="72"/>
      <c r="AQ2648" s="72"/>
      <c r="AT2648" s="72"/>
      <c r="AW2648" s="72"/>
      <c r="AZ2648" s="72"/>
    </row>
    <row r="2649" spans="1:52">
      <c r="A2649" s="131"/>
      <c r="B2649" s="72"/>
      <c r="D2649" s="72"/>
      <c r="G2649" s="72"/>
      <c r="J2649" s="72"/>
      <c r="M2649" s="72"/>
      <c r="P2649" s="72"/>
      <c r="S2649" s="72"/>
      <c r="V2649" s="72"/>
      <c r="Y2649" s="72"/>
      <c r="AB2649" s="72"/>
      <c r="AE2649" s="72"/>
      <c r="AH2649" s="72"/>
      <c r="AK2649" s="72"/>
      <c r="AN2649" s="72"/>
      <c r="AQ2649" s="72"/>
      <c r="AT2649" s="72"/>
      <c r="AW2649" s="72"/>
      <c r="AZ2649" s="72"/>
    </row>
    <row r="2650" spans="1:52">
      <c r="A2650" s="131"/>
      <c r="B2650" s="72"/>
      <c r="D2650" s="72"/>
      <c r="G2650" s="72"/>
      <c r="J2650" s="72"/>
      <c r="M2650" s="72"/>
      <c r="P2650" s="72"/>
      <c r="S2650" s="72"/>
      <c r="V2650" s="72"/>
      <c r="Y2650" s="72"/>
      <c r="AB2650" s="72"/>
      <c r="AE2650" s="72"/>
      <c r="AH2650" s="72"/>
      <c r="AK2650" s="72"/>
      <c r="AN2650" s="72"/>
      <c r="AQ2650" s="72"/>
      <c r="AT2650" s="72"/>
      <c r="AW2650" s="72"/>
      <c r="AZ2650" s="72"/>
    </row>
    <row r="2651" spans="1:52">
      <c r="A2651" s="131"/>
      <c r="B2651" s="72"/>
      <c r="D2651" s="72"/>
      <c r="G2651" s="72"/>
      <c r="J2651" s="72"/>
      <c r="M2651" s="72"/>
      <c r="P2651" s="72"/>
      <c r="S2651" s="72"/>
      <c r="V2651" s="72"/>
      <c r="Y2651" s="72"/>
      <c r="AB2651" s="72"/>
      <c r="AE2651" s="72"/>
      <c r="AH2651" s="72"/>
      <c r="AK2651" s="72"/>
      <c r="AN2651" s="72"/>
      <c r="AQ2651" s="72"/>
      <c r="AT2651" s="72"/>
      <c r="AW2651" s="72"/>
      <c r="AZ2651" s="72"/>
    </row>
    <row r="2652" spans="1:52">
      <c r="A2652" s="131"/>
      <c r="B2652" s="72"/>
      <c r="D2652" s="72"/>
      <c r="G2652" s="72"/>
      <c r="J2652" s="72"/>
      <c r="M2652" s="72"/>
      <c r="P2652" s="72"/>
      <c r="S2652" s="72"/>
      <c r="V2652" s="72"/>
      <c r="Y2652" s="72"/>
      <c r="AB2652" s="72"/>
      <c r="AE2652" s="72"/>
      <c r="AH2652" s="72"/>
      <c r="AK2652" s="72"/>
      <c r="AN2652" s="72"/>
      <c r="AQ2652" s="72"/>
      <c r="AT2652" s="72"/>
      <c r="AW2652" s="72"/>
      <c r="AZ2652" s="72"/>
    </row>
    <row r="2653" spans="1:52">
      <c r="A2653" s="131"/>
      <c r="B2653" s="72"/>
      <c r="D2653" s="72"/>
      <c r="G2653" s="72"/>
      <c r="J2653" s="72"/>
      <c r="M2653" s="72"/>
      <c r="P2653" s="72"/>
      <c r="S2653" s="72"/>
      <c r="V2653" s="72"/>
      <c r="Y2653" s="72"/>
      <c r="AB2653" s="72"/>
      <c r="AE2653" s="72"/>
      <c r="AH2653" s="72"/>
      <c r="AK2653" s="72"/>
      <c r="AN2653" s="72"/>
      <c r="AQ2653" s="72"/>
      <c r="AT2653" s="72"/>
      <c r="AW2653" s="72"/>
      <c r="AZ2653" s="72"/>
    </row>
    <row r="2654" spans="1:52">
      <c r="A2654" s="131"/>
      <c r="B2654" s="72"/>
      <c r="D2654" s="72"/>
      <c r="G2654" s="72"/>
      <c r="J2654" s="72"/>
      <c r="M2654" s="72"/>
      <c r="P2654" s="72"/>
      <c r="S2654" s="72"/>
      <c r="V2654" s="72"/>
      <c r="Y2654" s="72"/>
      <c r="AB2654" s="72"/>
      <c r="AE2654" s="72"/>
      <c r="AH2654" s="72"/>
      <c r="AK2654" s="72"/>
      <c r="AN2654" s="72"/>
      <c r="AQ2654" s="72"/>
      <c r="AT2654" s="72"/>
      <c r="AW2654" s="72"/>
      <c r="AZ2654" s="72"/>
    </row>
    <row r="2655" spans="1:52">
      <c r="A2655" s="131"/>
      <c r="B2655" s="72"/>
      <c r="D2655" s="72"/>
      <c r="G2655" s="72"/>
      <c r="J2655" s="72"/>
      <c r="M2655" s="72"/>
      <c r="P2655" s="72"/>
      <c r="S2655" s="72"/>
      <c r="V2655" s="72"/>
      <c r="Y2655" s="72"/>
      <c r="AB2655" s="72"/>
      <c r="AE2655" s="72"/>
      <c r="AH2655" s="72"/>
      <c r="AK2655" s="72"/>
      <c r="AN2655" s="72"/>
      <c r="AQ2655" s="72"/>
      <c r="AT2655" s="72"/>
      <c r="AW2655" s="72"/>
      <c r="AZ2655" s="72"/>
    </row>
    <row r="2656" spans="1:52">
      <c r="A2656" s="131"/>
      <c r="B2656" s="72"/>
      <c r="D2656" s="72"/>
      <c r="G2656" s="72"/>
      <c r="J2656" s="72"/>
      <c r="M2656" s="72"/>
      <c r="P2656" s="72"/>
      <c r="S2656" s="72"/>
      <c r="V2656" s="72"/>
      <c r="Y2656" s="72"/>
      <c r="AB2656" s="72"/>
      <c r="AE2656" s="72"/>
      <c r="AH2656" s="72"/>
      <c r="AK2656" s="72"/>
      <c r="AN2656" s="72"/>
      <c r="AQ2656" s="72"/>
      <c r="AT2656" s="72"/>
      <c r="AW2656" s="72"/>
      <c r="AZ2656" s="72"/>
    </row>
    <row r="2657" spans="1:52">
      <c r="A2657" s="131"/>
      <c r="B2657" s="72"/>
      <c r="D2657" s="72"/>
      <c r="G2657" s="72"/>
      <c r="J2657" s="72"/>
      <c r="M2657" s="72"/>
      <c r="P2657" s="72"/>
      <c r="S2657" s="72"/>
      <c r="V2657" s="72"/>
      <c r="Y2657" s="72"/>
      <c r="AB2657" s="72"/>
      <c r="AE2657" s="72"/>
      <c r="AH2657" s="72"/>
      <c r="AK2657" s="72"/>
      <c r="AN2657" s="72"/>
      <c r="AQ2657" s="72"/>
      <c r="AT2657" s="72"/>
      <c r="AW2657" s="72"/>
      <c r="AZ2657" s="72"/>
    </row>
    <row r="2658" spans="1:52">
      <c r="A2658" s="131"/>
      <c r="B2658" s="72"/>
      <c r="D2658" s="72"/>
      <c r="G2658" s="72"/>
      <c r="J2658" s="72"/>
      <c r="M2658" s="72"/>
      <c r="P2658" s="72"/>
      <c r="S2658" s="72"/>
      <c r="V2658" s="72"/>
      <c r="Y2658" s="72"/>
      <c r="AB2658" s="72"/>
      <c r="AE2658" s="72"/>
      <c r="AH2658" s="72"/>
      <c r="AK2658" s="72"/>
      <c r="AN2658" s="72"/>
      <c r="AQ2658" s="72"/>
      <c r="AT2658" s="72"/>
      <c r="AW2658" s="72"/>
      <c r="AZ2658" s="72"/>
    </row>
    <row r="2659" spans="1:52">
      <c r="A2659" s="131"/>
      <c r="B2659" s="72"/>
      <c r="D2659" s="72"/>
      <c r="G2659" s="72"/>
      <c r="J2659" s="72"/>
      <c r="M2659" s="72"/>
      <c r="P2659" s="72"/>
      <c r="S2659" s="72"/>
      <c r="V2659" s="72"/>
      <c r="Y2659" s="72"/>
      <c r="AB2659" s="72"/>
      <c r="AE2659" s="72"/>
      <c r="AH2659" s="72"/>
      <c r="AK2659" s="72"/>
      <c r="AN2659" s="72"/>
      <c r="AQ2659" s="72"/>
      <c r="AT2659" s="72"/>
      <c r="AW2659" s="72"/>
      <c r="AZ2659" s="72"/>
    </row>
    <row r="2660" spans="1:52">
      <c r="A2660" s="131"/>
      <c r="B2660" s="72"/>
      <c r="D2660" s="72"/>
      <c r="G2660" s="72"/>
      <c r="J2660" s="72"/>
      <c r="M2660" s="72"/>
      <c r="P2660" s="72"/>
      <c r="S2660" s="72"/>
      <c r="V2660" s="72"/>
      <c r="Y2660" s="72"/>
      <c r="AB2660" s="72"/>
      <c r="AE2660" s="72"/>
      <c r="AH2660" s="72"/>
      <c r="AK2660" s="72"/>
      <c r="AN2660" s="72"/>
      <c r="AQ2660" s="72"/>
      <c r="AT2660" s="72"/>
      <c r="AW2660" s="72"/>
      <c r="AZ2660" s="72"/>
    </row>
    <row r="2661" spans="1:52">
      <c r="A2661" s="131"/>
      <c r="B2661" s="72"/>
      <c r="D2661" s="72"/>
      <c r="G2661" s="72"/>
      <c r="J2661" s="72"/>
      <c r="M2661" s="72"/>
      <c r="P2661" s="72"/>
      <c r="S2661" s="72"/>
      <c r="V2661" s="72"/>
      <c r="Y2661" s="72"/>
      <c r="AB2661" s="72"/>
      <c r="AE2661" s="72"/>
      <c r="AH2661" s="72"/>
      <c r="AK2661" s="72"/>
      <c r="AN2661" s="72"/>
      <c r="AQ2661" s="72"/>
      <c r="AT2661" s="72"/>
      <c r="AW2661" s="72"/>
      <c r="AZ2661" s="72"/>
    </row>
    <row r="2662" spans="1:52">
      <c r="A2662" s="131"/>
      <c r="B2662" s="72"/>
      <c r="D2662" s="72"/>
      <c r="G2662" s="72"/>
      <c r="J2662" s="72"/>
      <c r="M2662" s="72"/>
      <c r="P2662" s="72"/>
      <c r="S2662" s="72"/>
      <c r="V2662" s="72"/>
      <c r="Y2662" s="72"/>
      <c r="AB2662" s="72"/>
      <c r="AE2662" s="72"/>
      <c r="AH2662" s="72"/>
      <c r="AK2662" s="72"/>
      <c r="AN2662" s="72"/>
      <c r="AQ2662" s="72"/>
      <c r="AT2662" s="72"/>
      <c r="AW2662" s="72"/>
      <c r="AZ2662" s="72"/>
    </row>
    <row r="2663" spans="1:52">
      <c r="A2663" s="131"/>
      <c r="B2663" s="72"/>
      <c r="D2663" s="72"/>
      <c r="G2663" s="72"/>
      <c r="J2663" s="72"/>
      <c r="M2663" s="72"/>
      <c r="P2663" s="72"/>
      <c r="S2663" s="72"/>
      <c r="V2663" s="72"/>
      <c r="Y2663" s="72"/>
      <c r="AB2663" s="72"/>
      <c r="AE2663" s="72"/>
      <c r="AH2663" s="72"/>
      <c r="AK2663" s="72"/>
      <c r="AN2663" s="72"/>
      <c r="AQ2663" s="72"/>
      <c r="AT2663" s="72"/>
      <c r="AW2663" s="72"/>
      <c r="AZ2663" s="72"/>
    </row>
    <row r="2664" spans="1:52">
      <c r="A2664" s="131"/>
      <c r="B2664" s="72"/>
      <c r="D2664" s="72"/>
      <c r="G2664" s="72"/>
      <c r="J2664" s="72"/>
      <c r="M2664" s="72"/>
      <c r="P2664" s="72"/>
      <c r="S2664" s="72"/>
      <c r="V2664" s="72"/>
      <c r="Y2664" s="72"/>
      <c r="AB2664" s="72"/>
      <c r="AE2664" s="72"/>
      <c r="AH2664" s="72"/>
      <c r="AK2664" s="72"/>
      <c r="AN2664" s="72"/>
      <c r="AQ2664" s="72"/>
      <c r="AT2664" s="72"/>
      <c r="AW2664" s="72"/>
      <c r="AZ2664" s="72"/>
    </row>
    <row r="2665" spans="1:52">
      <c r="A2665" s="131"/>
      <c r="B2665" s="72"/>
      <c r="D2665" s="72"/>
      <c r="G2665" s="72"/>
      <c r="J2665" s="72"/>
      <c r="M2665" s="72"/>
      <c r="P2665" s="72"/>
      <c r="S2665" s="72"/>
      <c r="V2665" s="72"/>
      <c r="Y2665" s="72"/>
      <c r="AB2665" s="72"/>
      <c r="AE2665" s="72"/>
      <c r="AH2665" s="72"/>
      <c r="AK2665" s="72"/>
      <c r="AN2665" s="72"/>
      <c r="AQ2665" s="72"/>
      <c r="AT2665" s="72"/>
      <c r="AW2665" s="72"/>
      <c r="AZ2665" s="72"/>
    </row>
    <row r="2666" spans="1:52">
      <c r="A2666" s="131"/>
      <c r="B2666" s="72"/>
      <c r="D2666" s="72"/>
      <c r="G2666" s="72"/>
      <c r="J2666" s="72"/>
      <c r="M2666" s="72"/>
      <c r="P2666" s="72"/>
      <c r="S2666" s="72"/>
      <c r="V2666" s="72"/>
      <c r="Y2666" s="72"/>
      <c r="AB2666" s="72"/>
      <c r="AE2666" s="72"/>
      <c r="AH2666" s="72"/>
      <c r="AK2666" s="72"/>
      <c r="AN2666" s="72"/>
      <c r="AQ2666" s="72"/>
      <c r="AT2666" s="72"/>
      <c r="AW2666" s="72"/>
      <c r="AZ2666" s="72"/>
    </row>
    <row r="2667" spans="1:52">
      <c r="A2667" s="131"/>
      <c r="B2667" s="72"/>
      <c r="D2667" s="72"/>
      <c r="G2667" s="72"/>
      <c r="J2667" s="72"/>
      <c r="M2667" s="72"/>
      <c r="P2667" s="72"/>
      <c r="S2667" s="72"/>
      <c r="V2667" s="72"/>
      <c r="Y2667" s="72"/>
      <c r="AB2667" s="72"/>
      <c r="AE2667" s="72"/>
      <c r="AH2667" s="72"/>
      <c r="AK2667" s="72"/>
      <c r="AN2667" s="72"/>
      <c r="AQ2667" s="72"/>
      <c r="AT2667" s="72"/>
      <c r="AW2667" s="72"/>
      <c r="AZ2667" s="72"/>
    </row>
    <row r="2668" spans="1:52">
      <c r="A2668" s="131"/>
      <c r="B2668" s="72"/>
      <c r="D2668" s="72"/>
      <c r="G2668" s="72"/>
      <c r="J2668" s="72"/>
      <c r="M2668" s="72"/>
      <c r="P2668" s="72"/>
      <c r="S2668" s="72"/>
      <c r="V2668" s="72"/>
      <c r="Y2668" s="72"/>
      <c r="AB2668" s="72"/>
      <c r="AE2668" s="72"/>
      <c r="AH2668" s="72"/>
      <c r="AK2668" s="72"/>
      <c r="AN2668" s="72"/>
      <c r="AQ2668" s="72"/>
      <c r="AT2668" s="72"/>
      <c r="AW2668" s="72"/>
      <c r="AZ2668" s="72"/>
    </row>
    <row r="2669" spans="1:52">
      <c r="A2669" s="131"/>
      <c r="B2669" s="72"/>
      <c r="D2669" s="72"/>
      <c r="G2669" s="72"/>
      <c r="J2669" s="72"/>
      <c r="M2669" s="72"/>
      <c r="P2669" s="72"/>
      <c r="S2669" s="72"/>
      <c r="V2669" s="72"/>
      <c r="Y2669" s="72"/>
      <c r="AB2669" s="72"/>
      <c r="AE2669" s="72"/>
      <c r="AH2669" s="72"/>
      <c r="AK2669" s="72"/>
      <c r="AN2669" s="72"/>
      <c r="AQ2669" s="72"/>
      <c r="AT2669" s="72"/>
      <c r="AW2669" s="72"/>
      <c r="AZ2669" s="72"/>
    </row>
    <row r="2670" spans="1:52">
      <c r="A2670" s="131"/>
      <c r="B2670" s="72"/>
      <c r="D2670" s="72"/>
      <c r="G2670" s="72"/>
      <c r="J2670" s="72"/>
      <c r="M2670" s="72"/>
      <c r="P2670" s="72"/>
      <c r="S2670" s="72"/>
      <c r="V2670" s="72"/>
      <c r="Y2670" s="72"/>
      <c r="AB2670" s="72"/>
      <c r="AE2670" s="72"/>
      <c r="AH2670" s="72"/>
      <c r="AK2670" s="72"/>
      <c r="AN2670" s="72"/>
      <c r="AQ2670" s="72"/>
      <c r="AT2670" s="72"/>
      <c r="AW2670" s="72"/>
      <c r="AZ2670" s="72"/>
    </row>
    <row r="2671" spans="1:52">
      <c r="A2671" s="131"/>
      <c r="B2671" s="72"/>
      <c r="D2671" s="72"/>
      <c r="G2671" s="72"/>
      <c r="J2671" s="72"/>
      <c r="M2671" s="72"/>
      <c r="P2671" s="72"/>
      <c r="S2671" s="72"/>
      <c r="V2671" s="72"/>
      <c r="Y2671" s="72"/>
      <c r="AB2671" s="72"/>
      <c r="AE2671" s="72"/>
      <c r="AH2671" s="72"/>
      <c r="AK2671" s="72"/>
      <c r="AN2671" s="72"/>
      <c r="AQ2671" s="72"/>
      <c r="AT2671" s="72"/>
      <c r="AW2671" s="72"/>
      <c r="AZ2671" s="72"/>
    </row>
    <row r="2672" spans="1:52">
      <c r="A2672" s="131"/>
      <c r="B2672" s="72"/>
      <c r="D2672" s="72"/>
      <c r="G2672" s="72"/>
      <c r="J2672" s="72"/>
      <c r="M2672" s="72"/>
      <c r="P2672" s="72"/>
      <c r="S2672" s="72"/>
      <c r="V2672" s="72"/>
      <c r="Y2672" s="72"/>
      <c r="AB2672" s="72"/>
      <c r="AE2672" s="72"/>
      <c r="AH2672" s="72"/>
      <c r="AK2672" s="72"/>
      <c r="AN2672" s="72"/>
      <c r="AQ2672" s="72"/>
      <c r="AT2672" s="72"/>
      <c r="AW2672" s="72"/>
      <c r="AZ2672" s="72"/>
    </row>
    <row r="2673" spans="1:52">
      <c r="A2673" s="131"/>
      <c r="B2673" s="72"/>
      <c r="D2673" s="72"/>
      <c r="G2673" s="72"/>
      <c r="J2673" s="72"/>
      <c r="M2673" s="72"/>
      <c r="P2673" s="72"/>
      <c r="S2673" s="72"/>
      <c r="V2673" s="72"/>
      <c r="Y2673" s="72"/>
      <c r="AB2673" s="72"/>
      <c r="AE2673" s="72"/>
      <c r="AH2673" s="72"/>
      <c r="AK2673" s="72"/>
      <c r="AN2673" s="72"/>
      <c r="AQ2673" s="72"/>
      <c r="AT2673" s="72"/>
      <c r="AW2673" s="72"/>
      <c r="AZ2673" s="72"/>
    </row>
    <row r="2674" spans="1:52">
      <c r="A2674" s="131"/>
      <c r="B2674" s="72"/>
      <c r="D2674" s="72"/>
      <c r="G2674" s="72"/>
      <c r="J2674" s="72"/>
      <c r="M2674" s="72"/>
      <c r="P2674" s="72"/>
      <c r="S2674" s="72"/>
      <c r="V2674" s="72"/>
      <c r="Y2674" s="72"/>
      <c r="AB2674" s="72"/>
      <c r="AE2674" s="72"/>
      <c r="AH2674" s="72"/>
      <c r="AK2674" s="72"/>
      <c r="AN2674" s="72"/>
      <c r="AQ2674" s="72"/>
      <c r="AT2674" s="72"/>
      <c r="AW2674" s="72"/>
      <c r="AZ2674" s="72"/>
    </row>
    <row r="2675" spans="1:52">
      <c r="A2675" s="131"/>
      <c r="B2675" s="72"/>
      <c r="D2675" s="72"/>
      <c r="G2675" s="72"/>
      <c r="J2675" s="72"/>
      <c r="M2675" s="72"/>
      <c r="P2675" s="72"/>
      <c r="S2675" s="72"/>
      <c r="V2675" s="72"/>
      <c r="Y2675" s="72"/>
      <c r="AB2675" s="72"/>
      <c r="AE2675" s="72"/>
      <c r="AH2675" s="72"/>
      <c r="AK2675" s="72"/>
      <c r="AN2675" s="72"/>
      <c r="AQ2675" s="72"/>
      <c r="AT2675" s="72"/>
      <c r="AW2675" s="72"/>
      <c r="AZ2675" s="72"/>
    </row>
    <row r="2676" spans="1:52">
      <c r="A2676" s="131"/>
      <c r="B2676" s="72"/>
      <c r="D2676" s="72"/>
      <c r="G2676" s="72"/>
      <c r="J2676" s="72"/>
      <c r="M2676" s="72"/>
      <c r="P2676" s="72"/>
      <c r="S2676" s="72"/>
      <c r="V2676" s="72"/>
      <c r="Y2676" s="72"/>
      <c r="AB2676" s="72"/>
      <c r="AE2676" s="72"/>
      <c r="AH2676" s="72"/>
      <c r="AK2676" s="72"/>
      <c r="AN2676" s="72"/>
      <c r="AQ2676" s="72"/>
      <c r="AT2676" s="72"/>
      <c r="AW2676" s="72"/>
      <c r="AZ2676" s="72"/>
    </row>
    <row r="2677" spans="1:52">
      <c r="A2677" s="131"/>
      <c r="B2677" s="72"/>
      <c r="D2677" s="72"/>
      <c r="G2677" s="72"/>
      <c r="J2677" s="72"/>
      <c r="M2677" s="72"/>
      <c r="P2677" s="72"/>
      <c r="S2677" s="72"/>
      <c r="V2677" s="72"/>
      <c r="Y2677" s="72"/>
      <c r="AB2677" s="72"/>
      <c r="AE2677" s="72"/>
      <c r="AH2677" s="72"/>
      <c r="AK2677" s="72"/>
      <c r="AN2677" s="72"/>
      <c r="AQ2677" s="72"/>
      <c r="AT2677" s="72"/>
      <c r="AW2677" s="72"/>
      <c r="AZ2677" s="72"/>
    </row>
    <row r="2678" spans="1:52">
      <c r="A2678" s="131"/>
      <c r="B2678" s="72"/>
      <c r="D2678" s="72"/>
      <c r="G2678" s="72"/>
      <c r="J2678" s="72"/>
      <c r="M2678" s="72"/>
      <c r="P2678" s="72"/>
      <c r="S2678" s="72"/>
      <c r="V2678" s="72"/>
      <c r="Y2678" s="72"/>
      <c r="AB2678" s="72"/>
      <c r="AE2678" s="72"/>
      <c r="AH2678" s="72"/>
      <c r="AK2678" s="72"/>
      <c r="AN2678" s="72"/>
      <c r="AQ2678" s="72"/>
      <c r="AT2678" s="72"/>
      <c r="AW2678" s="72"/>
      <c r="AZ2678" s="72"/>
    </row>
    <row r="2679" spans="1:52">
      <c r="A2679" s="131"/>
      <c r="B2679" s="72"/>
      <c r="D2679" s="72"/>
      <c r="G2679" s="72"/>
      <c r="J2679" s="72"/>
      <c r="M2679" s="72"/>
      <c r="P2679" s="72"/>
      <c r="S2679" s="72"/>
      <c r="V2679" s="72"/>
      <c r="Y2679" s="72"/>
      <c r="AB2679" s="72"/>
      <c r="AE2679" s="72"/>
      <c r="AH2679" s="72"/>
      <c r="AK2679" s="72"/>
      <c r="AN2679" s="72"/>
      <c r="AQ2679" s="72"/>
      <c r="AT2679" s="72"/>
      <c r="AW2679" s="72"/>
      <c r="AZ2679" s="72"/>
    </row>
    <row r="2680" spans="1:52">
      <c r="A2680" s="131"/>
      <c r="B2680" s="72"/>
      <c r="D2680" s="72"/>
      <c r="G2680" s="72"/>
      <c r="J2680" s="72"/>
      <c r="M2680" s="72"/>
      <c r="P2680" s="72"/>
      <c r="S2680" s="72"/>
      <c r="V2680" s="72"/>
      <c r="Y2680" s="72"/>
      <c r="AB2680" s="72"/>
      <c r="AE2680" s="72"/>
      <c r="AH2680" s="72"/>
      <c r="AK2680" s="72"/>
      <c r="AN2680" s="72"/>
      <c r="AQ2680" s="72"/>
      <c r="AT2680" s="72"/>
      <c r="AW2680" s="72"/>
      <c r="AZ2680" s="72"/>
    </row>
    <row r="2681" spans="1:52">
      <c r="A2681" s="131"/>
      <c r="B2681" s="72"/>
      <c r="D2681" s="72"/>
      <c r="G2681" s="72"/>
      <c r="J2681" s="72"/>
      <c r="M2681" s="72"/>
      <c r="P2681" s="72"/>
      <c r="S2681" s="72"/>
      <c r="V2681" s="72"/>
      <c r="Y2681" s="72"/>
      <c r="AB2681" s="72"/>
      <c r="AE2681" s="72"/>
      <c r="AH2681" s="72"/>
      <c r="AK2681" s="72"/>
      <c r="AN2681" s="72"/>
      <c r="AQ2681" s="72"/>
      <c r="AT2681" s="72"/>
      <c r="AW2681" s="72"/>
      <c r="AZ2681" s="72"/>
    </row>
    <row r="2682" spans="1:52">
      <c r="A2682" s="131"/>
      <c r="B2682" s="72"/>
      <c r="D2682" s="72"/>
      <c r="G2682" s="72"/>
      <c r="J2682" s="72"/>
      <c r="M2682" s="72"/>
      <c r="P2682" s="72"/>
      <c r="S2682" s="72"/>
      <c r="V2682" s="72"/>
      <c r="Y2682" s="72"/>
      <c r="AB2682" s="72"/>
      <c r="AE2682" s="72"/>
      <c r="AH2682" s="72"/>
      <c r="AK2682" s="72"/>
      <c r="AN2682" s="72"/>
      <c r="AQ2682" s="72"/>
      <c r="AT2682" s="72"/>
      <c r="AW2682" s="72"/>
      <c r="AZ2682" s="72"/>
    </row>
    <row r="2683" spans="1:52">
      <c r="A2683" s="131"/>
      <c r="B2683" s="72"/>
      <c r="D2683" s="72"/>
      <c r="G2683" s="72"/>
      <c r="J2683" s="72"/>
      <c r="M2683" s="72"/>
      <c r="P2683" s="72"/>
      <c r="S2683" s="72"/>
      <c r="V2683" s="72"/>
      <c r="Y2683" s="72"/>
      <c r="AB2683" s="72"/>
      <c r="AE2683" s="72"/>
      <c r="AH2683" s="72"/>
      <c r="AK2683" s="72"/>
      <c r="AN2683" s="72"/>
      <c r="AQ2683" s="72"/>
      <c r="AT2683" s="72"/>
      <c r="AW2683" s="72"/>
      <c r="AZ2683" s="72"/>
    </row>
    <row r="2684" spans="1:52">
      <c r="A2684" s="131"/>
      <c r="B2684" s="72"/>
      <c r="D2684" s="72"/>
      <c r="G2684" s="72"/>
      <c r="J2684" s="72"/>
      <c r="M2684" s="72"/>
      <c r="P2684" s="72"/>
      <c r="S2684" s="72"/>
      <c r="V2684" s="72"/>
      <c r="Y2684" s="72"/>
      <c r="AB2684" s="72"/>
      <c r="AE2684" s="72"/>
      <c r="AH2684" s="72"/>
      <c r="AK2684" s="72"/>
      <c r="AN2684" s="72"/>
      <c r="AQ2684" s="72"/>
      <c r="AT2684" s="72"/>
      <c r="AW2684" s="72"/>
      <c r="AZ2684" s="72"/>
    </row>
    <row r="2685" spans="1:52">
      <c r="A2685" s="131"/>
      <c r="B2685" s="72"/>
      <c r="D2685" s="72"/>
      <c r="G2685" s="72"/>
      <c r="J2685" s="72"/>
      <c r="M2685" s="72"/>
      <c r="P2685" s="72"/>
      <c r="S2685" s="72"/>
      <c r="V2685" s="72"/>
      <c r="Y2685" s="72"/>
      <c r="AB2685" s="72"/>
      <c r="AE2685" s="72"/>
      <c r="AH2685" s="72"/>
      <c r="AK2685" s="72"/>
      <c r="AN2685" s="72"/>
      <c r="AQ2685" s="72"/>
      <c r="AT2685" s="72"/>
      <c r="AW2685" s="72"/>
      <c r="AZ2685" s="72"/>
    </row>
    <row r="2686" spans="1:52">
      <c r="A2686" s="131"/>
      <c r="B2686" s="72"/>
      <c r="D2686" s="72"/>
      <c r="G2686" s="72"/>
      <c r="J2686" s="72"/>
      <c r="M2686" s="72"/>
      <c r="P2686" s="72"/>
      <c r="S2686" s="72"/>
      <c r="V2686" s="72"/>
      <c r="Y2686" s="72"/>
      <c r="AB2686" s="72"/>
      <c r="AE2686" s="72"/>
      <c r="AH2686" s="72"/>
      <c r="AK2686" s="72"/>
      <c r="AN2686" s="72"/>
      <c r="AQ2686" s="72"/>
      <c r="AT2686" s="72"/>
      <c r="AW2686" s="72"/>
      <c r="AZ2686" s="72"/>
    </row>
    <row r="2687" spans="1:52">
      <c r="A2687" s="131"/>
      <c r="B2687" s="72"/>
      <c r="D2687" s="72"/>
      <c r="G2687" s="72"/>
      <c r="J2687" s="72"/>
      <c r="M2687" s="72"/>
      <c r="P2687" s="72"/>
      <c r="S2687" s="72"/>
      <c r="V2687" s="72"/>
      <c r="Y2687" s="72"/>
      <c r="AB2687" s="72"/>
      <c r="AE2687" s="72"/>
      <c r="AH2687" s="72"/>
      <c r="AK2687" s="72"/>
      <c r="AN2687" s="72"/>
      <c r="AQ2687" s="72"/>
      <c r="AT2687" s="72"/>
      <c r="AW2687" s="72"/>
      <c r="AZ2687" s="72"/>
    </row>
    <row r="2688" spans="1:52">
      <c r="A2688" s="131"/>
      <c r="B2688" s="72"/>
      <c r="D2688" s="72"/>
      <c r="G2688" s="72"/>
      <c r="J2688" s="72"/>
      <c r="M2688" s="72"/>
      <c r="P2688" s="72"/>
      <c r="S2688" s="72"/>
      <c r="V2688" s="72"/>
      <c r="Y2688" s="72"/>
      <c r="AB2688" s="72"/>
      <c r="AE2688" s="72"/>
      <c r="AH2688" s="72"/>
      <c r="AK2688" s="72"/>
      <c r="AN2688" s="72"/>
      <c r="AQ2688" s="72"/>
      <c r="AT2688" s="72"/>
      <c r="AW2688" s="72"/>
      <c r="AZ2688" s="72"/>
    </row>
    <row r="2689" spans="1:52">
      <c r="A2689" s="131"/>
      <c r="B2689" s="72"/>
      <c r="D2689" s="72"/>
      <c r="G2689" s="72"/>
      <c r="J2689" s="72"/>
      <c r="M2689" s="72"/>
      <c r="P2689" s="72"/>
      <c r="S2689" s="72"/>
      <c r="V2689" s="72"/>
      <c r="Y2689" s="72"/>
      <c r="AB2689" s="72"/>
      <c r="AE2689" s="72"/>
      <c r="AH2689" s="72"/>
      <c r="AK2689" s="72"/>
      <c r="AN2689" s="72"/>
      <c r="AQ2689" s="72"/>
      <c r="AT2689" s="72"/>
      <c r="AW2689" s="72"/>
      <c r="AZ2689" s="72"/>
    </row>
    <row r="2690" spans="1:52">
      <c r="A2690" s="131"/>
      <c r="B2690" s="72"/>
      <c r="D2690" s="72"/>
      <c r="G2690" s="72"/>
      <c r="J2690" s="72"/>
      <c r="M2690" s="72"/>
      <c r="P2690" s="72"/>
      <c r="S2690" s="72"/>
      <c r="V2690" s="72"/>
      <c r="Y2690" s="72"/>
      <c r="AB2690" s="72"/>
      <c r="AE2690" s="72"/>
      <c r="AH2690" s="72"/>
      <c r="AK2690" s="72"/>
      <c r="AN2690" s="72"/>
      <c r="AQ2690" s="72"/>
      <c r="AT2690" s="72"/>
      <c r="AW2690" s="72"/>
      <c r="AZ2690" s="72"/>
    </row>
    <row r="2691" spans="1:52">
      <c r="A2691" s="131"/>
      <c r="B2691" s="72"/>
      <c r="D2691" s="72"/>
      <c r="G2691" s="72"/>
      <c r="J2691" s="72"/>
      <c r="M2691" s="72"/>
      <c r="P2691" s="72"/>
      <c r="S2691" s="72"/>
      <c r="V2691" s="72"/>
      <c r="Y2691" s="72"/>
      <c r="AB2691" s="72"/>
      <c r="AE2691" s="72"/>
      <c r="AH2691" s="72"/>
      <c r="AK2691" s="72"/>
      <c r="AN2691" s="72"/>
      <c r="AQ2691" s="72"/>
      <c r="AT2691" s="72"/>
      <c r="AW2691" s="72"/>
      <c r="AZ2691" s="72"/>
    </row>
    <row r="2692" spans="1:52">
      <c r="A2692" s="131"/>
      <c r="B2692" s="72"/>
      <c r="D2692" s="72"/>
      <c r="G2692" s="72"/>
      <c r="J2692" s="72"/>
      <c r="M2692" s="72"/>
      <c r="P2692" s="72"/>
      <c r="S2692" s="72"/>
      <c r="V2692" s="72"/>
      <c r="Y2692" s="72"/>
      <c r="AB2692" s="72"/>
      <c r="AE2692" s="72"/>
      <c r="AH2692" s="72"/>
      <c r="AK2692" s="72"/>
      <c r="AN2692" s="72"/>
      <c r="AQ2692" s="72"/>
      <c r="AT2692" s="72"/>
      <c r="AW2692" s="72"/>
      <c r="AZ2692" s="72"/>
    </row>
    <row r="2693" spans="1:52">
      <c r="A2693" s="131"/>
      <c r="B2693" s="72"/>
      <c r="D2693" s="72"/>
      <c r="G2693" s="72"/>
      <c r="J2693" s="72"/>
      <c r="M2693" s="72"/>
      <c r="P2693" s="72"/>
      <c r="S2693" s="72"/>
      <c r="V2693" s="72"/>
      <c r="Y2693" s="72"/>
      <c r="AB2693" s="72"/>
      <c r="AE2693" s="72"/>
      <c r="AH2693" s="72"/>
      <c r="AK2693" s="72"/>
      <c r="AN2693" s="72"/>
      <c r="AQ2693" s="72"/>
      <c r="AT2693" s="72"/>
      <c r="AW2693" s="72"/>
      <c r="AZ2693" s="72"/>
    </row>
    <row r="2694" spans="1:52">
      <c r="A2694" s="131"/>
      <c r="B2694" s="72"/>
      <c r="D2694" s="72"/>
      <c r="G2694" s="72"/>
      <c r="J2694" s="72"/>
      <c r="M2694" s="72"/>
      <c r="P2694" s="72"/>
      <c r="S2694" s="72"/>
      <c r="V2694" s="72"/>
      <c r="Y2694" s="72"/>
      <c r="AB2694" s="72"/>
      <c r="AE2694" s="72"/>
      <c r="AH2694" s="72"/>
      <c r="AK2694" s="72"/>
      <c r="AN2694" s="72"/>
      <c r="AQ2694" s="72"/>
      <c r="AT2694" s="72"/>
      <c r="AW2694" s="72"/>
      <c r="AZ2694" s="72"/>
    </row>
    <row r="2695" spans="1:52">
      <c r="A2695" s="131"/>
      <c r="B2695" s="72"/>
      <c r="D2695" s="72"/>
      <c r="G2695" s="72"/>
      <c r="J2695" s="72"/>
      <c r="M2695" s="72"/>
      <c r="P2695" s="72"/>
      <c r="S2695" s="72"/>
      <c r="V2695" s="72"/>
      <c r="Y2695" s="72"/>
      <c r="AB2695" s="72"/>
      <c r="AE2695" s="72"/>
      <c r="AH2695" s="72"/>
      <c r="AK2695" s="72"/>
      <c r="AN2695" s="72"/>
      <c r="AQ2695" s="72"/>
      <c r="AT2695" s="72"/>
      <c r="AW2695" s="72"/>
      <c r="AZ2695" s="72"/>
    </row>
    <row r="2696" spans="1:52">
      <c r="A2696" s="131"/>
      <c r="B2696" s="72"/>
      <c r="D2696" s="72"/>
      <c r="G2696" s="72"/>
      <c r="J2696" s="72"/>
      <c r="M2696" s="72"/>
      <c r="P2696" s="72"/>
      <c r="S2696" s="72"/>
      <c r="V2696" s="72"/>
      <c r="Y2696" s="72"/>
      <c r="AB2696" s="72"/>
      <c r="AE2696" s="72"/>
      <c r="AH2696" s="72"/>
      <c r="AK2696" s="72"/>
      <c r="AN2696" s="72"/>
      <c r="AQ2696" s="72"/>
      <c r="AT2696" s="72"/>
      <c r="AW2696" s="72"/>
      <c r="AZ2696" s="72"/>
    </row>
    <row r="2697" spans="1:52">
      <c r="A2697" s="131"/>
      <c r="B2697" s="72"/>
      <c r="D2697" s="72"/>
      <c r="G2697" s="72"/>
      <c r="J2697" s="72"/>
      <c r="M2697" s="72"/>
      <c r="P2697" s="72"/>
      <c r="S2697" s="72"/>
      <c r="V2697" s="72"/>
      <c r="Y2697" s="72"/>
      <c r="AB2697" s="72"/>
      <c r="AE2697" s="72"/>
      <c r="AH2697" s="72"/>
      <c r="AK2697" s="72"/>
      <c r="AN2697" s="72"/>
      <c r="AQ2697" s="72"/>
      <c r="AT2697" s="72"/>
      <c r="AW2697" s="72"/>
      <c r="AZ2697" s="72"/>
    </row>
    <row r="2698" spans="1:52">
      <c r="A2698" s="131"/>
      <c r="B2698" s="72"/>
      <c r="D2698" s="72"/>
      <c r="G2698" s="72"/>
      <c r="J2698" s="72"/>
      <c r="M2698" s="72"/>
      <c r="P2698" s="72"/>
      <c r="S2698" s="72"/>
      <c r="V2698" s="72"/>
      <c r="Y2698" s="72"/>
      <c r="AB2698" s="72"/>
      <c r="AE2698" s="72"/>
      <c r="AH2698" s="72"/>
      <c r="AK2698" s="72"/>
      <c r="AN2698" s="72"/>
      <c r="AQ2698" s="72"/>
      <c r="AT2698" s="72"/>
      <c r="AW2698" s="72"/>
      <c r="AZ2698" s="72"/>
    </row>
    <row r="2699" spans="1:52">
      <c r="A2699" s="131"/>
      <c r="B2699" s="72"/>
      <c r="D2699" s="72"/>
      <c r="G2699" s="72"/>
      <c r="J2699" s="72"/>
      <c r="M2699" s="72"/>
      <c r="P2699" s="72"/>
      <c r="S2699" s="72"/>
      <c r="V2699" s="72"/>
      <c r="Y2699" s="72"/>
      <c r="AB2699" s="72"/>
      <c r="AE2699" s="72"/>
      <c r="AH2699" s="72"/>
      <c r="AK2699" s="72"/>
      <c r="AN2699" s="72"/>
      <c r="AQ2699" s="72"/>
      <c r="AT2699" s="72"/>
      <c r="AW2699" s="72"/>
      <c r="AZ2699" s="72"/>
    </row>
    <row r="2700" spans="1:52">
      <c r="A2700" s="131"/>
      <c r="B2700" s="72"/>
      <c r="D2700" s="72"/>
      <c r="G2700" s="72"/>
      <c r="J2700" s="72"/>
      <c r="M2700" s="72"/>
      <c r="P2700" s="72"/>
      <c r="S2700" s="72"/>
      <c r="V2700" s="72"/>
      <c r="Y2700" s="72"/>
      <c r="AB2700" s="72"/>
      <c r="AE2700" s="72"/>
      <c r="AH2700" s="72"/>
      <c r="AK2700" s="72"/>
      <c r="AN2700" s="72"/>
      <c r="AQ2700" s="72"/>
      <c r="AT2700" s="72"/>
      <c r="AW2700" s="72"/>
      <c r="AZ2700" s="72"/>
    </row>
    <row r="2701" spans="1:52">
      <c r="A2701" s="131"/>
      <c r="B2701" s="72"/>
      <c r="D2701" s="72"/>
      <c r="G2701" s="72"/>
      <c r="J2701" s="72"/>
      <c r="M2701" s="72"/>
      <c r="P2701" s="72"/>
      <c r="S2701" s="72"/>
      <c r="V2701" s="72"/>
      <c r="Y2701" s="72"/>
      <c r="AB2701" s="72"/>
      <c r="AE2701" s="72"/>
      <c r="AH2701" s="72"/>
      <c r="AK2701" s="72"/>
      <c r="AN2701" s="72"/>
      <c r="AQ2701" s="72"/>
      <c r="AT2701" s="72"/>
      <c r="AW2701" s="72"/>
      <c r="AZ2701" s="72"/>
    </row>
    <row r="2702" spans="1:52">
      <c r="A2702" s="131"/>
      <c r="B2702" s="72"/>
      <c r="D2702" s="72"/>
      <c r="G2702" s="72"/>
      <c r="J2702" s="72"/>
      <c r="M2702" s="72"/>
      <c r="P2702" s="72"/>
      <c r="S2702" s="72"/>
      <c r="V2702" s="72"/>
      <c r="Y2702" s="72"/>
      <c r="AB2702" s="72"/>
      <c r="AE2702" s="72"/>
      <c r="AH2702" s="72"/>
      <c r="AK2702" s="72"/>
      <c r="AN2702" s="72"/>
      <c r="AQ2702" s="72"/>
      <c r="AT2702" s="72"/>
      <c r="AW2702" s="72"/>
      <c r="AZ2702" s="72"/>
    </row>
    <row r="2703" spans="1:52">
      <c r="A2703" s="131"/>
      <c r="B2703" s="72"/>
      <c r="D2703" s="72"/>
      <c r="G2703" s="72"/>
      <c r="J2703" s="72"/>
      <c r="M2703" s="72"/>
      <c r="P2703" s="72"/>
      <c r="S2703" s="72"/>
      <c r="V2703" s="72"/>
      <c r="Y2703" s="72"/>
      <c r="AB2703" s="72"/>
      <c r="AE2703" s="72"/>
      <c r="AH2703" s="72"/>
      <c r="AK2703" s="72"/>
      <c r="AN2703" s="72"/>
      <c r="AQ2703" s="72"/>
      <c r="AT2703" s="72"/>
      <c r="AW2703" s="72"/>
      <c r="AZ2703" s="72"/>
    </row>
    <row r="2704" spans="1:52">
      <c r="A2704" s="131"/>
      <c r="B2704" s="72"/>
      <c r="D2704" s="72"/>
      <c r="G2704" s="72"/>
      <c r="J2704" s="72"/>
      <c r="M2704" s="72"/>
      <c r="P2704" s="72"/>
      <c r="S2704" s="72"/>
      <c r="V2704" s="72"/>
      <c r="Y2704" s="72"/>
      <c r="AB2704" s="72"/>
      <c r="AE2704" s="72"/>
      <c r="AH2704" s="72"/>
      <c r="AK2704" s="72"/>
      <c r="AN2704" s="72"/>
      <c r="AQ2704" s="72"/>
      <c r="AT2704" s="72"/>
      <c r="AW2704" s="72"/>
      <c r="AZ2704" s="72"/>
    </row>
    <row r="2705" spans="1:52">
      <c r="A2705" s="131"/>
      <c r="B2705" s="72"/>
      <c r="D2705" s="72"/>
      <c r="G2705" s="72"/>
      <c r="J2705" s="72"/>
      <c r="M2705" s="72"/>
      <c r="P2705" s="72"/>
      <c r="S2705" s="72"/>
      <c r="V2705" s="72"/>
      <c r="Y2705" s="72"/>
      <c r="AB2705" s="72"/>
      <c r="AE2705" s="72"/>
      <c r="AH2705" s="72"/>
      <c r="AK2705" s="72"/>
      <c r="AN2705" s="72"/>
      <c r="AQ2705" s="72"/>
      <c r="AT2705" s="72"/>
      <c r="AW2705" s="72"/>
      <c r="AZ2705" s="72"/>
    </row>
    <row r="2706" spans="1:52">
      <c r="A2706" s="131"/>
      <c r="B2706" s="72"/>
      <c r="D2706" s="72"/>
      <c r="G2706" s="72"/>
      <c r="J2706" s="72"/>
      <c r="M2706" s="72"/>
      <c r="P2706" s="72"/>
      <c r="S2706" s="72"/>
      <c r="V2706" s="72"/>
      <c r="Y2706" s="72"/>
      <c r="AB2706" s="72"/>
      <c r="AE2706" s="72"/>
      <c r="AH2706" s="72"/>
      <c r="AK2706" s="72"/>
      <c r="AN2706" s="72"/>
      <c r="AQ2706" s="72"/>
      <c r="AT2706" s="72"/>
      <c r="AW2706" s="72"/>
      <c r="AZ2706" s="72"/>
    </row>
    <row r="2707" spans="1:52">
      <c r="A2707" s="131"/>
      <c r="B2707" s="72"/>
      <c r="D2707" s="72"/>
      <c r="G2707" s="72"/>
      <c r="J2707" s="72"/>
      <c r="M2707" s="72"/>
      <c r="P2707" s="72"/>
      <c r="S2707" s="72"/>
      <c r="V2707" s="72"/>
      <c r="Y2707" s="72"/>
      <c r="AB2707" s="72"/>
      <c r="AE2707" s="72"/>
      <c r="AH2707" s="72"/>
      <c r="AK2707" s="72"/>
      <c r="AN2707" s="72"/>
      <c r="AQ2707" s="72"/>
      <c r="AT2707" s="72"/>
      <c r="AW2707" s="72"/>
      <c r="AZ2707" s="72"/>
    </row>
    <row r="2708" spans="1:52">
      <c r="A2708" s="131"/>
      <c r="B2708" s="72"/>
      <c r="D2708" s="72"/>
      <c r="G2708" s="72"/>
      <c r="J2708" s="72"/>
      <c r="M2708" s="72"/>
      <c r="P2708" s="72"/>
      <c r="S2708" s="72"/>
      <c r="V2708" s="72"/>
      <c r="Y2708" s="72"/>
      <c r="AB2708" s="72"/>
      <c r="AE2708" s="72"/>
      <c r="AH2708" s="72"/>
      <c r="AK2708" s="72"/>
      <c r="AN2708" s="72"/>
      <c r="AQ2708" s="72"/>
      <c r="AT2708" s="72"/>
      <c r="AW2708" s="72"/>
      <c r="AZ2708" s="72"/>
    </row>
    <row r="2709" spans="1:52">
      <c r="A2709" s="131"/>
      <c r="B2709" s="72"/>
      <c r="D2709" s="72"/>
      <c r="G2709" s="72"/>
      <c r="J2709" s="72"/>
      <c r="M2709" s="72"/>
      <c r="P2709" s="72"/>
      <c r="S2709" s="72"/>
      <c r="V2709" s="72"/>
      <c r="Y2709" s="72"/>
      <c r="AB2709" s="72"/>
      <c r="AE2709" s="72"/>
      <c r="AH2709" s="72"/>
      <c r="AK2709" s="72"/>
      <c r="AN2709" s="72"/>
      <c r="AQ2709" s="72"/>
      <c r="AT2709" s="72"/>
      <c r="AW2709" s="72"/>
      <c r="AZ2709" s="72"/>
    </row>
    <row r="2710" spans="1:52">
      <c r="A2710" s="131"/>
      <c r="B2710" s="72"/>
      <c r="D2710" s="72"/>
      <c r="G2710" s="72"/>
      <c r="J2710" s="72"/>
      <c r="M2710" s="72"/>
      <c r="P2710" s="72"/>
      <c r="S2710" s="72"/>
      <c r="V2710" s="72"/>
      <c r="Y2710" s="72"/>
      <c r="AB2710" s="72"/>
      <c r="AE2710" s="72"/>
      <c r="AH2710" s="72"/>
      <c r="AK2710" s="72"/>
      <c r="AN2710" s="72"/>
      <c r="AQ2710" s="72"/>
      <c r="AT2710" s="72"/>
      <c r="AW2710" s="72"/>
      <c r="AZ2710" s="72"/>
    </row>
    <row r="2711" spans="1:52">
      <c r="A2711" s="131"/>
      <c r="B2711" s="72"/>
      <c r="D2711" s="72"/>
      <c r="G2711" s="72"/>
      <c r="J2711" s="72"/>
      <c r="M2711" s="72"/>
      <c r="P2711" s="72"/>
      <c r="S2711" s="72"/>
      <c r="V2711" s="72"/>
      <c r="Y2711" s="72"/>
      <c r="AB2711" s="72"/>
      <c r="AE2711" s="72"/>
      <c r="AH2711" s="72"/>
      <c r="AK2711" s="72"/>
      <c r="AN2711" s="72"/>
      <c r="AQ2711" s="72"/>
      <c r="AT2711" s="72"/>
      <c r="AW2711" s="72"/>
      <c r="AZ2711" s="72"/>
    </row>
    <row r="2712" spans="1:52">
      <c r="A2712" s="131"/>
      <c r="B2712" s="72"/>
      <c r="D2712" s="72"/>
      <c r="G2712" s="72"/>
      <c r="J2712" s="72"/>
      <c r="M2712" s="72"/>
      <c r="P2712" s="72"/>
      <c r="S2712" s="72"/>
      <c r="V2712" s="72"/>
      <c r="Y2712" s="72"/>
      <c r="AB2712" s="72"/>
      <c r="AE2712" s="72"/>
      <c r="AH2712" s="72"/>
      <c r="AK2712" s="72"/>
      <c r="AN2712" s="72"/>
      <c r="AQ2712" s="72"/>
      <c r="AT2712" s="72"/>
      <c r="AW2712" s="72"/>
      <c r="AZ2712" s="72"/>
    </row>
    <row r="2713" spans="1:52">
      <c r="A2713" s="131"/>
      <c r="B2713" s="72"/>
      <c r="D2713" s="72"/>
      <c r="G2713" s="72"/>
      <c r="J2713" s="72"/>
      <c r="M2713" s="72"/>
      <c r="P2713" s="72"/>
      <c r="S2713" s="72"/>
      <c r="V2713" s="72"/>
      <c r="Y2713" s="72"/>
      <c r="AB2713" s="72"/>
      <c r="AE2713" s="72"/>
      <c r="AH2713" s="72"/>
      <c r="AK2713" s="72"/>
      <c r="AN2713" s="72"/>
      <c r="AQ2713" s="72"/>
      <c r="AT2713" s="72"/>
      <c r="AW2713" s="72"/>
      <c r="AZ2713" s="72"/>
    </row>
    <row r="2714" spans="1:52">
      <c r="A2714" s="131"/>
      <c r="B2714" s="72"/>
      <c r="D2714" s="72"/>
      <c r="G2714" s="72"/>
      <c r="J2714" s="72"/>
      <c r="M2714" s="72"/>
      <c r="P2714" s="72"/>
      <c r="S2714" s="72"/>
      <c r="V2714" s="72"/>
      <c r="Y2714" s="72"/>
      <c r="AB2714" s="72"/>
      <c r="AE2714" s="72"/>
      <c r="AH2714" s="72"/>
      <c r="AK2714" s="72"/>
      <c r="AN2714" s="72"/>
      <c r="AQ2714" s="72"/>
      <c r="AT2714" s="72"/>
      <c r="AW2714" s="72"/>
      <c r="AZ2714" s="72"/>
    </row>
    <row r="2715" spans="1:52">
      <c r="A2715" s="131"/>
      <c r="B2715" s="72"/>
      <c r="D2715" s="72"/>
      <c r="G2715" s="72"/>
      <c r="J2715" s="72"/>
      <c r="M2715" s="72"/>
      <c r="P2715" s="72"/>
      <c r="S2715" s="72"/>
      <c r="V2715" s="72"/>
      <c r="Y2715" s="72"/>
      <c r="AB2715" s="72"/>
      <c r="AE2715" s="72"/>
      <c r="AH2715" s="72"/>
      <c r="AK2715" s="72"/>
      <c r="AN2715" s="72"/>
      <c r="AQ2715" s="72"/>
      <c r="AT2715" s="72"/>
      <c r="AW2715" s="72"/>
      <c r="AZ2715" s="72"/>
    </row>
    <row r="2716" spans="1:52">
      <c r="A2716" s="131"/>
      <c r="B2716" s="72"/>
      <c r="D2716" s="72"/>
      <c r="G2716" s="72"/>
      <c r="J2716" s="72"/>
      <c r="M2716" s="72"/>
      <c r="P2716" s="72"/>
      <c r="S2716" s="72"/>
      <c r="V2716" s="72"/>
      <c r="Y2716" s="72"/>
      <c r="AB2716" s="72"/>
      <c r="AE2716" s="72"/>
      <c r="AH2716" s="72"/>
      <c r="AK2716" s="72"/>
      <c r="AN2716" s="72"/>
      <c r="AQ2716" s="72"/>
      <c r="AT2716" s="72"/>
      <c r="AW2716" s="72"/>
      <c r="AZ2716" s="72"/>
    </row>
    <row r="2717" spans="1:52">
      <c r="A2717" s="131"/>
      <c r="B2717" s="72"/>
      <c r="D2717" s="72"/>
      <c r="G2717" s="72"/>
      <c r="J2717" s="72"/>
      <c r="M2717" s="72"/>
      <c r="P2717" s="72"/>
      <c r="S2717" s="72"/>
      <c r="V2717" s="72"/>
      <c r="Y2717" s="72"/>
      <c r="AB2717" s="72"/>
      <c r="AE2717" s="72"/>
      <c r="AH2717" s="72"/>
      <c r="AK2717" s="72"/>
      <c r="AN2717" s="72"/>
      <c r="AQ2717" s="72"/>
      <c r="AT2717" s="72"/>
      <c r="AW2717" s="72"/>
      <c r="AZ2717" s="72"/>
    </row>
    <row r="2718" spans="1:52">
      <c r="A2718" s="131"/>
      <c r="B2718" s="72"/>
      <c r="D2718" s="72"/>
      <c r="G2718" s="72"/>
      <c r="J2718" s="72"/>
      <c r="M2718" s="72"/>
      <c r="P2718" s="72"/>
      <c r="S2718" s="72"/>
      <c r="V2718" s="72"/>
      <c r="Y2718" s="72"/>
      <c r="AB2718" s="72"/>
      <c r="AE2718" s="72"/>
      <c r="AH2718" s="72"/>
      <c r="AK2718" s="72"/>
      <c r="AN2718" s="72"/>
      <c r="AQ2718" s="72"/>
      <c r="AT2718" s="72"/>
      <c r="AW2718" s="72"/>
      <c r="AZ2718" s="72"/>
    </row>
    <row r="2719" spans="1:52">
      <c r="A2719" s="131"/>
      <c r="B2719" s="72"/>
      <c r="D2719" s="72"/>
      <c r="G2719" s="72"/>
      <c r="J2719" s="72"/>
      <c r="M2719" s="72"/>
      <c r="P2719" s="72"/>
      <c r="S2719" s="72"/>
      <c r="V2719" s="72"/>
      <c r="Y2719" s="72"/>
      <c r="AB2719" s="72"/>
      <c r="AE2719" s="72"/>
      <c r="AH2719" s="72"/>
      <c r="AK2719" s="72"/>
      <c r="AN2719" s="72"/>
      <c r="AQ2719" s="72"/>
      <c r="AT2719" s="72"/>
      <c r="AW2719" s="72"/>
      <c r="AZ2719" s="72"/>
    </row>
    <row r="2720" spans="1:52">
      <c r="A2720" s="131"/>
      <c r="B2720" s="72"/>
      <c r="D2720" s="72"/>
      <c r="G2720" s="72"/>
      <c r="J2720" s="72"/>
      <c r="M2720" s="72"/>
      <c r="P2720" s="72"/>
      <c r="S2720" s="72"/>
      <c r="V2720" s="72"/>
      <c r="Y2720" s="72"/>
      <c r="AB2720" s="72"/>
      <c r="AE2720" s="72"/>
      <c r="AH2720" s="72"/>
      <c r="AK2720" s="72"/>
      <c r="AN2720" s="72"/>
      <c r="AQ2720" s="72"/>
      <c r="AT2720" s="72"/>
      <c r="AW2720" s="72"/>
      <c r="AZ2720" s="72"/>
    </row>
    <row r="2721" spans="1:52">
      <c r="A2721" s="131"/>
      <c r="B2721" s="72"/>
      <c r="D2721" s="72"/>
      <c r="G2721" s="72"/>
      <c r="J2721" s="72"/>
      <c r="M2721" s="72"/>
      <c r="P2721" s="72"/>
      <c r="S2721" s="72"/>
      <c r="V2721" s="72"/>
      <c r="Y2721" s="72"/>
      <c r="AB2721" s="72"/>
      <c r="AE2721" s="72"/>
      <c r="AH2721" s="72"/>
      <c r="AK2721" s="72"/>
      <c r="AN2721" s="72"/>
      <c r="AQ2721" s="72"/>
      <c r="AT2721" s="72"/>
      <c r="AW2721" s="72"/>
      <c r="AZ2721" s="72"/>
    </row>
    <row r="2722" spans="1:52">
      <c r="A2722" s="131"/>
      <c r="B2722" s="72"/>
      <c r="D2722" s="72"/>
      <c r="G2722" s="72"/>
      <c r="J2722" s="72"/>
      <c r="M2722" s="72"/>
      <c r="P2722" s="72"/>
      <c r="S2722" s="72"/>
      <c r="V2722" s="72"/>
      <c r="Y2722" s="72"/>
      <c r="AB2722" s="72"/>
      <c r="AE2722" s="72"/>
      <c r="AH2722" s="72"/>
      <c r="AK2722" s="72"/>
      <c r="AN2722" s="72"/>
      <c r="AQ2722" s="72"/>
      <c r="AT2722" s="72"/>
      <c r="AW2722" s="72"/>
      <c r="AZ2722" s="72"/>
    </row>
    <row r="2723" spans="1:52">
      <c r="A2723" s="131"/>
      <c r="B2723" s="72"/>
      <c r="D2723" s="72"/>
      <c r="G2723" s="72"/>
      <c r="J2723" s="72"/>
      <c r="M2723" s="72"/>
      <c r="P2723" s="72"/>
      <c r="S2723" s="72"/>
      <c r="V2723" s="72"/>
      <c r="Y2723" s="72"/>
      <c r="AB2723" s="72"/>
      <c r="AE2723" s="72"/>
      <c r="AH2723" s="72"/>
      <c r="AK2723" s="72"/>
      <c r="AN2723" s="72"/>
      <c r="AQ2723" s="72"/>
      <c r="AT2723" s="72"/>
      <c r="AW2723" s="72"/>
      <c r="AZ2723" s="72"/>
    </row>
    <row r="2724" spans="1:52">
      <c r="A2724" s="131"/>
      <c r="B2724" s="72"/>
      <c r="D2724" s="72"/>
      <c r="G2724" s="72"/>
      <c r="J2724" s="72"/>
      <c r="M2724" s="72"/>
      <c r="P2724" s="72"/>
      <c r="S2724" s="72"/>
      <c r="V2724" s="72"/>
      <c r="Y2724" s="72"/>
      <c r="AB2724" s="72"/>
      <c r="AE2724" s="72"/>
      <c r="AH2724" s="72"/>
      <c r="AK2724" s="72"/>
      <c r="AN2724" s="72"/>
      <c r="AQ2724" s="72"/>
      <c r="AT2724" s="72"/>
      <c r="AW2724" s="72"/>
      <c r="AZ2724" s="72"/>
    </row>
    <row r="2725" spans="1:52">
      <c r="A2725" s="131"/>
      <c r="B2725" s="72"/>
      <c r="D2725" s="72"/>
      <c r="G2725" s="72"/>
      <c r="J2725" s="72"/>
      <c r="M2725" s="72"/>
      <c r="P2725" s="72"/>
      <c r="S2725" s="72"/>
      <c r="V2725" s="72"/>
      <c r="Y2725" s="72"/>
      <c r="AB2725" s="72"/>
      <c r="AE2725" s="72"/>
      <c r="AH2725" s="72"/>
      <c r="AK2725" s="72"/>
      <c r="AN2725" s="72"/>
      <c r="AQ2725" s="72"/>
      <c r="AT2725" s="72"/>
      <c r="AW2725" s="72"/>
      <c r="AZ2725" s="72"/>
    </row>
    <row r="2726" spans="1:52">
      <c r="A2726" s="131"/>
      <c r="B2726" s="72"/>
      <c r="D2726" s="72"/>
      <c r="G2726" s="72"/>
      <c r="J2726" s="72"/>
      <c r="M2726" s="72"/>
      <c r="P2726" s="72"/>
      <c r="S2726" s="72"/>
      <c r="V2726" s="72"/>
      <c r="Y2726" s="72"/>
      <c r="AB2726" s="72"/>
      <c r="AE2726" s="72"/>
      <c r="AH2726" s="72"/>
      <c r="AK2726" s="72"/>
      <c r="AN2726" s="72"/>
      <c r="AQ2726" s="72"/>
      <c r="AT2726" s="72"/>
      <c r="AW2726" s="72"/>
      <c r="AZ2726" s="72"/>
    </row>
    <row r="2727" spans="1:52">
      <c r="A2727" s="131"/>
      <c r="B2727" s="72"/>
      <c r="D2727" s="72"/>
      <c r="G2727" s="72"/>
      <c r="J2727" s="72"/>
      <c r="M2727" s="72"/>
      <c r="P2727" s="72"/>
      <c r="S2727" s="72"/>
      <c r="V2727" s="72"/>
      <c r="Y2727" s="72"/>
      <c r="AB2727" s="72"/>
      <c r="AE2727" s="72"/>
      <c r="AH2727" s="72"/>
      <c r="AK2727" s="72"/>
      <c r="AN2727" s="72"/>
      <c r="AQ2727" s="72"/>
      <c r="AT2727" s="72"/>
      <c r="AW2727" s="72"/>
      <c r="AZ2727" s="72"/>
    </row>
    <row r="2728" spans="1:52">
      <c r="A2728" s="131"/>
      <c r="B2728" s="72"/>
      <c r="D2728" s="72"/>
      <c r="G2728" s="72"/>
      <c r="J2728" s="72"/>
      <c r="M2728" s="72"/>
      <c r="P2728" s="72"/>
      <c r="S2728" s="72"/>
      <c r="V2728" s="72"/>
      <c r="Y2728" s="72"/>
      <c r="AB2728" s="72"/>
      <c r="AE2728" s="72"/>
      <c r="AH2728" s="72"/>
      <c r="AK2728" s="72"/>
      <c r="AN2728" s="72"/>
      <c r="AQ2728" s="72"/>
      <c r="AT2728" s="72"/>
      <c r="AW2728" s="72"/>
      <c r="AZ2728" s="72"/>
    </row>
    <row r="2729" spans="1:52">
      <c r="A2729" s="131"/>
      <c r="B2729" s="72"/>
      <c r="D2729" s="72"/>
      <c r="G2729" s="72"/>
      <c r="J2729" s="72"/>
      <c r="M2729" s="72"/>
      <c r="P2729" s="72"/>
      <c r="S2729" s="72"/>
      <c r="V2729" s="72"/>
      <c r="Y2729" s="72"/>
      <c r="AB2729" s="72"/>
      <c r="AE2729" s="72"/>
      <c r="AH2729" s="72"/>
      <c r="AK2729" s="72"/>
      <c r="AN2729" s="72"/>
      <c r="AQ2729" s="72"/>
      <c r="AT2729" s="72"/>
      <c r="AW2729" s="72"/>
      <c r="AZ2729" s="72"/>
    </row>
    <row r="2730" spans="1:52">
      <c r="A2730" s="131"/>
      <c r="B2730" s="72"/>
      <c r="D2730" s="72"/>
      <c r="G2730" s="72"/>
      <c r="J2730" s="72"/>
      <c r="M2730" s="72"/>
      <c r="P2730" s="72"/>
      <c r="S2730" s="72"/>
      <c r="V2730" s="72"/>
      <c r="Y2730" s="72"/>
      <c r="AB2730" s="72"/>
      <c r="AE2730" s="72"/>
      <c r="AH2730" s="72"/>
      <c r="AK2730" s="72"/>
      <c r="AN2730" s="72"/>
      <c r="AQ2730" s="72"/>
      <c r="AT2730" s="72"/>
      <c r="AW2730" s="72"/>
      <c r="AZ2730" s="72"/>
    </row>
    <row r="2731" spans="1:52">
      <c r="A2731" s="131"/>
      <c r="B2731" s="72"/>
      <c r="D2731" s="72"/>
      <c r="G2731" s="72"/>
      <c r="J2731" s="72"/>
      <c r="M2731" s="72"/>
      <c r="P2731" s="72"/>
      <c r="S2731" s="72"/>
      <c r="V2731" s="72"/>
      <c r="Y2731" s="72"/>
      <c r="AB2731" s="72"/>
      <c r="AE2731" s="72"/>
      <c r="AH2731" s="72"/>
      <c r="AK2731" s="72"/>
      <c r="AN2731" s="72"/>
      <c r="AQ2731" s="72"/>
      <c r="AT2731" s="72"/>
      <c r="AW2731" s="72"/>
      <c r="AZ2731" s="72"/>
    </row>
    <row r="2732" spans="1:52">
      <c r="A2732" s="131"/>
      <c r="B2732" s="72"/>
      <c r="D2732" s="72"/>
      <c r="G2732" s="72"/>
      <c r="J2732" s="72"/>
      <c r="M2732" s="72"/>
      <c r="P2732" s="72"/>
      <c r="S2732" s="72"/>
      <c r="V2732" s="72"/>
      <c r="Y2732" s="72"/>
      <c r="AB2732" s="72"/>
      <c r="AE2732" s="72"/>
      <c r="AH2732" s="72"/>
      <c r="AK2732" s="72"/>
      <c r="AN2732" s="72"/>
      <c r="AQ2732" s="72"/>
      <c r="AT2732" s="72"/>
      <c r="AW2732" s="72"/>
      <c r="AZ2732" s="72"/>
    </row>
    <row r="2733" spans="1:52">
      <c r="A2733" s="131"/>
      <c r="B2733" s="72"/>
      <c r="D2733" s="72"/>
      <c r="G2733" s="72"/>
      <c r="J2733" s="72"/>
      <c r="M2733" s="72"/>
      <c r="P2733" s="72"/>
      <c r="S2733" s="72"/>
      <c r="V2733" s="72"/>
      <c r="Y2733" s="72"/>
      <c r="AB2733" s="72"/>
      <c r="AE2733" s="72"/>
      <c r="AH2733" s="72"/>
      <c r="AK2733" s="72"/>
      <c r="AN2733" s="72"/>
      <c r="AQ2733" s="72"/>
      <c r="AT2733" s="72"/>
      <c r="AW2733" s="72"/>
      <c r="AZ2733" s="72"/>
    </row>
    <row r="2734" spans="1:52">
      <c r="A2734" s="131"/>
      <c r="B2734" s="72"/>
      <c r="D2734" s="72"/>
      <c r="G2734" s="72"/>
      <c r="J2734" s="72"/>
      <c r="M2734" s="72"/>
      <c r="P2734" s="72"/>
      <c r="S2734" s="72"/>
      <c r="V2734" s="72"/>
      <c r="Y2734" s="72"/>
      <c r="AB2734" s="72"/>
      <c r="AE2734" s="72"/>
      <c r="AH2734" s="72"/>
      <c r="AK2734" s="72"/>
      <c r="AN2734" s="72"/>
      <c r="AQ2734" s="72"/>
      <c r="AT2734" s="72"/>
      <c r="AW2734" s="72"/>
      <c r="AZ2734" s="72"/>
    </row>
    <row r="2735" spans="1:52">
      <c r="A2735" s="131"/>
      <c r="B2735" s="72"/>
      <c r="D2735" s="72"/>
      <c r="G2735" s="72"/>
      <c r="J2735" s="72"/>
      <c r="M2735" s="72"/>
      <c r="P2735" s="72"/>
      <c r="S2735" s="72"/>
      <c r="V2735" s="72"/>
      <c r="Y2735" s="72"/>
      <c r="AB2735" s="72"/>
      <c r="AE2735" s="72"/>
      <c r="AH2735" s="72"/>
      <c r="AK2735" s="72"/>
      <c r="AN2735" s="72"/>
      <c r="AQ2735" s="72"/>
      <c r="AT2735" s="72"/>
      <c r="AW2735" s="72"/>
      <c r="AZ2735" s="72"/>
    </row>
    <row r="2736" spans="1:52">
      <c r="A2736" s="131"/>
      <c r="B2736" s="72"/>
      <c r="D2736" s="72"/>
      <c r="G2736" s="72"/>
      <c r="J2736" s="72"/>
      <c r="M2736" s="72"/>
      <c r="P2736" s="72"/>
      <c r="S2736" s="72"/>
      <c r="V2736" s="72"/>
      <c r="Y2736" s="72"/>
      <c r="AB2736" s="72"/>
      <c r="AE2736" s="72"/>
      <c r="AH2736" s="72"/>
      <c r="AK2736" s="72"/>
      <c r="AN2736" s="72"/>
      <c r="AQ2736" s="72"/>
      <c r="AT2736" s="72"/>
      <c r="AW2736" s="72"/>
      <c r="AZ2736" s="72"/>
    </row>
    <row r="2737" spans="1:52">
      <c r="A2737" s="131"/>
      <c r="B2737" s="72"/>
      <c r="D2737" s="72"/>
      <c r="G2737" s="72"/>
      <c r="J2737" s="72"/>
      <c r="M2737" s="72"/>
      <c r="P2737" s="72"/>
      <c r="S2737" s="72"/>
      <c r="V2737" s="72"/>
      <c r="Y2737" s="72"/>
      <c r="AB2737" s="72"/>
      <c r="AE2737" s="72"/>
      <c r="AH2737" s="72"/>
      <c r="AK2737" s="72"/>
      <c r="AN2737" s="72"/>
      <c r="AQ2737" s="72"/>
      <c r="AT2737" s="72"/>
      <c r="AW2737" s="72"/>
      <c r="AZ2737" s="72"/>
    </row>
    <row r="2738" spans="1:52">
      <c r="A2738" s="131"/>
      <c r="B2738" s="72"/>
      <c r="D2738" s="72"/>
      <c r="G2738" s="72"/>
      <c r="J2738" s="72"/>
      <c r="M2738" s="72"/>
      <c r="P2738" s="72"/>
      <c r="S2738" s="72"/>
      <c r="V2738" s="72"/>
      <c r="Y2738" s="72"/>
      <c r="AB2738" s="72"/>
      <c r="AE2738" s="72"/>
      <c r="AH2738" s="72"/>
      <c r="AK2738" s="72"/>
      <c r="AN2738" s="72"/>
      <c r="AQ2738" s="72"/>
      <c r="AT2738" s="72"/>
      <c r="AW2738" s="72"/>
      <c r="AZ2738" s="72"/>
    </row>
    <row r="2739" spans="1:52">
      <c r="A2739" s="131"/>
      <c r="B2739" s="72"/>
      <c r="D2739" s="72"/>
      <c r="G2739" s="72"/>
      <c r="J2739" s="72"/>
      <c r="M2739" s="72"/>
      <c r="P2739" s="72"/>
      <c r="S2739" s="72"/>
      <c r="V2739" s="72"/>
      <c r="Y2739" s="72"/>
      <c r="AB2739" s="72"/>
      <c r="AE2739" s="72"/>
      <c r="AH2739" s="72"/>
      <c r="AK2739" s="72"/>
      <c r="AN2739" s="72"/>
      <c r="AQ2739" s="72"/>
      <c r="AT2739" s="72"/>
      <c r="AW2739" s="72"/>
      <c r="AZ2739" s="72"/>
    </row>
    <row r="2740" spans="1:52">
      <c r="A2740" s="131"/>
      <c r="B2740" s="72"/>
      <c r="D2740" s="72"/>
      <c r="G2740" s="72"/>
      <c r="J2740" s="72"/>
      <c r="M2740" s="72"/>
      <c r="P2740" s="72"/>
      <c r="S2740" s="72"/>
      <c r="V2740" s="72"/>
      <c r="Y2740" s="72"/>
      <c r="AB2740" s="72"/>
      <c r="AE2740" s="72"/>
      <c r="AH2740" s="72"/>
      <c r="AK2740" s="72"/>
      <c r="AN2740" s="72"/>
      <c r="AQ2740" s="72"/>
      <c r="AT2740" s="72"/>
      <c r="AW2740" s="72"/>
      <c r="AZ2740" s="72"/>
    </row>
    <row r="2741" spans="1:52">
      <c r="A2741" s="131"/>
      <c r="B2741" s="72"/>
      <c r="D2741" s="72"/>
      <c r="G2741" s="72"/>
      <c r="J2741" s="72"/>
      <c r="M2741" s="72"/>
      <c r="P2741" s="72"/>
      <c r="S2741" s="72"/>
      <c r="V2741" s="72"/>
      <c r="Y2741" s="72"/>
      <c r="AB2741" s="72"/>
      <c r="AE2741" s="72"/>
      <c r="AH2741" s="72"/>
      <c r="AK2741" s="72"/>
      <c r="AN2741" s="72"/>
      <c r="AQ2741" s="72"/>
      <c r="AT2741" s="72"/>
      <c r="AW2741" s="72"/>
      <c r="AZ2741" s="72"/>
    </row>
    <row r="2742" spans="1:52">
      <c r="A2742" s="131"/>
      <c r="B2742" s="72"/>
      <c r="D2742" s="72"/>
      <c r="G2742" s="72"/>
      <c r="J2742" s="72"/>
      <c r="M2742" s="72"/>
      <c r="P2742" s="72"/>
      <c r="S2742" s="72"/>
      <c r="V2742" s="72"/>
      <c r="Y2742" s="72"/>
      <c r="AB2742" s="72"/>
      <c r="AE2742" s="72"/>
      <c r="AH2742" s="72"/>
      <c r="AK2742" s="72"/>
      <c r="AN2742" s="72"/>
      <c r="AQ2742" s="72"/>
      <c r="AT2742" s="72"/>
      <c r="AW2742" s="72"/>
      <c r="AZ2742" s="72"/>
    </row>
    <row r="2743" spans="1:52">
      <c r="A2743" s="131"/>
      <c r="B2743" s="72"/>
      <c r="D2743" s="72"/>
      <c r="G2743" s="72"/>
      <c r="J2743" s="72"/>
      <c r="M2743" s="72"/>
      <c r="P2743" s="72"/>
      <c r="S2743" s="72"/>
      <c r="V2743" s="72"/>
      <c r="Y2743" s="72"/>
      <c r="AB2743" s="72"/>
      <c r="AE2743" s="72"/>
      <c r="AH2743" s="72"/>
      <c r="AK2743" s="72"/>
      <c r="AN2743" s="72"/>
      <c r="AQ2743" s="72"/>
      <c r="AT2743" s="72"/>
      <c r="AW2743" s="72"/>
      <c r="AZ2743" s="72"/>
    </row>
    <row r="2744" spans="1:52">
      <c r="A2744" s="131"/>
      <c r="B2744" s="72"/>
      <c r="D2744" s="72"/>
      <c r="G2744" s="72"/>
      <c r="J2744" s="72"/>
      <c r="M2744" s="72"/>
      <c r="P2744" s="72"/>
      <c r="S2744" s="72"/>
      <c r="V2744" s="72"/>
      <c r="Y2744" s="72"/>
      <c r="AB2744" s="72"/>
      <c r="AE2744" s="72"/>
      <c r="AH2744" s="72"/>
      <c r="AK2744" s="72"/>
      <c r="AN2744" s="72"/>
      <c r="AQ2744" s="72"/>
      <c r="AT2744" s="72"/>
      <c r="AW2744" s="72"/>
      <c r="AZ2744" s="72"/>
    </row>
    <row r="2745" spans="1:52">
      <c r="A2745" s="131"/>
      <c r="B2745" s="72"/>
      <c r="D2745" s="72"/>
      <c r="G2745" s="72"/>
      <c r="J2745" s="72"/>
      <c r="M2745" s="72"/>
      <c r="P2745" s="72"/>
      <c r="S2745" s="72"/>
      <c r="V2745" s="72"/>
      <c r="Y2745" s="72"/>
      <c r="AB2745" s="72"/>
      <c r="AE2745" s="72"/>
      <c r="AH2745" s="72"/>
      <c r="AK2745" s="72"/>
      <c r="AN2745" s="72"/>
      <c r="AQ2745" s="72"/>
      <c r="AT2745" s="72"/>
      <c r="AW2745" s="72"/>
      <c r="AZ2745" s="72"/>
    </row>
    <row r="2746" spans="1:52">
      <c r="A2746" s="131"/>
      <c r="B2746" s="72"/>
      <c r="D2746" s="72"/>
      <c r="G2746" s="72"/>
      <c r="J2746" s="72"/>
      <c r="M2746" s="72"/>
      <c r="P2746" s="72"/>
      <c r="S2746" s="72"/>
      <c r="V2746" s="72"/>
      <c r="Y2746" s="72"/>
      <c r="AB2746" s="72"/>
      <c r="AE2746" s="72"/>
      <c r="AH2746" s="72"/>
      <c r="AK2746" s="72"/>
      <c r="AN2746" s="72"/>
      <c r="AQ2746" s="72"/>
      <c r="AT2746" s="72"/>
      <c r="AW2746" s="72"/>
      <c r="AZ2746" s="72"/>
    </row>
    <row r="2747" spans="1:52">
      <c r="A2747" s="131"/>
      <c r="B2747" s="72"/>
      <c r="D2747" s="72"/>
      <c r="G2747" s="72"/>
      <c r="J2747" s="72"/>
      <c r="M2747" s="72"/>
      <c r="P2747" s="72"/>
      <c r="S2747" s="72"/>
      <c r="V2747" s="72"/>
      <c r="Y2747" s="72"/>
      <c r="AB2747" s="72"/>
      <c r="AE2747" s="72"/>
      <c r="AH2747" s="72"/>
      <c r="AK2747" s="72"/>
      <c r="AN2747" s="72"/>
      <c r="AQ2747" s="72"/>
      <c r="AT2747" s="72"/>
      <c r="AW2747" s="72"/>
      <c r="AZ2747" s="72"/>
    </row>
    <row r="2748" spans="1:52">
      <c r="A2748" s="131"/>
      <c r="B2748" s="72"/>
      <c r="D2748" s="72"/>
      <c r="G2748" s="72"/>
      <c r="J2748" s="72"/>
      <c r="M2748" s="72"/>
      <c r="P2748" s="72"/>
      <c r="S2748" s="72"/>
      <c r="V2748" s="72"/>
      <c r="Y2748" s="72"/>
      <c r="AB2748" s="72"/>
      <c r="AE2748" s="72"/>
      <c r="AH2748" s="72"/>
      <c r="AK2748" s="72"/>
      <c r="AN2748" s="72"/>
      <c r="AQ2748" s="72"/>
      <c r="AT2748" s="72"/>
      <c r="AW2748" s="72"/>
      <c r="AZ2748" s="72"/>
    </row>
    <row r="2749" spans="1:52">
      <c r="A2749" s="131"/>
      <c r="B2749" s="72"/>
      <c r="D2749" s="72"/>
      <c r="G2749" s="72"/>
      <c r="J2749" s="72"/>
      <c r="M2749" s="72"/>
      <c r="P2749" s="72"/>
      <c r="S2749" s="72"/>
      <c r="V2749" s="72"/>
      <c r="Y2749" s="72"/>
      <c r="AB2749" s="72"/>
      <c r="AE2749" s="72"/>
      <c r="AH2749" s="72"/>
      <c r="AK2749" s="72"/>
      <c r="AN2749" s="72"/>
      <c r="AQ2749" s="72"/>
      <c r="AT2749" s="72"/>
      <c r="AW2749" s="72"/>
      <c r="AZ2749" s="72"/>
    </row>
    <row r="2750" spans="1:52">
      <c r="A2750" s="131"/>
      <c r="B2750" s="72"/>
      <c r="D2750" s="72"/>
      <c r="G2750" s="72"/>
      <c r="J2750" s="72"/>
      <c r="M2750" s="72"/>
      <c r="P2750" s="72"/>
      <c r="S2750" s="72"/>
      <c r="V2750" s="72"/>
      <c r="Y2750" s="72"/>
      <c r="AB2750" s="72"/>
      <c r="AE2750" s="72"/>
      <c r="AH2750" s="72"/>
      <c r="AK2750" s="72"/>
      <c r="AN2750" s="72"/>
      <c r="AQ2750" s="72"/>
      <c r="AT2750" s="72"/>
      <c r="AW2750" s="72"/>
      <c r="AZ2750" s="72"/>
    </row>
    <row r="2751" spans="1:52">
      <c r="A2751" s="131"/>
      <c r="B2751" s="72"/>
      <c r="D2751" s="72"/>
      <c r="G2751" s="72"/>
      <c r="J2751" s="72"/>
      <c r="M2751" s="72"/>
      <c r="P2751" s="72"/>
      <c r="S2751" s="72"/>
      <c r="V2751" s="72"/>
      <c r="Y2751" s="72"/>
      <c r="AB2751" s="72"/>
      <c r="AE2751" s="72"/>
      <c r="AH2751" s="72"/>
      <c r="AK2751" s="72"/>
      <c r="AN2751" s="72"/>
      <c r="AQ2751" s="72"/>
      <c r="AT2751" s="72"/>
      <c r="AW2751" s="72"/>
      <c r="AZ2751" s="72"/>
    </row>
    <row r="2752" spans="1:52">
      <c r="A2752" s="131"/>
      <c r="B2752" s="72"/>
      <c r="D2752" s="72"/>
      <c r="G2752" s="72"/>
      <c r="J2752" s="72"/>
      <c r="M2752" s="72"/>
      <c r="P2752" s="72"/>
      <c r="S2752" s="72"/>
      <c r="V2752" s="72"/>
      <c r="Y2752" s="72"/>
      <c r="AB2752" s="72"/>
      <c r="AE2752" s="72"/>
      <c r="AH2752" s="72"/>
      <c r="AK2752" s="72"/>
      <c r="AN2752" s="72"/>
      <c r="AQ2752" s="72"/>
      <c r="AT2752" s="72"/>
      <c r="AW2752" s="72"/>
      <c r="AZ2752" s="72"/>
    </row>
    <row r="2753" spans="1:52">
      <c r="A2753" s="131"/>
      <c r="B2753" s="72"/>
      <c r="D2753" s="72"/>
      <c r="G2753" s="72"/>
      <c r="J2753" s="72"/>
      <c r="M2753" s="72"/>
      <c r="P2753" s="72"/>
      <c r="S2753" s="72"/>
      <c r="V2753" s="72"/>
      <c r="Y2753" s="72"/>
      <c r="AB2753" s="72"/>
      <c r="AE2753" s="72"/>
      <c r="AH2753" s="72"/>
      <c r="AK2753" s="72"/>
      <c r="AN2753" s="72"/>
      <c r="AQ2753" s="72"/>
      <c r="AT2753" s="72"/>
      <c r="AW2753" s="72"/>
      <c r="AZ2753" s="72"/>
    </row>
    <row r="2754" spans="1:52">
      <c r="A2754" s="131"/>
      <c r="B2754" s="72"/>
      <c r="D2754" s="72"/>
      <c r="G2754" s="72"/>
      <c r="J2754" s="72"/>
      <c r="M2754" s="72"/>
      <c r="P2754" s="72"/>
      <c r="S2754" s="72"/>
      <c r="V2754" s="72"/>
      <c r="Y2754" s="72"/>
      <c r="AB2754" s="72"/>
      <c r="AE2754" s="72"/>
      <c r="AH2754" s="72"/>
      <c r="AK2754" s="72"/>
      <c r="AN2754" s="72"/>
      <c r="AQ2754" s="72"/>
      <c r="AT2754" s="72"/>
      <c r="AW2754" s="72"/>
      <c r="AZ2754" s="72"/>
    </row>
    <row r="2755" spans="1:52">
      <c r="A2755" s="131"/>
      <c r="B2755" s="72"/>
      <c r="D2755" s="72"/>
      <c r="G2755" s="72"/>
      <c r="J2755" s="72"/>
      <c r="M2755" s="72"/>
      <c r="P2755" s="72"/>
      <c r="S2755" s="72"/>
      <c r="V2755" s="72"/>
      <c r="Y2755" s="72"/>
      <c r="AB2755" s="72"/>
      <c r="AE2755" s="72"/>
      <c r="AH2755" s="72"/>
      <c r="AK2755" s="72"/>
      <c r="AN2755" s="72"/>
      <c r="AQ2755" s="72"/>
      <c r="AT2755" s="72"/>
      <c r="AW2755" s="72"/>
      <c r="AZ2755" s="72"/>
    </row>
    <row r="2756" spans="1:52">
      <c r="A2756" s="131"/>
      <c r="B2756" s="72"/>
      <c r="D2756" s="72"/>
      <c r="G2756" s="72"/>
      <c r="J2756" s="72"/>
      <c r="M2756" s="72"/>
      <c r="P2756" s="72"/>
      <c r="S2756" s="72"/>
      <c r="V2756" s="72"/>
      <c r="Y2756" s="72"/>
      <c r="AB2756" s="72"/>
      <c r="AE2756" s="72"/>
      <c r="AH2756" s="72"/>
      <c r="AK2756" s="72"/>
      <c r="AN2756" s="72"/>
      <c r="AQ2756" s="72"/>
      <c r="AT2756" s="72"/>
      <c r="AW2756" s="72"/>
      <c r="AZ2756" s="72"/>
    </row>
    <row r="2757" spans="1:52">
      <c r="A2757" s="131"/>
      <c r="B2757" s="72"/>
      <c r="D2757" s="72"/>
      <c r="G2757" s="72"/>
      <c r="J2757" s="72"/>
      <c r="M2757" s="72"/>
      <c r="P2757" s="72"/>
      <c r="S2757" s="72"/>
      <c r="V2757" s="72"/>
      <c r="Y2757" s="72"/>
      <c r="AB2757" s="72"/>
      <c r="AE2757" s="72"/>
      <c r="AH2757" s="72"/>
      <c r="AK2757" s="72"/>
      <c r="AN2757" s="72"/>
      <c r="AQ2757" s="72"/>
      <c r="AT2757" s="72"/>
      <c r="AW2757" s="72"/>
      <c r="AZ2757" s="72"/>
    </row>
    <row r="2758" spans="1:52">
      <c r="A2758" s="131"/>
      <c r="B2758" s="72"/>
      <c r="D2758" s="72"/>
      <c r="G2758" s="72"/>
      <c r="J2758" s="72"/>
      <c r="M2758" s="72"/>
      <c r="P2758" s="72"/>
      <c r="S2758" s="72"/>
      <c r="V2758" s="72"/>
      <c r="Y2758" s="72"/>
      <c r="AB2758" s="72"/>
      <c r="AE2758" s="72"/>
      <c r="AH2758" s="72"/>
      <c r="AK2758" s="72"/>
      <c r="AN2758" s="72"/>
      <c r="AQ2758" s="72"/>
      <c r="AT2758" s="72"/>
      <c r="AW2758" s="72"/>
      <c r="AZ2758" s="72"/>
    </row>
    <row r="2759" spans="1:52">
      <c r="A2759" s="131"/>
      <c r="B2759" s="72"/>
      <c r="D2759" s="72"/>
      <c r="G2759" s="72"/>
      <c r="J2759" s="72"/>
      <c r="M2759" s="72"/>
      <c r="P2759" s="72"/>
      <c r="S2759" s="72"/>
      <c r="V2759" s="72"/>
      <c r="Y2759" s="72"/>
      <c r="AB2759" s="72"/>
      <c r="AE2759" s="72"/>
      <c r="AH2759" s="72"/>
      <c r="AK2759" s="72"/>
      <c r="AN2759" s="72"/>
      <c r="AQ2759" s="72"/>
      <c r="AT2759" s="72"/>
      <c r="AW2759" s="72"/>
      <c r="AZ2759" s="72"/>
    </row>
    <row r="2760" spans="1:52">
      <c r="A2760" s="131"/>
      <c r="B2760" s="72"/>
      <c r="D2760" s="72"/>
      <c r="G2760" s="72"/>
      <c r="J2760" s="72"/>
      <c r="M2760" s="72"/>
      <c r="P2760" s="72"/>
      <c r="S2760" s="72"/>
      <c r="V2760" s="72"/>
      <c r="Y2760" s="72"/>
      <c r="AB2760" s="72"/>
      <c r="AE2760" s="72"/>
      <c r="AH2760" s="72"/>
      <c r="AK2760" s="72"/>
      <c r="AN2760" s="72"/>
      <c r="AQ2760" s="72"/>
      <c r="AT2760" s="72"/>
      <c r="AW2760" s="72"/>
      <c r="AZ2760" s="72"/>
    </row>
    <row r="2761" spans="1:52">
      <c r="A2761" s="131"/>
      <c r="B2761" s="72"/>
      <c r="D2761" s="72"/>
      <c r="G2761" s="72"/>
      <c r="J2761" s="72"/>
      <c r="M2761" s="72"/>
      <c r="P2761" s="72"/>
      <c r="S2761" s="72"/>
      <c r="V2761" s="72"/>
      <c r="Y2761" s="72"/>
      <c r="AB2761" s="72"/>
      <c r="AE2761" s="72"/>
      <c r="AH2761" s="72"/>
      <c r="AK2761" s="72"/>
      <c r="AN2761" s="72"/>
      <c r="AQ2761" s="72"/>
      <c r="AT2761" s="72"/>
      <c r="AW2761" s="72"/>
      <c r="AZ2761" s="72"/>
    </row>
    <row r="2762" spans="1:52">
      <c r="A2762" s="131"/>
      <c r="B2762" s="72"/>
      <c r="D2762" s="72"/>
      <c r="G2762" s="72"/>
      <c r="J2762" s="72"/>
      <c r="M2762" s="72"/>
      <c r="P2762" s="72"/>
      <c r="S2762" s="72"/>
      <c r="V2762" s="72"/>
      <c r="Y2762" s="72"/>
      <c r="AB2762" s="72"/>
      <c r="AE2762" s="72"/>
      <c r="AH2762" s="72"/>
      <c r="AK2762" s="72"/>
      <c r="AN2762" s="72"/>
      <c r="AQ2762" s="72"/>
      <c r="AT2762" s="72"/>
      <c r="AW2762" s="72"/>
      <c r="AZ2762" s="72"/>
    </row>
    <row r="2763" spans="1:52">
      <c r="A2763" s="131"/>
      <c r="B2763" s="72"/>
      <c r="D2763" s="72"/>
      <c r="G2763" s="72"/>
      <c r="J2763" s="72"/>
      <c r="M2763" s="72"/>
      <c r="P2763" s="72"/>
      <c r="S2763" s="72"/>
      <c r="V2763" s="72"/>
      <c r="Y2763" s="72"/>
      <c r="AB2763" s="72"/>
      <c r="AE2763" s="72"/>
      <c r="AH2763" s="72"/>
      <c r="AK2763" s="72"/>
      <c r="AN2763" s="72"/>
      <c r="AQ2763" s="72"/>
      <c r="AT2763" s="72"/>
      <c r="AW2763" s="72"/>
      <c r="AZ2763" s="72"/>
    </row>
    <row r="2764" spans="1:52">
      <c r="A2764" s="131"/>
      <c r="B2764" s="72"/>
      <c r="D2764" s="72"/>
      <c r="G2764" s="72"/>
      <c r="J2764" s="72"/>
      <c r="M2764" s="72"/>
      <c r="P2764" s="72"/>
      <c r="S2764" s="72"/>
      <c r="V2764" s="72"/>
      <c r="Y2764" s="72"/>
      <c r="AB2764" s="72"/>
      <c r="AE2764" s="72"/>
      <c r="AH2764" s="72"/>
      <c r="AK2764" s="72"/>
      <c r="AN2764" s="72"/>
      <c r="AQ2764" s="72"/>
      <c r="AT2764" s="72"/>
      <c r="AW2764" s="72"/>
      <c r="AZ2764" s="72"/>
    </row>
    <row r="2765" spans="1:52">
      <c r="A2765" s="131"/>
      <c r="B2765" s="72"/>
      <c r="D2765" s="72"/>
      <c r="G2765" s="72"/>
      <c r="J2765" s="72"/>
      <c r="M2765" s="72"/>
      <c r="P2765" s="72"/>
      <c r="S2765" s="72"/>
      <c r="V2765" s="72"/>
      <c r="Y2765" s="72"/>
      <c r="AB2765" s="72"/>
      <c r="AE2765" s="72"/>
      <c r="AH2765" s="72"/>
      <c r="AK2765" s="72"/>
      <c r="AN2765" s="72"/>
      <c r="AQ2765" s="72"/>
      <c r="AT2765" s="72"/>
      <c r="AW2765" s="72"/>
      <c r="AZ2765" s="72"/>
    </row>
    <row r="2766" spans="1:52">
      <c r="A2766" s="131"/>
      <c r="B2766" s="72"/>
      <c r="D2766" s="72"/>
      <c r="G2766" s="72"/>
      <c r="J2766" s="72"/>
      <c r="M2766" s="72"/>
      <c r="P2766" s="72"/>
      <c r="S2766" s="72"/>
      <c r="V2766" s="72"/>
      <c r="Y2766" s="72"/>
      <c r="AB2766" s="72"/>
      <c r="AE2766" s="72"/>
      <c r="AH2766" s="72"/>
      <c r="AK2766" s="72"/>
      <c r="AN2766" s="72"/>
      <c r="AQ2766" s="72"/>
      <c r="AT2766" s="72"/>
      <c r="AW2766" s="72"/>
      <c r="AZ2766" s="72"/>
    </row>
    <row r="2767" spans="1:52">
      <c r="A2767" s="131"/>
      <c r="B2767" s="72"/>
      <c r="D2767" s="72"/>
      <c r="G2767" s="72"/>
      <c r="J2767" s="72"/>
      <c r="M2767" s="72"/>
      <c r="P2767" s="72"/>
      <c r="S2767" s="72"/>
      <c r="V2767" s="72"/>
      <c r="Y2767" s="72"/>
      <c r="AB2767" s="72"/>
      <c r="AE2767" s="72"/>
      <c r="AH2767" s="72"/>
      <c r="AK2767" s="72"/>
      <c r="AN2767" s="72"/>
      <c r="AQ2767" s="72"/>
      <c r="AT2767" s="72"/>
      <c r="AW2767" s="72"/>
      <c r="AZ2767" s="72"/>
    </row>
    <row r="2768" spans="1:52">
      <c r="A2768" s="131"/>
      <c r="B2768" s="72"/>
      <c r="D2768" s="72"/>
      <c r="G2768" s="72"/>
      <c r="J2768" s="72"/>
      <c r="M2768" s="72"/>
      <c r="P2768" s="72"/>
      <c r="S2768" s="72"/>
      <c r="V2768" s="72"/>
      <c r="Y2768" s="72"/>
      <c r="AB2768" s="72"/>
      <c r="AE2768" s="72"/>
      <c r="AH2768" s="72"/>
      <c r="AK2768" s="72"/>
      <c r="AN2768" s="72"/>
      <c r="AQ2768" s="72"/>
      <c r="AT2768" s="72"/>
      <c r="AW2768" s="72"/>
      <c r="AZ2768" s="72"/>
    </row>
    <row r="2769" spans="1:52">
      <c r="A2769" s="131"/>
      <c r="B2769" s="72"/>
      <c r="D2769" s="72"/>
      <c r="G2769" s="72"/>
      <c r="J2769" s="72"/>
      <c r="M2769" s="72"/>
      <c r="P2769" s="72"/>
      <c r="S2769" s="72"/>
      <c r="V2769" s="72"/>
      <c r="Y2769" s="72"/>
      <c r="AB2769" s="72"/>
      <c r="AE2769" s="72"/>
      <c r="AH2769" s="72"/>
      <c r="AK2769" s="72"/>
      <c r="AN2769" s="72"/>
      <c r="AQ2769" s="72"/>
      <c r="AT2769" s="72"/>
      <c r="AW2769" s="72"/>
      <c r="AZ2769" s="72"/>
    </row>
    <row r="2770" spans="1:52">
      <c r="A2770" s="131"/>
      <c r="B2770" s="72"/>
      <c r="D2770" s="72"/>
      <c r="G2770" s="72"/>
      <c r="J2770" s="72"/>
      <c r="M2770" s="72"/>
      <c r="P2770" s="72"/>
      <c r="S2770" s="72"/>
      <c r="V2770" s="72"/>
      <c r="Y2770" s="72"/>
      <c r="AB2770" s="72"/>
      <c r="AE2770" s="72"/>
      <c r="AH2770" s="72"/>
      <c r="AK2770" s="72"/>
      <c r="AN2770" s="72"/>
      <c r="AQ2770" s="72"/>
      <c r="AT2770" s="72"/>
      <c r="AW2770" s="72"/>
      <c r="AZ2770" s="72"/>
    </row>
    <row r="2771" spans="1:52">
      <c r="A2771" s="131"/>
      <c r="B2771" s="72"/>
      <c r="D2771" s="72"/>
      <c r="G2771" s="72"/>
      <c r="J2771" s="72"/>
      <c r="M2771" s="72"/>
      <c r="P2771" s="72"/>
      <c r="S2771" s="72"/>
      <c r="V2771" s="72"/>
      <c r="Y2771" s="72"/>
      <c r="AB2771" s="72"/>
      <c r="AE2771" s="72"/>
      <c r="AH2771" s="72"/>
      <c r="AK2771" s="72"/>
      <c r="AN2771" s="72"/>
      <c r="AQ2771" s="72"/>
      <c r="AT2771" s="72"/>
      <c r="AW2771" s="72"/>
      <c r="AZ2771" s="72"/>
    </row>
    <row r="2772" spans="1:52">
      <c r="A2772" s="131"/>
      <c r="B2772" s="72"/>
      <c r="D2772" s="72"/>
      <c r="G2772" s="72"/>
      <c r="J2772" s="72"/>
      <c r="M2772" s="72"/>
      <c r="P2772" s="72"/>
      <c r="S2772" s="72"/>
      <c r="V2772" s="72"/>
      <c r="Y2772" s="72"/>
      <c r="AB2772" s="72"/>
      <c r="AE2772" s="72"/>
      <c r="AH2772" s="72"/>
      <c r="AK2772" s="72"/>
      <c r="AN2772" s="72"/>
      <c r="AQ2772" s="72"/>
      <c r="AT2772" s="72"/>
      <c r="AW2772" s="72"/>
      <c r="AZ2772" s="72"/>
    </row>
    <row r="2773" spans="1:52">
      <c r="A2773" s="131"/>
      <c r="B2773" s="72"/>
      <c r="D2773" s="72"/>
      <c r="G2773" s="72"/>
      <c r="J2773" s="72"/>
      <c r="M2773" s="72"/>
      <c r="P2773" s="72"/>
      <c r="S2773" s="72"/>
      <c r="V2773" s="72"/>
      <c r="Y2773" s="72"/>
      <c r="AB2773" s="72"/>
      <c r="AE2773" s="72"/>
      <c r="AH2773" s="72"/>
      <c r="AK2773" s="72"/>
      <c r="AN2773" s="72"/>
      <c r="AQ2773" s="72"/>
      <c r="AT2773" s="72"/>
      <c r="AW2773" s="72"/>
      <c r="AZ2773" s="72"/>
    </row>
    <row r="2774" spans="1:52">
      <c r="A2774" s="131"/>
      <c r="B2774" s="72"/>
      <c r="D2774" s="72"/>
      <c r="G2774" s="72"/>
      <c r="J2774" s="72"/>
      <c r="M2774" s="72"/>
      <c r="P2774" s="72"/>
      <c r="S2774" s="72"/>
      <c r="V2774" s="72"/>
      <c r="Y2774" s="72"/>
      <c r="AB2774" s="72"/>
      <c r="AE2774" s="72"/>
      <c r="AH2774" s="72"/>
      <c r="AK2774" s="72"/>
      <c r="AN2774" s="72"/>
      <c r="AQ2774" s="72"/>
      <c r="AT2774" s="72"/>
      <c r="AW2774" s="72"/>
      <c r="AZ2774" s="72"/>
    </row>
    <row r="2775" spans="1:52">
      <c r="A2775" s="131"/>
      <c r="B2775" s="72"/>
      <c r="D2775" s="72"/>
      <c r="G2775" s="72"/>
      <c r="J2775" s="72"/>
      <c r="M2775" s="72"/>
      <c r="P2775" s="72"/>
      <c r="S2775" s="72"/>
      <c r="V2775" s="72"/>
      <c r="Y2775" s="72"/>
      <c r="AB2775" s="72"/>
      <c r="AE2775" s="72"/>
      <c r="AH2775" s="72"/>
      <c r="AK2775" s="72"/>
      <c r="AN2775" s="72"/>
      <c r="AQ2775" s="72"/>
      <c r="AT2775" s="72"/>
      <c r="AW2775" s="72"/>
      <c r="AZ2775" s="72"/>
    </row>
    <row r="2776" spans="1:52">
      <c r="A2776" s="131"/>
      <c r="B2776" s="72"/>
      <c r="D2776" s="72"/>
      <c r="G2776" s="72"/>
      <c r="J2776" s="72"/>
      <c r="M2776" s="72"/>
      <c r="P2776" s="72"/>
      <c r="S2776" s="72"/>
      <c r="V2776" s="72"/>
      <c r="Y2776" s="72"/>
      <c r="AB2776" s="72"/>
      <c r="AE2776" s="72"/>
      <c r="AH2776" s="72"/>
      <c r="AK2776" s="72"/>
      <c r="AN2776" s="72"/>
      <c r="AQ2776" s="72"/>
      <c r="AT2776" s="72"/>
      <c r="AW2776" s="72"/>
      <c r="AZ2776" s="72"/>
    </row>
    <row r="2777" spans="1:52">
      <c r="A2777" s="131"/>
      <c r="B2777" s="72"/>
      <c r="D2777" s="72"/>
      <c r="G2777" s="72"/>
      <c r="J2777" s="72"/>
      <c r="M2777" s="72"/>
      <c r="P2777" s="72"/>
      <c r="S2777" s="72"/>
      <c r="V2777" s="72"/>
      <c r="Y2777" s="72"/>
      <c r="AB2777" s="72"/>
      <c r="AE2777" s="72"/>
      <c r="AH2777" s="72"/>
      <c r="AK2777" s="72"/>
      <c r="AN2777" s="72"/>
      <c r="AQ2777" s="72"/>
      <c r="AT2777" s="72"/>
      <c r="AW2777" s="72"/>
      <c r="AZ2777" s="72"/>
    </row>
    <row r="2778" spans="1:52">
      <c r="A2778" s="131"/>
      <c r="B2778" s="72"/>
      <c r="D2778" s="72"/>
      <c r="G2778" s="72"/>
      <c r="J2778" s="72"/>
      <c r="M2778" s="72"/>
      <c r="P2778" s="72"/>
      <c r="S2778" s="72"/>
      <c r="V2778" s="72"/>
      <c r="Y2778" s="72"/>
      <c r="AB2778" s="72"/>
      <c r="AE2778" s="72"/>
      <c r="AH2778" s="72"/>
      <c r="AK2778" s="72"/>
      <c r="AN2778" s="72"/>
      <c r="AQ2778" s="72"/>
      <c r="AT2778" s="72"/>
      <c r="AW2778" s="72"/>
      <c r="AZ2778" s="72"/>
    </row>
    <row r="2779" spans="1:52">
      <c r="A2779" s="131"/>
      <c r="B2779" s="72"/>
      <c r="D2779" s="72"/>
      <c r="G2779" s="72"/>
      <c r="J2779" s="72"/>
      <c r="M2779" s="72"/>
      <c r="P2779" s="72"/>
      <c r="S2779" s="72"/>
      <c r="V2779" s="72"/>
      <c r="Y2779" s="72"/>
      <c r="AB2779" s="72"/>
      <c r="AE2779" s="72"/>
      <c r="AH2779" s="72"/>
      <c r="AK2779" s="72"/>
      <c r="AN2779" s="72"/>
      <c r="AQ2779" s="72"/>
      <c r="AT2779" s="72"/>
      <c r="AW2779" s="72"/>
      <c r="AZ2779" s="72"/>
    </row>
    <row r="2780" spans="1:52">
      <c r="A2780" s="131"/>
      <c r="B2780" s="72"/>
      <c r="D2780" s="72"/>
      <c r="G2780" s="72"/>
      <c r="J2780" s="72"/>
      <c r="M2780" s="72"/>
      <c r="P2780" s="72"/>
      <c r="S2780" s="72"/>
      <c r="V2780" s="72"/>
      <c r="Y2780" s="72"/>
      <c r="AB2780" s="72"/>
      <c r="AE2780" s="72"/>
      <c r="AH2780" s="72"/>
      <c r="AK2780" s="72"/>
      <c r="AN2780" s="72"/>
      <c r="AQ2780" s="72"/>
      <c r="AT2780" s="72"/>
      <c r="AW2780" s="72"/>
      <c r="AZ2780" s="72"/>
    </row>
    <row r="2781" spans="1:52">
      <c r="A2781" s="131"/>
      <c r="B2781" s="72"/>
      <c r="D2781" s="72"/>
      <c r="G2781" s="72"/>
      <c r="J2781" s="72"/>
      <c r="M2781" s="72"/>
      <c r="P2781" s="72"/>
      <c r="S2781" s="72"/>
      <c r="V2781" s="72"/>
      <c r="Y2781" s="72"/>
      <c r="AB2781" s="72"/>
      <c r="AE2781" s="72"/>
      <c r="AH2781" s="72"/>
      <c r="AK2781" s="72"/>
      <c r="AN2781" s="72"/>
      <c r="AQ2781" s="72"/>
      <c r="AT2781" s="72"/>
      <c r="AW2781" s="72"/>
      <c r="AZ2781" s="72"/>
    </row>
    <row r="2782" spans="1:52">
      <c r="A2782" s="131"/>
      <c r="B2782" s="72"/>
      <c r="D2782" s="72"/>
      <c r="G2782" s="72"/>
      <c r="J2782" s="72"/>
      <c r="M2782" s="72"/>
      <c r="P2782" s="72"/>
      <c r="S2782" s="72"/>
      <c r="V2782" s="72"/>
      <c r="Y2782" s="72"/>
      <c r="AB2782" s="72"/>
      <c r="AE2782" s="72"/>
      <c r="AH2782" s="72"/>
      <c r="AK2782" s="72"/>
      <c r="AN2782" s="72"/>
      <c r="AQ2782" s="72"/>
      <c r="AT2782" s="72"/>
      <c r="AW2782" s="72"/>
      <c r="AZ2782" s="72"/>
    </row>
    <row r="2783" spans="1:52">
      <c r="A2783" s="131"/>
      <c r="B2783" s="72"/>
      <c r="D2783" s="72"/>
      <c r="G2783" s="72"/>
      <c r="J2783" s="72"/>
      <c r="M2783" s="72"/>
      <c r="P2783" s="72"/>
      <c r="S2783" s="72"/>
      <c r="V2783" s="72"/>
      <c r="Y2783" s="72"/>
      <c r="AB2783" s="72"/>
      <c r="AE2783" s="72"/>
      <c r="AH2783" s="72"/>
      <c r="AK2783" s="72"/>
      <c r="AN2783" s="72"/>
      <c r="AQ2783" s="72"/>
      <c r="AT2783" s="72"/>
      <c r="AW2783" s="72"/>
      <c r="AZ2783" s="72"/>
    </row>
    <row r="2784" spans="1:52">
      <c r="A2784" s="131"/>
      <c r="B2784" s="72"/>
      <c r="D2784" s="72"/>
      <c r="G2784" s="72"/>
      <c r="J2784" s="72"/>
      <c r="M2784" s="72"/>
      <c r="P2784" s="72"/>
      <c r="S2784" s="72"/>
      <c r="V2784" s="72"/>
      <c r="Y2784" s="72"/>
      <c r="AB2784" s="72"/>
      <c r="AE2784" s="72"/>
      <c r="AH2784" s="72"/>
      <c r="AK2784" s="72"/>
      <c r="AN2784" s="72"/>
      <c r="AQ2784" s="72"/>
      <c r="AT2784" s="72"/>
      <c r="AW2784" s="72"/>
      <c r="AZ2784" s="72"/>
    </row>
    <row r="2785" spans="1:52">
      <c r="A2785" s="131"/>
      <c r="B2785" s="72"/>
      <c r="D2785" s="72"/>
      <c r="G2785" s="72"/>
      <c r="J2785" s="72"/>
      <c r="M2785" s="72"/>
      <c r="P2785" s="72"/>
      <c r="S2785" s="72"/>
      <c r="V2785" s="72"/>
      <c r="Y2785" s="72"/>
      <c r="AB2785" s="72"/>
      <c r="AE2785" s="72"/>
      <c r="AH2785" s="72"/>
      <c r="AK2785" s="72"/>
      <c r="AN2785" s="72"/>
      <c r="AQ2785" s="72"/>
      <c r="AT2785" s="72"/>
      <c r="AW2785" s="72"/>
      <c r="AZ2785" s="72"/>
    </row>
    <row r="2786" spans="1:52">
      <c r="A2786" s="131"/>
      <c r="B2786" s="72"/>
      <c r="D2786" s="72"/>
      <c r="G2786" s="72"/>
      <c r="J2786" s="72"/>
      <c r="M2786" s="72"/>
      <c r="P2786" s="72"/>
      <c r="S2786" s="72"/>
      <c r="V2786" s="72"/>
      <c r="Y2786" s="72"/>
      <c r="AB2786" s="72"/>
      <c r="AE2786" s="72"/>
      <c r="AH2786" s="72"/>
      <c r="AK2786" s="72"/>
      <c r="AN2786" s="72"/>
      <c r="AQ2786" s="72"/>
      <c r="AT2786" s="72"/>
      <c r="AW2786" s="72"/>
      <c r="AZ2786" s="72"/>
    </row>
    <row r="2787" spans="1:52">
      <c r="A2787" s="131"/>
      <c r="B2787" s="72"/>
      <c r="D2787" s="72"/>
      <c r="G2787" s="72"/>
      <c r="J2787" s="72"/>
      <c r="M2787" s="72"/>
      <c r="P2787" s="72"/>
      <c r="S2787" s="72"/>
      <c r="V2787" s="72"/>
      <c r="Y2787" s="72"/>
      <c r="AB2787" s="72"/>
      <c r="AE2787" s="72"/>
      <c r="AH2787" s="72"/>
      <c r="AK2787" s="72"/>
      <c r="AN2787" s="72"/>
      <c r="AQ2787" s="72"/>
      <c r="AT2787" s="72"/>
      <c r="AW2787" s="72"/>
      <c r="AZ2787" s="72"/>
    </row>
    <row r="2788" spans="1:52">
      <c r="A2788" s="131"/>
      <c r="B2788" s="72"/>
      <c r="D2788" s="72"/>
      <c r="G2788" s="72"/>
      <c r="J2788" s="72"/>
      <c r="M2788" s="72"/>
      <c r="P2788" s="72"/>
      <c r="S2788" s="72"/>
      <c r="V2788" s="72"/>
      <c r="Y2788" s="72"/>
      <c r="AB2788" s="72"/>
      <c r="AE2788" s="72"/>
      <c r="AH2788" s="72"/>
      <c r="AK2788" s="72"/>
      <c r="AN2788" s="72"/>
      <c r="AQ2788" s="72"/>
      <c r="AT2788" s="72"/>
      <c r="AW2788" s="72"/>
      <c r="AZ2788" s="72"/>
    </row>
    <row r="2789" spans="1:52">
      <c r="A2789" s="131"/>
      <c r="B2789" s="72"/>
      <c r="D2789" s="72"/>
      <c r="G2789" s="72"/>
      <c r="J2789" s="72"/>
      <c r="M2789" s="72"/>
      <c r="P2789" s="72"/>
      <c r="S2789" s="72"/>
      <c r="V2789" s="72"/>
      <c r="Y2789" s="72"/>
      <c r="AB2789" s="72"/>
      <c r="AE2789" s="72"/>
      <c r="AH2789" s="72"/>
      <c r="AK2789" s="72"/>
      <c r="AN2789" s="72"/>
      <c r="AQ2789" s="72"/>
      <c r="AT2789" s="72"/>
      <c r="AW2789" s="72"/>
      <c r="AZ2789" s="72"/>
    </row>
    <row r="2790" spans="1:52">
      <c r="A2790" s="131"/>
      <c r="B2790" s="72"/>
      <c r="D2790" s="72"/>
      <c r="G2790" s="72"/>
      <c r="J2790" s="72"/>
      <c r="M2790" s="72"/>
      <c r="P2790" s="72"/>
      <c r="S2790" s="72"/>
      <c r="V2790" s="72"/>
      <c r="Y2790" s="72"/>
      <c r="AB2790" s="72"/>
      <c r="AE2790" s="72"/>
      <c r="AH2790" s="72"/>
      <c r="AK2790" s="72"/>
      <c r="AN2790" s="72"/>
      <c r="AQ2790" s="72"/>
      <c r="AT2790" s="72"/>
      <c r="AW2790" s="72"/>
      <c r="AZ2790" s="72"/>
    </row>
    <row r="2791" spans="1:52">
      <c r="A2791" s="131"/>
      <c r="B2791" s="72"/>
      <c r="D2791" s="72"/>
      <c r="G2791" s="72"/>
      <c r="J2791" s="72"/>
      <c r="M2791" s="72"/>
      <c r="P2791" s="72"/>
      <c r="S2791" s="72"/>
      <c r="V2791" s="72"/>
      <c r="Y2791" s="72"/>
      <c r="AB2791" s="72"/>
      <c r="AE2791" s="72"/>
      <c r="AH2791" s="72"/>
      <c r="AK2791" s="72"/>
      <c r="AN2791" s="72"/>
      <c r="AQ2791" s="72"/>
      <c r="AT2791" s="72"/>
      <c r="AW2791" s="72"/>
      <c r="AZ2791" s="72"/>
    </row>
    <row r="2792" spans="1:52">
      <c r="A2792" s="131"/>
      <c r="B2792" s="72"/>
      <c r="D2792" s="72"/>
      <c r="G2792" s="72"/>
      <c r="J2792" s="72"/>
      <c r="M2792" s="72"/>
      <c r="P2792" s="72"/>
      <c r="S2792" s="72"/>
      <c r="V2792" s="72"/>
      <c r="Y2792" s="72"/>
      <c r="AB2792" s="72"/>
      <c r="AE2792" s="72"/>
      <c r="AH2792" s="72"/>
      <c r="AK2792" s="72"/>
      <c r="AN2792" s="72"/>
      <c r="AQ2792" s="72"/>
      <c r="AT2792" s="72"/>
      <c r="AW2792" s="72"/>
      <c r="AZ2792" s="72"/>
    </row>
    <row r="2793" spans="1:52">
      <c r="A2793" s="131"/>
      <c r="B2793" s="72"/>
      <c r="D2793" s="72"/>
      <c r="G2793" s="72"/>
      <c r="J2793" s="72"/>
      <c r="M2793" s="72"/>
      <c r="P2793" s="72"/>
      <c r="S2793" s="72"/>
      <c r="V2793" s="72"/>
      <c r="Y2793" s="72"/>
      <c r="AB2793" s="72"/>
      <c r="AE2793" s="72"/>
      <c r="AH2793" s="72"/>
      <c r="AK2793" s="72"/>
      <c r="AN2793" s="72"/>
      <c r="AQ2793" s="72"/>
      <c r="AT2793" s="72"/>
      <c r="AW2793" s="72"/>
      <c r="AZ2793" s="72"/>
    </row>
    <row r="2794" spans="1:52">
      <c r="A2794" s="131"/>
      <c r="B2794" s="72"/>
      <c r="D2794" s="72"/>
      <c r="G2794" s="72"/>
      <c r="J2794" s="72"/>
      <c r="M2794" s="72"/>
      <c r="P2794" s="72"/>
      <c r="S2794" s="72"/>
      <c r="V2794" s="72"/>
      <c r="Y2794" s="72"/>
      <c r="AB2794" s="72"/>
      <c r="AE2794" s="72"/>
      <c r="AH2794" s="72"/>
      <c r="AK2794" s="72"/>
      <c r="AN2794" s="72"/>
      <c r="AQ2794" s="72"/>
      <c r="AT2794" s="72"/>
      <c r="AW2794" s="72"/>
      <c r="AZ2794" s="72"/>
    </row>
    <row r="2795" spans="1:52">
      <c r="A2795" s="131"/>
      <c r="B2795" s="72"/>
      <c r="D2795" s="72"/>
      <c r="G2795" s="72"/>
      <c r="J2795" s="72"/>
      <c r="M2795" s="72"/>
      <c r="P2795" s="72"/>
      <c r="S2795" s="72"/>
      <c r="V2795" s="72"/>
      <c r="Y2795" s="72"/>
      <c r="AB2795" s="72"/>
      <c r="AE2795" s="72"/>
      <c r="AH2795" s="72"/>
      <c r="AK2795" s="72"/>
      <c r="AN2795" s="72"/>
      <c r="AQ2795" s="72"/>
      <c r="AT2795" s="72"/>
      <c r="AW2795" s="72"/>
      <c r="AZ2795" s="72"/>
    </row>
    <row r="2796" spans="1:52">
      <c r="A2796" s="131"/>
      <c r="B2796" s="72"/>
      <c r="D2796" s="72"/>
      <c r="G2796" s="72"/>
      <c r="J2796" s="72"/>
      <c r="M2796" s="72"/>
      <c r="P2796" s="72"/>
      <c r="S2796" s="72"/>
      <c r="V2796" s="72"/>
      <c r="Y2796" s="72"/>
      <c r="AB2796" s="72"/>
      <c r="AE2796" s="72"/>
      <c r="AH2796" s="72"/>
      <c r="AK2796" s="72"/>
      <c r="AN2796" s="72"/>
      <c r="AQ2796" s="72"/>
      <c r="AT2796" s="72"/>
      <c r="AW2796" s="72"/>
      <c r="AZ2796" s="72"/>
    </row>
    <row r="2797" spans="1:52">
      <c r="A2797" s="131"/>
      <c r="B2797" s="72"/>
      <c r="D2797" s="72"/>
      <c r="G2797" s="72"/>
      <c r="J2797" s="72"/>
      <c r="M2797" s="72"/>
      <c r="P2797" s="72"/>
      <c r="S2797" s="72"/>
      <c r="V2797" s="72"/>
      <c r="Y2797" s="72"/>
      <c r="AB2797" s="72"/>
      <c r="AE2797" s="72"/>
      <c r="AH2797" s="72"/>
      <c r="AK2797" s="72"/>
      <c r="AN2797" s="72"/>
      <c r="AQ2797" s="72"/>
      <c r="AT2797" s="72"/>
      <c r="AW2797" s="72"/>
      <c r="AZ2797" s="72"/>
    </row>
    <row r="2798" spans="1:52">
      <c r="A2798" s="131"/>
      <c r="B2798" s="72"/>
      <c r="D2798" s="72"/>
      <c r="G2798" s="72"/>
      <c r="J2798" s="72"/>
      <c r="M2798" s="72"/>
      <c r="P2798" s="72"/>
      <c r="S2798" s="72"/>
      <c r="V2798" s="72"/>
      <c r="Y2798" s="72"/>
      <c r="AB2798" s="72"/>
      <c r="AE2798" s="72"/>
      <c r="AH2798" s="72"/>
      <c r="AK2798" s="72"/>
      <c r="AN2798" s="72"/>
      <c r="AQ2798" s="72"/>
      <c r="AT2798" s="72"/>
      <c r="AW2798" s="72"/>
      <c r="AZ2798" s="72"/>
    </row>
    <row r="2799" spans="1:52">
      <c r="A2799" s="131"/>
      <c r="B2799" s="72"/>
      <c r="D2799" s="72"/>
      <c r="G2799" s="72"/>
      <c r="J2799" s="72"/>
      <c r="M2799" s="72"/>
      <c r="P2799" s="72"/>
      <c r="S2799" s="72"/>
      <c r="V2799" s="72"/>
      <c r="Y2799" s="72"/>
      <c r="AB2799" s="72"/>
      <c r="AE2799" s="72"/>
      <c r="AH2799" s="72"/>
      <c r="AK2799" s="72"/>
      <c r="AN2799" s="72"/>
      <c r="AQ2799" s="72"/>
      <c r="AT2799" s="72"/>
      <c r="AW2799" s="72"/>
      <c r="AZ2799" s="72"/>
    </row>
    <row r="2800" spans="1:52">
      <c r="A2800" s="131"/>
      <c r="B2800" s="72"/>
      <c r="D2800" s="72"/>
      <c r="G2800" s="72"/>
      <c r="J2800" s="72"/>
      <c r="M2800" s="72"/>
      <c r="P2800" s="72"/>
      <c r="S2800" s="72"/>
      <c r="V2800" s="72"/>
      <c r="Y2800" s="72"/>
      <c r="AB2800" s="72"/>
      <c r="AE2800" s="72"/>
      <c r="AH2800" s="72"/>
      <c r="AK2800" s="72"/>
      <c r="AN2800" s="72"/>
      <c r="AQ2800" s="72"/>
      <c r="AT2800" s="72"/>
      <c r="AW2800" s="72"/>
      <c r="AZ2800" s="72"/>
    </row>
    <row r="2801" spans="1:52">
      <c r="A2801" s="131"/>
      <c r="B2801" s="72"/>
      <c r="D2801" s="72"/>
      <c r="G2801" s="72"/>
      <c r="J2801" s="72"/>
      <c r="M2801" s="72"/>
      <c r="P2801" s="72"/>
      <c r="S2801" s="72"/>
      <c r="V2801" s="72"/>
      <c r="Y2801" s="72"/>
      <c r="AB2801" s="72"/>
      <c r="AE2801" s="72"/>
      <c r="AH2801" s="72"/>
      <c r="AK2801" s="72"/>
      <c r="AN2801" s="72"/>
      <c r="AQ2801" s="72"/>
      <c r="AT2801" s="72"/>
      <c r="AW2801" s="72"/>
      <c r="AZ2801" s="72"/>
    </row>
    <row r="2802" spans="1:52">
      <c r="A2802" s="131"/>
      <c r="B2802" s="72"/>
      <c r="D2802" s="72"/>
      <c r="G2802" s="72"/>
      <c r="J2802" s="72"/>
      <c r="M2802" s="72"/>
      <c r="P2802" s="72"/>
      <c r="S2802" s="72"/>
      <c r="V2802" s="72"/>
      <c r="Y2802" s="72"/>
      <c r="AB2802" s="72"/>
      <c r="AE2802" s="72"/>
      <c r="AH2802" s="72"/>
      <c r="AK2802" s="72"/>
      <c r="AN2802" s="72"/>
      <c r="AQ2802" s="72"/>
      <c r="AT2802" s="72"/>
      <c r="AW2802" s="72"/>
      <c r="AZ2802" s="72"/>
    </row>
    <row r="2803" spans="1:52">
      <c r="A2803" s="131"/>
      <c r="B2803" s="72"/>
      <c r="D2803" s="72"/>
      <c r="G2803" s="72"/>
      <c r="J2803" s="72"/>
      <c r="M2803" s="72"/>
      <c r="P2803" s="72"/>
      <c r="S2803" s="72"/>
      <c r="V2803" s="72"/>
      <c r="Y2803" s="72"/>
      <c r="AB2803" s="72"/>
      <c r="AE2803" s="72"/>
      <c r="AH2803" s="72"/>
      <c r="AK2803" s="72"/>
      <c r="AN2803" s="72"/>
      <c r="AQ2803" s="72"/>
      <c r="AT2803" s="72"/>
      <c r="AW2803" s="72"/>
      <c r="AZ2803" s="72"/>
    </row>
    <row r="2804" spans="1:52">
      <c r="A2804" s="131"/>
      <c r="B2804" s="72"/>
      <c r="D2804" s="72"/>
      <c r="G2804" s="72"/>
      <c r="J2804" s="72"/>
      <c r="M2804" s="72"/>
      <c r="P2804" s="72"/>
      <c r="S2804" s="72"/>
      <c r="V2804" s="72"/>
      <c r="Y2804" s="72"/>
      <c r="AB2804" s="72"/>
      <c r="AE2804" s="72"/>
      <c r="AH2804" s="72"/>
      <c r="AK2804" s="72"/>
      <c r="AN2804" s="72"/>
      <c r="AQ2804" s="72"/>
      <c r="AT2804" s="72"/>
      <c r="AW2804" s="72"/>
      <c r="AZ2804" s="72"/>
    </row>
    <row r="2805" spans="1:52">
      <c r="A2805" s="131"/>
      <c r="B2805" s="72"/>
      <c r="D2805" s="72"/>
      <c r="G2805" s="72"/>
      <c r="J2805" s="72"/>
      <c r="M2805" s="72"/>
      <c r="P2805" s="72"/>
      <c r="S2805" s="72"/>
      <c r="V2805" s="72"/>
      <c r="Y2805" s="72"/>
      <c r="AB2805" s="72"/>
      <c r="AE2805" s="72"/>
      <c r="AH2805" s="72"/>
      <c r="AK2805" s="72"/>
      <c r="AN2805" s="72"/>
      <c r="AQ2805" s="72"/>
      <c r="AT2805" s="72"/>
      <c r="AW2805" s="72"/>
      <c r="AZ2805" s="72"/>
    </row>
    <row r="2806" spans="1:52">
      <c r="A2806" s="131"/>
      <c r="B2806" s="72"/>
      <c r="D2806" s="72"/>
      <c r="G2806" s="72"/>
      <c r="J2806" s="72"/>
      <c r="M2806" s="72"/>
      <c r="P2806" s="72"/>
      <c r="S2806" s="72"/>
      <c r="V2806" s="72"/>
      <c r="Y2806" s="72"/>
      <c r="AB2806" s="72"/>
      <c r="AE2806" s="72"/>
      <c r="AH2806" s="72"/>
      <c r="AK2806" s="72"/>
      <c r="AN2806" s="72"/>
      <c r="AQ2806" s="72"/>
      <c r="AT2806" s="72"/>
      <c r="AW2806" s="72"/>
      <c r="AZ2806" s="72"/>
    </row>
    <row r="2807" spans="1:52">
      <c r="A2807" s="131"/>
      <c r="B2807" s="72"/>
      <c r="D2807" s="72"/>
      <c r="G2807" s="72"/>
      <c r="J2807" s="72"/>
      <c r="M2807" s="72"/>
      <c r="P2807" s="72"/>
      <c r="S2807" s="72"/>
      <c r="V2807" s="72"/>
      <c r="Y2807" s="72"/>
      <c r="AB2807" s="72"/>
      <c r="AE2807" s="72"/>
      <c r="AH2807" s="72"/>
      <c r="AK2807" s="72"/>
      <c r="AN2807" s="72"/>
      <c r="AQ2807" s="72"/>
      <c r="AT2807" s="72"/>
      <c r="AW2807" s="72"/>
      <c r="AZ2807" s="72"/>
    </row>
    <row r="2808" spans="1:52">
      <c r="A2808" s="131"/>
      <c r="B2808" s="72"/>
      <c r="D2808" s="72"/>
      <c r="G2808" s="72"/>
      <c r="J2808" s="72"/>
      <c r="M2808" s="72"/>
      <c r="P2808" s="72"/>
      <c r="S2808" s="72"/>
      <c r="V2808" s="72"/>
      <c r="Y2808" s="72"/>
      <c r="AB2808" s="72"/>
      <c r="AE2808" s="72"/>
      <c r="AH2808" s="72"/>
      <c r="AK2808" s="72"/>
      <c r="AN2808" s="72"/>
      <c r="AQ2808" s="72"/>
      <c r="AT2808" s="72"/>
      <c r="AW2808" s="72"/>
      <c r="AZ2808" s="72"/>
    </row>
    <row r="2809" spans="1:52">
      <c r="A2809" s="131"/>
      <c r="B2809" s="72"/>
      <c r="D2809" s="72"/>
      <c r="G2809" s="72"/>
      <c r="J2809" s="72"/>
      <c r="M2809" s="72"/>
      <c r="P2809" s="72"/>
      <c r="S2809" s="72"/>
      <c r="V2809" s="72"/>
      <c r="Y2809" s="72"/>
      <c r="AB2809" s="72"/>
      <c r="AE2809" s="72"/>
      <c r="AH2809" s="72"/>
      <c r="AK2809" s="72"/>
      <c r="AN2809" s="72"/>
      <c r="AQ2809" s="72"/>
      <c r="AT2809" s="72"/>
      <c r="AW2809" s="72"/>
      <c r="AZ2809" s="72"/>
    </row>
    <row r="2810" spans="1:52">
      <c r="A2810" s="131"/>
      <c r="B2810" s="72"/>
      <c r="D2810" s="72"/>
      <c r="G2810" s="72"/>
      <c r="J2810" s="72"/>
      <c r="M2810" s="72"/>
      <c r="P2810" s="72"/>
      <c r="S2810" s="72"/>
      <c r="V2810" s="72"/>
      <c r="Y2810" s="72"/>
      <c r="AB2810" s="72"/>
      <c r="AE2810" s="72"/>
      <c r="AH2810" s="72"/>
      <c r="AK2810" s="72"/>
      <c r="AN2810" s="72"/>
      <c r="AQ2810" s="72"/>
      <c r="AT2810" s="72"/>
      <c r="AW2810" s="72"/>
      <c r="AZ2810" s="72"/>
    </row>
    <row r="2811" spans="1:52">
      <c r="A2811" s="131"/>
      <c r="B2811" s="72"/>
      <c r="D2811" s="72"/>
      <c r="G2811" s="72"/>
      <c r="J2811" s="72"/>
      <c r="M2811" s="72"/>
      <c r="P2811" s="72"/>
      <c r="S2811" s="72"/>
      <c r="V2811" s="72"/>
      <c r="Y2811" s="72"/>
      <c r="AB2811" s="72"/>
      <c r="AE2811" s="72"/>
      <c r="AH2811" s="72"/>
      <c r="AK2811" s="72"/>
      <c r="AN2811" s="72"/>
      <c r="AQ2811" s="72"/>
      <c r="AT2811" s="72"/>
      <c r="AW2811" s="72"/>
      <c r="AZ2811" s="72"/>
    </row>
    <row r="2812" spans="1:52">
      <c r="A2812" s="131"/>
      <c r="B2812" s="72"/>
      <c r="D2812" s="72"/>
      <c r="G2812" s="72"/>
      <c r="J2812" s="72"/>
      <c r="M2812" s="72"/>
      <c r="P2812" s="72"/>
      <c r="S2812" s="72"/>
      <c r="V2812" s="72"/>
      <c r="Y2812" s="72"/>
      <c r="AB2812" s="72"/>
      <c r="AE2812" s="72"/>
      <c r="AH2812" s="72"/>
      <c r="AK2812" s="72"/>
      <c r="AN2812" s="72"/>
      <c r="AQ2812" s="72"/>
      <c r="AT2812" s="72"/>
      <c r="AW2812" s="72"/>
      <c r="AZ2812" s="72"/>
    </row>
    <row r="2813" spans="1:52">
      <c r="A2813" s="131"/>
      <c r="B2813" s="72"/>
      <c r="D2813" s="72"/>
      <c r="G2813" s="72"/>
      <c r="J2813" s="72"/>
      <c r="M2813" s="72"/>
      <c r="P2813" s="72"/>
      <c r="S2813" s="72"/>
      <c r="V2813" s="72"/>
      <c r="Y2813" s="72"/>
      <c r="AB2813" s="72"/>
      <c r="AE2813" s="72"/>
      <c r="AH2813" s="72"/>
      <c r="AK2813" s="72"/>
      <c r="AN2813" s="72"/>
      <c r="AQ2813" s="72"/>
      <c r="AT2813" s="72"/>
      <c r="AW2813" s="72"/>
      <c r="AZ2813" s="72"/>
    </row>
    <row r="2814" spans="1:52">
      <c r="A2814" s="131"/>
      <c r="B2814" s="72"/>
      <c r="D2814" s="72"/>
      <c r="G2814" s="72"/>
      <c r="J2814" s="72"/>
      <c r="M2814" s="72"/>
      <c r="P2814" s="72"/>
      <c r="S2814" s="72"/>
      <c r="V2814" s="72"/>
      <c r="Y2814" s="72"/>
      <c r="AB2814" s="72"/>
      <c r="AE2814" s="72"/>
      <c r="AH2814" s="72"/>
      <c r="AK2814" s="72"/>
      <c r="AN2814" s="72"/>
      <c r="AQ2814" s="72"/>
      <c r="AT2814" s="72"/>
      <c r="AW2814" s="72"/>
      <c r="AZ2814" s="72"/>
    </row>
    <row r="2815" spans="1:52">
      <c r="A2815" s="131"/>
      <c r="B2815" s="72"/>
      <c r="D2815" s="72"/>
      <c r="G2815" s="72"/>
      <c r="J2815" s="72"/>
      <c r="M2815" s="72"/>
      <c r="P2815" s="72"/>
      <c r="S2815" s="72"/>
      <c r="V2815" s="72"/>
      <c r="Y2815" s="72"/>
      <c r="AB2815" s="72"/>
      <c r="AE2815" s="72"/>
      <c r="AH2815" s="72"/>
      <c r="AK2815" s="72"/>
      <c r="AN2815" s="72"/>
      <c r="AQ2815" s="72"/>
      <c r="AT2815" s="72"/>
      <c r="AW2815" s="72"/>
      <c r="AZ2815" s="72"/>
    </row>
    <row r="2816" spans="1:52">
      <c r="A2816" s="131"/>
      <c r="B2816" s="72"/>
      <c r="D2816" s="72"/>
      <c r="G2816" s="72"/>
      <c r="J2816" s="72"/>
      <c r="M2816" s="72"/>
      <c r="P2816" s="72"/>
      <c r="S2816" s="72"/>
      <c r="V2816" s="72"/>
      <c r="Y2816" s="72"/>
      <c r="AB2816" s="72"/>
      <c r="AE2816" s="72"/>
      <c r="AH2816" s="72"/>
      <c r="AK2816" s="72"/>
      <c r="AN2816" s="72"/>
      <c r="AQ2816" s="72"/>
      <c r="AT2816" s="72"/>
      <c r="AW2816" s="72"/>
      <c r="AZ2816" s="72"/>
    </row>
    <row r="2817" spans="1:52">
      <c r="A2817" s="131"/>
      <c r="B2817" s="72"/>
      <c r="D2817" s="72"/>
      <c r="G2817" s="72"/>
      <c r="J2817" s="72"/>
      <c r="M2817" s="72"/>
      <c r="P2817" s="72"/>
      <c r="S2817" s="72"/>
      <c r="V2817" s="72"/>
      <c r="Y2817" s="72"/>
      <c r="AB2817" s="72"/>
      <c r="AE2817" s="72"/>
      <c r="AH2817" s="72"/>
      <c r="AK2817" s="72"/>
      <c r="AN2817" s="72"/>
      <c r="AQ2817" s="72"/>
      <c r="AT2817" s="72"/>
      <c r="AW2817" s="72"/>
      <c r="AZ2817" s="72"/>
    </row>
    <row r="2818" spans="1:52">
      <c r="A2818" s="131"/>
      <c r="B2818" s="72"/>
      <c r="D2818" s="72"/>
      <c r="G2818" s="72"/>
      <c r="J2818" s="72"/>
      <c r="M2818" s="72"/>
      <c r="P2818" s="72"/>
      <c r="S2818" s="72"/>
      <c r="V2818" s="72"/>
      <c r="Y2818" s="72"/>
      <c r="AB2818" s="72"/>
      <c r="AE2818" s="72"/>
      <c r="AH2818" s="72"/>
      <c r="AK2818" s="72"/>
      <c r="AN2818" s="72"/>
      <c r="AQ2818" s="72"/>
      <c r="AT2818" s="72"/>
      <c r="AW2818" s="72"/>
      <c r="AZ2818" s="72"/>
    </row>
    <row r="2819" spans="1:52">
      <c r="A2819" s="131"/>
      <c r="B2819" s="72"/>
      <c r="D2819" s="72"/>
      <c r="G2819" s="72"/>
      <c r="J2819" s="72"/>
      <c r="M2819" s="72"/>
      <c r="P2819" s="72"/>
      <c r="S2819" s="72"/>
      <c r="V2819" s="72"/>
      <c r="Y2819" s="72"/>
      <c r="AB2819" s="72"/>
      <c r="AE2819" s="72"/>
      <c r="AH2819" s="72"/>
      <c r="AK2819" s="72"/>
      <c r="AN2819" s="72"/>
      <c r="AQ2819" s="72"/>
      <c r="AT2819" s="72"/>
      <c r="AW2819" s="72"/>
      <c r="AZ2819" s="72"/>
    </row>
    <row r="2820" spans="1:52">
      <c r="A2820" s="131"/>
      <c r="B2820" s="72"/>
      <c r="D2820" s="72"/>
      <c r="G2820" s="72"/>
      <c r="J2820" s="72"/>
      <c r="M2820" s="72"/>
      <c r="P2820" s="72"/>
      <c r="S2820" s="72"/>
      <c r="V2820" s="72"/>
      <c r="Y2820" s="72"/>
      <c r="AB2820" s="72"/>
      <c r="AE2820" s="72"/>
      <c r="AH2820" s="72"/>
      <c r="AK2820" s="72"/>
      <c r="AN2820" s="72"/>
      <c r="AQ2820" s="72"/>
      <c r="AT2820" s="72"/>
      <c r="AW2820" s="72"/>
      <c r="AZ2820" s="72"/>
    </row>
    <row r="2821" spans="1:52">
      <c r="A2821" s="131"/>
      <c r="B2821" s="72"/>
      <c r="D2821" s="72"/>
      <c r="G2821" s="72"/>
      <c r="J2821" s="72"/>
      <c r="M2821" s="72"/>
      <c r="P2821" s="72"/>
      <c r="S2821" s="72"/>
      <c r="V2821" s="72"/>
      <c r="Y2821" s="72"/>
      <c r="AB2821" s="72"/>
      <c r="AE2821" s="72"/>
      <c r="AH2821" s="72"/>
      <c r="AK2821" s="72"/>
      <c r="AN2821" s="72"/>
      <c r="AQ2821" s="72"/>
      <c r="AT2821" s="72"/>
      <c r="AW2821" s="72"/>
      <c r="AZ2821" s="72"/>
    </row>
    <row r="2822" spans="1:52">
      <c r="A2822" s="131"/>
      <c r="B2822" s="72"/>
      <c r="D2822" s="72"/>
      <c r="G2822" s="72"/>
      <c r="J2822" s="72"/>
      <c r="M2822" s="72"/>
      <c r="P2822" s="72"/>
      <c r="S2822" s="72"/>
      <c r="V2822" s="72"/>
      <c r="Y2822" s="72"/>
      <c r="AB2822" s="72"/>
      <c r="AE2822" s="72"/>
      <c r="AH2822" s="72"/>
      <c r="AK2822" s="72"/>
      <c r="AN2822" s="72"/>
      <c r="AQ2822" s="72"/>
      <c r="AT2822" s="72"/>
      <c r="AW2822" s="72"/>
      <c r="AZ2822" s="72"/>
    </row>
    <row r="2823" spans="1:52">
      <c r="A2823" s="131"/>
      <c r="B2823" s="72"/>
      <c r="D2823" s="72"/>
      <c r="G2823" s="72"/>
      <c r="J2823" s="72"/>
      <c r="M2823" s="72"/>
      <c r="P2823" s="72"/>
      <c r="S2823" s="72"/>
      <c r="V2823" s="72"/>
      <c r="Y2823" s="72"/>
      <c r="AB2823" s="72"/>
      <c r="AE2823" s="72"/>
      <c r="AH2823" s="72"/>
      <c r="AK2823" s="72"/>
      <c r="AN2823" s="72"/>
      <c r="AQ2823" s="72"/>
      <c r="AT2823" s="72"/>
      <c r="AW2823" s="72"/>
      <c r="AZ2823" s="72"/>
    </row>
    <row r="2824" spans="1:52">
      <c r="A2824" s="131"/>
      <c r="B2824" s="72"/>
      <c r="D2824" s="72"/>
      <c r="G2824" s="72"/>
      <c r="J2824" s="72"/>
      <c r="M2824" s="72"/>
      <c r="P2824" s="72"/>
      <c r="S2824" s="72"/>
      <c r="V2824" s="72"/>
      <c r="Y2824" s="72"/>
      <c r="AB2824" s="72"/>
      <c r="AE2824" s="72"/>
      <c r="AH2824" s="72"/>
      <c r="AK2824" s="72"/>
      <c r="AN2824" s="72"/>
      <c r="AQ2824" s="72"/>
      <c r="AT2824" s="72"/>
      <c r="AW2824" s="72"/>
      <c r="AZ2824" s="72"/>
    </row>
    <row r="2825" spans="1:52">
      <c r="A2825" s="131"/>
      <c r="B2825" s="72"/>
      <c r="D2825" s="72"/>
      <c r="G2825" s="72"/>
      <c r="J2825" s="72"/>
      <c r="M2825" s="72"/>
      <c r="P2825" s="72"/>
      <c r="S2825" s="72"/>
      <c r="V2825" s="72"/>
      <c r="Y2825" s="72"/>
      <c r="AB2825" s="72"/>
      <c r="AE2825" s="72"/>
      <c r="AH2825" s="72"/>
      <c r="AK2825" s="72"/>
      <c r="AN2825" s="72"/>
      <c r="AQ2825" s="72"/>
      <c r="AT2825" s="72"/>
      <c r="AW2825" s="72"/>
      <c r="AZ2825" s="72"/>
    </row>
    <row r="2826" spans="1:52">
      <c r="A2826" s="131"/>
      <c r="B2826" s="72"/>
      <c r="D2826" s="72"/>
      <c r="G2826" s="72"/>
      <c r="J2826" s="72"/>
      <c r="M2826" s="72"/>
      <c r="P2826" s="72"/>
      <c r="S2826" s="72"/>
      <c r="V2826" s="72"/>
      <c r="Y2826" s="72"/>
      <c r="AB2826" s="72"/>
      <c r="AE2826" s="72"/>
      <c r="AH2826" s="72"/>
      <c r="AK2826" s="72"/>
      <c r="AN2826" s="72"/>
      <c r="AQ2826" s="72"/>
      <c r="AT2826" s="72"/>
      <c r="AW2826" s="72"/>
      <c r="AZ2826" s="72"/>
    </row>
    <row r="2827" spans="1:52">
      <c r="A2827" s="131"/>
      <c r="B2827" s="72"/>
      <c r="D2827" s="72"/>
      <c r="G2827" s="72"/>
      <c r="J2827" s="72"/>
      <c r="M2827" s="72"/>
      <c r="P2827" s="72"/>
      <c r="S2827" s="72"/>
      <c r="V2827" s="72"/>
      <c r="Y2827" s="72"/>
      <c r="AB2827" s="72"/>
      <c r="AE2827" s="72"/>
      <c r="AH2827" s="72"/>
      <c r="AK2827" s="72"/>
      <c r="AN2827" s="72"/>
      <c r="AQ2827" s="72"/>
      <c r="AT2827" s="72"/>
      <c r="AW2827" s="72"/>
      <c r="AZ2827" s="72"/>
    </row>
    <row r="2828" spans="1:52">
      <c r="A2828" s="131"/>
      <c r="B2828" s="72"/>
      <c r="D2828" s="72"/>
      <c r="G2828" s="72"/>
      <c r="J2828" s="72"/>
      <c r="M2828" s="72"/>
      <c r="P2828" s="72"/>
      <c r="S2828" s="72"/>
      <c r="V2828" s="72"/>
      <c r="Y2828" s="72"/>
      <c r="AB2828" s="72"/>
      <c r="AE2828" s="72"/>
      <c r="AH2828" s="72"/>
      <c r="AK2828" s="72"/>
      <c r="AN2828" s="72"/>
      <c r="AQ2828" s="72"/>
      <c r="AT2828" s="72"/>
      <c r="AW2828" s="72"/>
      <c r="AZ2828" s="72"/>
    </row>
    <row r="2829" spans="1:52">
      <c r="A2829" s="131"/>
      <c r="B2829" s="72"/>
      <c r="D2829" s="72"/>
      <c r="G2829" s="72"/>
      <c r="J2829" s="72"/>
      <c r="M2829" s="72"/>
      <c r="P2829" s="72"/>
      <c r="S2829" s="72"/>
      <c r="V2829" s="72"/>
      <c r="Y2829" s="72"/>
      <c r="AB2829" s="72"/>
      <c r="AE2829" s="72"/>
      <c r="AH2829" s="72"/>
      <c r="AK2829" s="72"/>
      <c r="AN2829" s="72"/>
      <c r="AQ2829" s="72"/>
      <c r="AT2829" s="72"/>
      <c r="AW2829" s="72"/>
      <c r="AZ2829" s="72"/>
    </row>
    <row r="2830" spans="1:52">
      <c r="A2830" s="131"/>
      <c r="B2830" s="72"/>
      <c r="D2830" s="72"/>
      <c r="G2830" s="72"/>
      <c r="J2830" s="72"/>
      <c r="M2830" s="72"/>
      <c r="P2830" s="72"/>
      <c r="S2830" s="72"/>
      <c r="V2830" s="72"/>
      <c r="Y2830" s="72"/>
      <c r="AB2830" s="72"/>
      <c r="AE2830" s="72"/>
      <c r="AH2830" s="72"/>
      <c r="AK2830" s="72"/>
      <c r="AN2830" s="72"/>
      <c r="AQ2830" s="72"/>
      <c r="AT2830" s="72"/>
      <c r="AW2830" s="72"/>
      <c r="AZ2830" s="72"/>
    </row>
    <row r="2831" spans="1:52">
      <c r="A2831" s="131"/>
      <c r="B2831" s="72"/>
      <c r="D2831" s="72"/>
      <c r="G2831" s="72"/>
      <c r="J2831" s="72"/>
      <c r="M2831" s="72"/>
      <c r="P2831" s="72"/>
      <c r="S2831" s="72"/>
      <c r="V2831" s="72"/>
      <c r="Y2831" s="72"/>
      <c r="AB2831" s="72"/>
      <c r="AE2831" s="72"/>
      <c r="AH2831" s="72"/>
      <c r="AK2831" s="72"/>
      <c r="AN2831" s="72"/>
      <c r="AQ2831" s="72"/>
      <c r="AT2831" s="72"/>
      <c r="AW2831" s="72"/>
      <c r="AZ2831" s="72"/>
    </row>
    <row r="2832" spans="1:52">
      <c r="A2832" s="131"/>
      <c r="B2832" s="72"/>
      <c r="D2832" s="72"/>
      <c r="G2832" s="72"/>
      <c r="J2832" s="72"/>
      <c r="M2832" s="72"/>
      <c r="P2832" s="72"/>
      <c r="S2832" s="72"/>
      <c r="V2832" s="72"/>
      <c r="Y2832" s="72"/>
      <c r="AB2832" s="72"/>
      <c r="AE2832" s="72"/>
      <c r="AH2832" s="72"/>
      <c r="AK2832" s="72"/>
      <c r="AN2832" s="72"/>
      <c r="AQ2832" s="72"/>
      <c r="AT2832" s="72"/>
      <c r="AW2832" s="72"/>
      <c r="AZ2832" s="72"/>
    </row>
    <row r="2833" spans="1:52">
      <c r="A2833" s="131"/>
      <c r="B2833" s="72"/>
      <c r="D2833" s="72"/>
      <c r="G2833" s="72"/>
      <c r="J2833" s="72"/>
      <c r="M2833" s="72"/>
      <c r="P2833" s="72"/>
      <c r="S2833" s="72"/>
      <c r="V2833" s="72"/>
      <c r="Y2833" s="72"/>
      <c r="AB2833" s="72"/>
      <c r="AE2833" s="72"/>
      <c r="AH2833" s="72"/>
      <c r="AK2833" s="72"/>
      <c r="AN2833" s="72"/>
      <c r="AQ2833" s="72"/>
      <c r="AT2833" s="72"/>
      <c r="AW2833" s="72"/>
      <c r="AZ2833" s="72"/>
    </row>
    <row r="2834" spans="1:52">
      <c r="A2834" s="131"/>
      <c r="B2834" s="72"/>
      <c r="D2834" s="72"/>
      <c r="G2834" s="72"/>
      <c r="J2834" s="72"/>
      <c r="M2834" s="72"/>
      <c r="P2834" s="72"/>
      <c r="S2834" s="72"/>
      <c r="V2834" s="72"/>
      <c r="Y2834" s="72"/>
      <c r="AB2834" s="72"/>
      <c r="AE2834" s="72"/>
      <c r="AH2834" s="72"/>
      <c r="AK2834" s="72"/>
      <c r="AN2834" s="72"/>
      <c r="AQ2834" s="72"/>
      <c r="AT2834" s="72"/>
      <c r="AW2834" s="72"/>
      <c r="AZ2834" s="72"/>
    </row>
    <row r="2835" spans="1:52">
      <c r="A2835" s="131"/>
      <c r="B2835" s="72"/>
      <c r="D2835" s="72"/>
      <c r="G2835" s="72"/>
      <c r="J2835" s="72"/>
      <c r="M2835" s="72"/>
      <c r="P2835" s="72"/>
      <c r="S2835" s="72"/>
      <c r="V2835" s="72"/>
      <c r="Y2835" s="72"/>
      <c r="AB2835" s="72"/>
      <c r="AE2835" s="72"/>
      <c r="AH2835" s="72"/>
      <c r="AK2835" s="72"/>
      <c r="AN2835" s="72"/>
      <c r="AQ2835" s="72"/>
      <c r="AT2835" s="72"/>
      <c r="AW2835" s="72"/>
      <c r="AZ2835" s="72"/>
    </row>
    <row r="2836" spans="1:52">
      <c r="A2836" s="131"/>
      <c r="B2836" s="72"/>
      <c r="D2836" s="72"/>
      <c r="G2836" s="72"/>
      <c r="J2836" s="72"/>
      <c r="M2836" s="72"/>
      <c r="P2836" s="72"/>
      <c r="S2836" s="72"/>
      <c r="V2836" s="72"/>
      <c r="Y2836" s="72"/>
      <c r="AB2836" s="72"/>
      <c r="AE2836" s="72"/>
      <c r="AH2836" s="72"/>
      <c r="AK2836" s="72"/>
      <c r="AN2836" s="72"/>
      <c r="AQ2836" s="72"/>
      <c r="AT2836" s="72"/>
      <c r="AW2836" s="72"/>
      <c r="AZ2836" s="72"/>
    </row>
    <row r="2837" spans="1:52">
      <c r="A2837" s="131"/>
      <c r="B2837" s="72"/>
      <c r="D2837" s="72"/>
      <c r="G2837" s="72"/>
      <c r="J2837" s="72"/>
      <c r="M2837" s="72"/>
      <c r="P2837" s="72"/>
      <c r="S2837" s="72"/>
      <c r="V2837" s="72"/>
      <c r="Y2837" s="72"/>
      <c r="AB2837" s="72"/>
      <c r="AE2837" s="72"/>
      <c r="AH2837" s="72"/>
      <c r="AK2837" s="72"/>
      <c r="AN2837" s="72"/>
      <c r="AQ2837" s="72"/>
      <c r="AT2837" s="72"/>
      <c r="AW2837" s="72"/>
      <c r="AZ2837" s="72"/>
    </row>
    <row r="2838" spans="1:52">
      <c r="A2838" s="131"/>
      <c r="B2838" s="72"/>
      <c r="D2838" s="72"/>
      <c r="G2838" s="72"/>
      <c r="J2838" s="72"/>
      <c r="M2838" s="72"/>
      <c r="P2838" s="72"/>
      <c r="S2838" s="72"/>
      <c r="V2838" s="72"/>
      <c r="Y2838" s="72"/>
      <c r="AB2838" s="72"/>
      <c r="AE2838" s="72"/>
      <c r="AH2838" s="72"/>
      <c r="AK2838" s="72"/>
      <c r="AN2838" s="72"/>
      <c r="AQ2838" s="72"/>
      <c r="AT2838" s="72"/>
      <c r="AW2838" s="72"/>
      <c r="AZ2838" s="72"/>
    </row>
    <row r="2839" spans="1:52">
      <c r="A2839" s="131"/>
      <c r="B2839" s="72"/>
      <c r="D2839" s="72"/>
      <c r="G2839" s="72"/>
      <c r="J2839" s="72"/>
      <c r="M2839" s="72"/>
      <c r="P2839" s="72"/>
      <c r="S2839" s="72"/>
      <c r="V2839" s="72"/>
      <c r="Y2839" s="72"/>
      <c r="AB2839" s="72"/>
      <c r="AE2839" s="72"/>
      <c r="AH2839" s="72"/>
      <c r="AK2839" s="72"/>
      <c r="AN2839" s="72"/>
      <c r="AQ2839" s="72"/>
      <c r="AT2839" s="72"/>
      <c r="AW2839" s="72"/>
      <c r="AZ2839" s="72"/>
    </row>
    <row r="2840" spans="1:52">
      <c r="A2840" s="131"/>
      <c r="B2840" s="72"/>
      <c r="D2840" s="72"/>
      <c r="G2840" s="72"/>
      <c r="J2840" s="72"/>
      <c r="M2840" s="72"/>
      <c r="P2840" s="72"/>
      <c r="S2840" s="72"/>
      <c r="V2840" s="72"/>
      <c r="Y2840" s="72"/>
      <c r="AB2840" s="72"/>
      <c r="AE2840" s="72"/>
      <c r="AH2840" s="72"/>
      <c r="AK2840" s="72"/>
      <c r="AN2840" s="72"/>
      <c r="AQ2840" s="72"/>
      <c r="AT2840" s="72"/>
      <c r="AW2840" s="72"/>
      <c r="AZ2840" s="72"/>
    </row>
    <row r="2841" spans="1:52">
      <c r="A2841" s="131"/>
      <c r="B2841" s="72"/>
      <c r="D2841" s="72"/>
      <c r="G2841" s="72"/>
      <c r="J2841" s="72"/>
      <c r="M2841" s="72"/>
      <c r="P2841" s="72"/>
      <c r="S2841" s="72"/>
      <c r="V2841" s="72"/>
      <c r="Y2841" s="72"/>
      <c r="AB2841" s="72"/>
      <c r="AE2841" s="72"/>
      <c r="AH2841" s="72"/>
      <c r="AK2841" s="72"/>
      <c r="AN2841" s="72"/>
      <c r="AQ2841" s="72"/>
      <c r="AT2841" s="72"/>
      <c r="AW2841" s="72"/>
      <c r="AZ2841" s="72"/>
    </row>
    <row r="2842" spans="1:52">
      <c r="A2842" s="131"/>
      <c r="B2842" s="72"/>
      <c r="D2842" s="72"/>
      <c r="G2842" s="72"/>
      <c r="J2842" s="72"/>
      <c r="M2842" s="72"/>
      <c r="P2842" s="72"/>
      <c r="S2842" s="72"/>
      <c r="V2842" s="72"/>
      <c r="Y2842" s="72"/>
      <c r="AB2842" s="72"/>
      <c r="AE2842" s="72"/>
      <c r="AH2842" s="72"/>
      <c r="AK2842" s="72"/>
      <c r="AN2842" s="72"/>
      <c r="AQ2842" s="72"/>
      <c r="AT2842" s="72"/>
      <c r="AW2842" s="72"/>
      <c r="AZ2842" s="72"/>
    </row>
    <row r="2843" spans="1:52">
      <c r="A2843" s="131"/>
      <c r="B2843" s="72"/>
      <c r="D2843" s="72"/>
      <c r="G2843" s="72"/>
      <c r="J2843" s="72"/>
      <c r="M2843" s="72"/>
      <c r="P2843" s="72"/>
      <c r="S2843" s="72"/>
      <c r="V2843" s="72"/>
      <c r="Y2843" s="72"/>
      <c r="AB2843" s="72"/>
      <c r="AE2843" s="72"/>
      <c r="AH2843" s="72"/>
      <c r="AK2843" s="72"/>
      <c r="AN2843" s="72"/>
      <c r="AQ2843" s="72"/>
      <c r="AT2843" s="72"/>
      <c r="AW2843" s="72"/>
      <c r="AZ2843" s="72"/>
    </row>
    <row r="2844" spans="1:52">
      <c r="A2844" s="131"/>
      <c r="B2844" s="72"/>
      <c r="D2844" s="72"/>
      <c r="G2844" s="72"/>
      <c r="J2844" s="72"/>
      <c r="M2844" s="72"/>
      <c r="P2844" s="72"/>
      <c r="S2844" s="72"/>
      <c r="V2844" s="72"/>
      <c r="Y2844" s="72"/>
      <c r="AB2844" s="72"/>
      <c r="AE2844" s="72"/>
      <c r="AH2844" s="72"/>
      <c r="AK2844" s="72"/>
      <c r="AN2844" s="72"/>
      <c r="AQ2844" s="72"/>
      <c r="AT2844" s="72"/>
      <c r="AW2844" s="72"/>
      <c r="AZ2844" s="72"/>
    </row>
    <row r="2845" spans="1:52">
      <c r="A2845" s="131"/>
      <c r="B2845" s="72"/>
      <c r="D2845" s="72"/>
      <c r="G2845" s="72"/>
      <c r="J2845" s="72"/>
      <c r="M2845" s="72"/>
      <c r="P2845" s="72"/>
      <c r="S2845" s="72"/>
      <c r="V2845" s="72"/>
      <c r="Y2845" s="72"/>
      <c r="AB2845" s="72"/>
      <c r="AE2845" s="72"/>
      <c r="AH2845" s="72"/>
      <c r="AK2845" s="72"/>
      <c r="AN2845" s="72"/>
      <c r="AQ2845" s="72"/>
      <c r="AT2845" s="72"/>
      <c r="AW2845" s="72"/>
      <c r="AZ2845" s="72"/>
    </row>
    <row r="2846" spans="1:52">
      <c r="A2846" s="131"/>
      <c r="B2846" s="72"/>
      <c r="D2846" s="72"/>
      <c r="G2846" s="72"/>
      <c r="J2846" s="72"/>
      <c r="M2846" s="72"/>
      <c r="P2846" s="72"/>
      <c r="S2846" s="72"/>
      <c r="V2846" s="72"/>
      <c r="Y2846" s="72"/>
      <c r="AB2846" s="72"/>
      <c r="AE2846" s="72"/>
      <c r="AH2846" s="72"/>
      <c r="AK2846" s="72"/>
      <c r="AN2846" s="72"/>
      <c r="AQ2846" s="72"/>
      <c r="AT2846" s="72"/>
      <c r="AW2846" s="72"/>
      <c r="AZ2846" s="72"/>
    </row>
    <row r="2847" spans="1:52">
      <c r="A2847" s="131"/>
      <c r="B2847" s="72"/>
      <c r="D2847" s="72"/>
      <c r="G2847" s="72"/>
      <c r="J2847" s="72"/>
      <c r="M2847" s="72"/>
      <c r="P2847" s="72"/>
      <c r="S2847" s="72"/>
      <c r="V2847" s="72"/>
      <c r="Y2847" s="72"/>
      <c r="AB2847" s="72"/>
      <c r="AE2847" s="72"/>
      <c r="AH2847" s="72"/>
      <c r="AK2847" s="72"/>
      <c r="AN2847" s="72"/>
      <c r="AQ2847" s="72"/>
      <c r="AT2847" s="72"/>
      <c r="AW2847" s="72"/>
      <c r="AZ2847" s="72"/>
    </row>
    <row r="2848" spans="1:52">
      <c r="A2848" s="131"/>
      <c r="B2848" s="72"/>
      <c r="D2848" s="72"/>
      <c r="G2848" s="72"/>
      <c r="J2848" s="72"/>
      <c r="M2848" s="72"/>
      <c r="P2848" s="72"/>
      <c r="S2848" s="72"/>
      <c r="V2848" s="72"/>
      <c r="Y2848" s="72"/>
      <c r="AB2848" s="72"/>
      <c r="AE2848" s="72"/>
      <c r="AH2848" s="72"/>
      <c r="AK2848" s="72"/>
      <c r="AN2848" s="72"/>
      <c r="AQ2848" s="72"/>
      <c r="AT2848" s="72"/>
      <c r="AW2848" s="72"/>
      <c r="AZ2848" s="72"/>
    </row>
    <row r="2849" spans="1:52">
      <c r="A2849" s="131"/>
      <c r="B2849" s="72"/>
      <c r="D2849" s="72"/>
      <c r="G2849" s="72"/>
      <c r="J2849" s="72"/>
      <c r="M2849" s="72"/>
      <c r="P2849" s="72"/>
      <c r="S2849" s="72"/>
      <c r="V2849" s="72"/>
      <c r="Y2849" s="72"/>
      <c r="AB2849" s="72"/>
      <c r="AE2849" s="72"/>
      <c r="AH2849" s="72"/>
      <c r="AK2849" s="72"/>
      <c r="AN2849" s="72"/>
      <c r="AQ2849" s="72"/>
      <c r="AT2849" s="72"/>
      <c r="AW2849" s="72"/>
      <c r="AZ2849" s="72"/>
    </row>
    <row r="2850" spans="1:52">
      <c r="A2850" s="131"/>
      <c r="B2850" s="72"/>
      <c r="D2850" s="72"/>
      <c r="G2850" s="72"/>
      <c r="J2850" s="72"/>
      <c r="M2850" s="72"/>
      <c r="P2850" s="72"/>
      <c r="S2850" s="72"/>
      <c r="V2850" s="72"/>
      <c r="Y2850" s="72"/>
      <c r="AB2850" s="72"/>
      <c r="AE2850" s="72"/>
      <c r="AH2850" s="72"/>
      <c r="AK2850" s="72"/>
      <c r="AN2850" s="72"/>
      <c r="AQ2850" s="72"/>
      <c r="AT2850" s="72"/>
      <c r="AW2850" s="72"/>
      <c r="AZ2850" s="72"/>
    </row>
    <row r="2851" spans="1:52">
      <c r="A2851" s="131"/>
      <c r="B2851" s="72"/>
      <c r="D2851" s="72"/>
      <c r="G2851" s="72"/>
      <c r="J2851" s="72"/>
      <c r="M2851" s="72"/>
      <c r="P2851" s="72"/>
      <c r="S2851" s="72"/>
      <c r="V2851" s="72"/>
      <c r="Y2851" s="72"/>
      <c r="AB2851" s="72"/>
      <c r="AE2851" s="72"/>
      <c r="AH2851" s="72"/>
      <c r="AK2851" s="72"/>
      <c r="AN2851" s="72"/>
      <c r="AQ2851" s="72"/>
      <c r="AT2851" s="72"/>
      <c r="AW2851" s="72"/>
      <c r="AZ2851" s="72"/>
    </row>
    <row r="2852" spans="1:52">
      <c r="A2852" s="131"/>
      <c r="B2852" s="72"/>
      <c r="D2852" s="72"/>
      <c r="G2852" s="72"/>
      <c r="J2852" s="72"/>
      <c r="M2852" s="72"/>
      <c r="P2852" s="72"/>
      <c r="S2852" s="72"/>
      <c r="V2852" s="72"/>
      <c r="Y2852" s="72"/>
      <c r="AB2852" s="72"/>
      <c r="AE2852" s="72"/>
      <c r="AH2852" s="72"/>
      <c r="AK2852" s="72"/>
      <c r="AN2852" s="72"/>
      <c r="AQ2852" s="72"/>
      <c r="AT2852" s="72"/>
      <c r="AW2852" s="72"/>
      <c r="AZ2852" s="72"/>
    </row>
    <row r="2853" spans="1:52">
      <c r="A2853" s="131"/>
      <c r="B2853" s="72"/>
      <c r="D2853" s="72"/>
      <c r="G2853" s="72"/>
      <c r="J2853" s="72"/>
      <c r="M2853" s="72"/>
      <c r="P2853" s="72"/>
      <c r="S2853" s="72"/>
      <c r="V2853" s="72"/>
      <c r="Y2853" s="72"/>
      <c r="AB2853" s="72"/>
      <c r="AE2853" s="72"/>
      <c r="AH2853" s="72"/>
      <c r="AK2853" s="72"/>
      <c r="AN2853" s="72"/>
      <c r="AQ2853" s="72"/>
      <c r="AT2853" s="72"/>
      <c r="AW2853" s="72"/>
      <c r="AZ2853" s="72"/>
    </row>
    <row r="2854" spans="1:52">
      <c r="A2854" s="131"/>
      <c r="B2854" s="72"/>
      <c r="D2854" s="72"/>
      <c r="G2854" s="72"/>
      <c r="J2854" s="72"/>
      <c r="M2854" s="72"/>
      <c r="P2854" s="72"/>
      <c r="S2854" s="72"/>
      <c r="V2854" s="72"/>
      <c r="Y2854" s="72"/>
      <c r="AB2854" s="72"/>
      <c r="AE2854" s="72"/>
      <c r="AH2854" s="72"/>
      <c r="AK2854" s="72"/>
      <c r="AN2854" s="72"/>
      <c r="AQ2854" s="72"/>
      <c r="AT2854" s="72"/>
      <c r="AW2854" s="72"/>
      <c r="AZ2854" s="72"/>
    </row>
    <row r="2855" spans="1:52">
      <c r="A2855" s="131"/>
      <c r="B2855" s="72"/>
      <c r="D2855" s="72"/>
      <c r="G2855" s="72"/>
      <c r="J2855" s="72"/>
      <c r="M2855" s="72"/>
      <c r="P2855" s="72"/>
      <c r="S2855" s="72"/>
      <c r="V2855" s="72"/>
      <c r="Y2855" s="72"/>
      <c r="AB2855" s="72"/>
      <c r="AE2855" s="72"/>
      <c r="AH2855" s="72"/>
      <c r="AK2855" s="72"/>
      <c r="AN2855" s="72"/>
      <c r="AQ2855" s="72"/>
      <c r="AT2855" s="72"/>
      <c r="AW2855" s="72"/>
      <c r="AZ2855" s="72"/>
    </row>
    <row r="2856" spans="1:52">
      <c r="A2856" s="131"/>
      <c r="B2856" s="72"/>
      <c r="D2856" s="72"/>
      <c r="G2856" s="72"/>
      <c r="J2856" s="72"/>
      <c r="M2856" s="72"/>
      <c r="P2856" s="72"/>
      <c r="S2856" s="72"/>
      <c r="V2856" s="72"/>
      <c r="Y2856" s="72"/>
      <c r="AB2856" s="72"/>
      <c r="AE2856" s="72"/>
      <c r="AH2856" s="72"/>
      <c r="AK2856" s="72"/>
      <c r="AN2856" s="72"/>
      <c r="AQ2856" s="72"/>
      <c r="AT2856" s="72"/>
      <c r="AW2856" s="72"/>
      <c r="AZ2856" s="72"/>
    </row>
    <row r="2857" spans="1:52">
      <c r="A2857" s="131"/>
      <c r="B2857" s="72"/>
      <c r="D2857" s="72"/>
      <c r="G2857" s="72"/>
      <c r="J2857" s="72"/>
      <c r="M2857" s="72"/>
      <c r="P2857" s="72"/>
      <c r="S2857" s="72"/>
      <c r="V2857" s="72"/>
      <c r="Y2857" s="72"/>
      <c r="AB2857" s="72"/>
      <c r="AE2857" s="72"/>
      <c r="AH2857" s="72"/>
      <c r="AK2857" s="72"/>
      <c r="AN2857" s="72"/>
      <c r="AQ2857" s="72"/>
      <c r="AT2857" s="72"/>
      <c r="AW2857" s="72"/>
      <c r="AZ2857" s="72"/>
    </row>
    <row r="2858" spans="1:52">
      <c r="A2858" s="131"/>
      <c r="B2858" s="72"/>
      <c r="D2858" s="72"/>
      <c r="G2858" s="72"/>
      <c r="J2858" s="72"/>
      <c r="M2858" s="72"/>
      <c r="P2858" s="72"/>
      <c r="S2858" s="72"/>
      <c r="V2858" s="72"/>
      <c r="Y2858" s="72"/>
      <c r="AB2858" s="72"/>
      <c r="AE2858" s="72"/>
      <c r="AH2858" s="72"/>
      <c r="AK2858" s="72"/>
      <c r="AN2858" s="72"/>
      <c r="AQ2858" s="72"/>
      <c r="AT2858" s="72"/>
      <c r="AW2858" s="72"/>
      <c r="AZ2858" s="72"/>
    </row>
    <row r="2859" spans="1:52">
      <c r="A2859" s="131"/>
      <c r="B2859" s="72"/>
      <c r="D2859" s="72"/>
      <c r="G2859" s="72"/>
      <c r="J2859" s="72"/>
      <c r="M2859" s="72"/>
      <c r="P2859" s="72"/>
      <c r="S2859" s="72"/>
      <c r="V2859" s="72"/>
      <c r="Y2859" s="72"/>
      <c r="AB2859" s="72"/>
      <c r="AE2859" s="72"/>
      <c r="AH2859" s="72"/>
      <c r="AK2859" s="72"/>
      <c r="AN2859" s="72"/>
      <c r="AQ2859" s="72"/>
      <c r="AT2859" s="72"/>
      <c r="AW2859" s="72"/>
      <c r="AZ2859" s="72"/>
    </row>
    <row r="2860" spans="1:52">
      <c r="A2860" s="131"/>
      <c r="B2860" s="72"/>
      <c r="D2860" s="72"/>
      <c r="G2860" s="72"/>
      <c r="J2860" s="72"/>
      <c r="M2860" s="72"/>
      <c r="P2860" s="72"/>
      <c r="S2860" s="72"/>
      <c r="V2860" s="72"/>
      <c r="Y2860" s="72"/>
      <c r="AB2860" s="72"/>
      <c r="AE2860" s="72"/>
      <c r="AH2860" s="72"/>
      <c r="AK2860" s="72"/>
      <c r="AN2860" s="72"/>
      <c r="AQ2860" s="72"/>
      <c r="AT2860" s="72"/>
      <c r="AW2860" s="72"/>
      <c r="AZ2860" s="72"/>
    </row>
    <row r="2861" spans="1:52">
      <c r="A2861" s="131"/>
      <c r="B2861" s="72"/>
      <c r="D2861" s="72"/>
      <c r="G2861" s="72"/>
      <c r="J2861" s="72"/>
      <c r="M2861" s="72"/>
      <c r="P2861" s="72"/>
      <c r="S2861" s="72"/>
      <c r="V2861" s="72"/>
      <c r="Y2861" s="72"/>
      <c r="AB2861" s="72"/>
      <c r="AE2861" s="72"/>
      <c r="AH2861" s="72"/>
      <c r="AK2861" s="72"/>
      <c r="AN2861" s="72"/>
      <c r="AQ2861" s="72"/>
      <c r="AT2861" s="72"/>
      <c r="AW2861" s="72"/>
      <c r="AZ2861" s="72"/>
    </row>
    <row r="2862" spans="1:52">
      <c r="A2862" s="131"/>
      <c r="B2862" s="72"/>
      <c r="D2862" s="72"/>
      <c r="G2862" s="72"/>
      <c r="J2862" s="72"/>
      <c r="M2862" s="72"/>
      <c r="P2862" s="72"/>
      <c r="S2862" s="72"/>
      <c r="V2862" s="72"/>
      <c r="Y2862" s="72"/>
      <c r="AB2862" s="72"/>
      <c r="AE2862" s="72"/>
      <c r="AH2862" s="72"/>
      <c r="AK2862" s="72"/>
      <c r="AN2862" s="72"/>
      <c r="AQ2862" s="72"/>
      <c r="AT2862" s="72"/>
      <c r="AW2862" s="72"/>
      <c r="AZ2862" s="72"/>
    </row>
    <row r="2863" spans="1:52">
      <c r="A2863" s="131"/>
      <c r="B2863" s="72"/>
      <c r="D2863" s="72"/>
      <c r="G2863" s="72"/>
      <c r="J2863" s="72"/>
      <c r="M2863" s="72"/>
      <c r="P2863" s="72"/>
      <c r="S2863" s="72"/>
      <c r="V2863" s="72"/>
      <c r="Y2863" s="72"/>
      <c r="AB2863" s="72"/>
      <c r="AE2863" s="72"/>
      <c r="AH2863" s="72"/>
      <c r="AK2863" s="72"/>
      <c r="AN2863" s="72"/>
      <c r="AQ2863" s="72"/>
      <c r="AT2863" s="72"/>
      <c r="AW2863" s="72"/>
      <c r="AZ2863" s="72"/>
    </row>
    <row r="2864" spans="1:52">
      <c r="A2864" s="131"/>
      <c r="B2864" s="72"/>
      <c r="D2864" s="72"/>
      <c r="G2864" s="72"/>
      <c r="J2864" s="72"/>
      <c r="M2864" s="72"/>
      <c r="P2864" s="72"/>
      <c r="S2864" s="72"/>
      <c r="V2864" s="72"/>
      <c r="Y2864" s="72"/>
      <c r="AB2864" s="72"/>
      <c r="AE2864" s="72"/>
      <c r="AH2864" s="72"/>
      <c r="AK2864" s="72"/>
      <c r="AN2864" s="72"/>
      <c r="AQ2864" s="72"/>
      <c r="AT2864" s="72"/>
      <c r="AW2864" s="72"/>
      <c r="AZ2864" s="72"/>
    </row>
    <row r="2865" spans="1:52">
      <c r="A2865" s="131"/>
      <c r="B2865" s="72"/>
      <c r="D2865" s="72"/>
      <c r="G2865" s="72"/>
      <c r="J2865" s="72"/>
      <c r="M2865" s="72"/>
      <c r="P2865" s="72"/>
      <c r="S2865" s="72"/>
      <c r="V2865" s="72"/>
      <c r="Y2865" s="72"/>
      <c r="AB2865" s="72"/>
      <c r="AE2865" s="72"/>
      <c r="AH2865" s="72"/>
      <c r="AK2865" s="72"/>
      <c r="AN2865" s="72"/>
      <c r="AQ2865" s="72"/>
      <c r="AT2865" s="72"/>
      <c r="AW2865" s="72"/>
      <c r="AZ2865" s="72"/>
    </row>
    <row r="2866" spans="1:52">
      <c r="A2866" s="131"/>
      <c r="B2866" s="72"/>
      <c r="D2866" s="72"/>
      <c r="G2866" s="72"/>
      <c r="J2866" s="72"/>
      <c r="M2866" s="72"/>
      <c r="P2866" s="72"/>
      <c r="S2866" s="72"/>
      <c r="V2866" s="72"/>
      <c r="Y2866" s="72"/>
      <c r="AB2866" s="72"/>
      <c r="AE2866" s="72"/>
      <c r="AH2866" s="72"/>
      <c r="AK2866" s="72"/>
      <c r="AN2866" s="72"/>
      <c r="AQ2866" s="72"/>
      <c r="AT2866" s="72"/>
      <c r="AW2866" s="72"/>
      <c r="AZ2866" s="72"/>
    </row>
    <row r="2867" spans="1:52">
      <c r="A2867" s="131"/>
      <c r="B2867" s="72"/>
      <c r="D2867" s="72"/>
      <c r="G2867" s="72"/>
      <c r="J2867" s="72"/>
      <c r="M2867" s="72"/>
      <c r="P2867" s="72"/>
      <c r="S2867" s="72"/>
      <c r="V2867" s="72"/>
      <c r="Y2867" s="72"/>
      <c r="AB2867" s="72"/>
      <c r="AE2867" s="72"/>
      <c r="AH2867" s="72"/>
      <c r="AK2867" s="72"/>
      <c r="AN2867" s="72"/>
      <c r="AQ2867" s="72"/>
      <c r="AT2867" s="72"/>
      <c r="AW2867" s="72"/>
      <c r="AZ2867" s="72"/>
    </row>
    <row r="2868" spans="1:52">
      <c r="A2868" s="131"/>
      <c r="B2868" s="72"/>
      <c r="D2868" s="72"/>
      <c r="G2868" s="72"/>
      <c r="J2868" s="72"/>
      <c r="M2868" s="72"/>
      <c r="P2868" s="72"/>
      <c r="S2868" s="72"/>
      <c r="V2868" s="72"/>
      <c r="Y2868" s="72"/>
      <c r="AB2868" s="72"/>
      <c r="AE2868" s="72"/>
      <c r="AH2868" s="72"/>
      <c r="AK2868" s="72"/>
      <c r="AN2868" s="72"/>
      <c r="AQ2868" s="72"/>
      <c r="AT2868" s="72"/>
      <c r="AW2868" s="72"/>
      <c r="AZ2868" s="72"/>
    </row>
    <row r="2869" spans="1:52">
      <c r="A2869" s="131"/>
      <c r="B2869" s="72"/>
      <c r="D2869" s="72"/>
      <c r="G2869" s="72"/>
      <c r="J2869" s="72"/>
      <c r="M2869" s="72"/>
      <c r="P2869" s="72"/>
      <c r="S2869" s="72"/>
      <c r="V2869" s="72"/>
      <c r="Y2869" s="72"/>
      <c r="AB2869" s="72"/>
      <c r="AE2869" s="72"/>
      <c r="AH2869" s="72"/>
      <c r="AK2869" s="72"/>
      <c r="AN2869" s="72"/>
      <c r="AQ2869" s="72"/>
      <c r="AT2869" s="72"/>
      <c r="AW2869" s="72"/>
      <c r="AZ2869" s="72"/>
    </row>
    <row r="2870" spans="1:52">
      <c r="A2870" s="131"/>
      <c r="B2870" s="72"/>
      <c r="D2870" s="72"/>
      <c r="G2870" s="72"/>
      <c r="J2870" s="72"/>
      <c r="M2870" s="72"/>
      <c r="P2870" s="72"/>
      <c r="S2870" s="72"/>
      <c r="V2870" s="72"/>
      <c r="Y2870" s="72"/>
      <c r="AB2870" s="72"/>
      <c r="AE2870" s="72"/>
      <c r="AH2870" s="72"/>
      <c r="AK2870" s="72"/>
      <c r="AN2870" s="72"/>
      <c r="AQ2870" s="72"/>
      <c r="AT2870" s="72"/>
      <c r="AW2870" s="72"/>
      <c r="AZ2870" s="72"/>
    </row>
    <row r="2871" spans="1:52">
      <c r="A2871" s="131"/>
      <c r="B2871" s="72"/>
      <c r="D2871" s="72"/>
      <c r="G2871" s="72"/>
      <c r="J2871" s="72"/>
      <c r="M2871" s="72"/>
      <c r="P2871" s="72"/>
      <c r="S2871" s="72"/>
      <c r="V2871" s="72"/>
      <c r="Y2871" s="72"/>
      <c r="AB2871" s="72"/>
      <c r="AE2871" s="72"/>
      <c r="AH2871" s="72"/>
      <c r="AK2871" s="72"/>
      <c r="AN2871" s="72"/>
      <c r="AQ2871" s="72"/>
      <c r="AT2871" s="72"/>
      <c r="AW2871" s="72"/>
      <c r="AZ2871" s="72"/>
    </row>
    <row r="2872" spans="1:52">
      <c r="A2872" s="131"/>
      <c r="B2872" s="72"/>
      <c r="D2872" s="72"/>
      <c r="G2872" s="72"/>
      <c r="J2872" s="72"/>
      <c r="M2872" s="72"/>
      <c r="P2872" s="72"/>
      <c r="S2872" s="72"/>
      <c r="V2872" s="72"/>
      <c r="Y2872" s="72"/>
      <c r="AB2872" s="72"/>
      <c r="AE2872" s="72"/>
      <c r="AH2872" s="72"/>
      <c r="AK2872" s="72"/>
      <c r="AN2872" s="72"/>
      <c r="AQ2872" s="72"/>
      <c r="AT2872" s="72"/>
      <c r="AW2872" s="72"/>
      <c r="AZ2872" s="72"/>
    </row>
    <row r="2873" spans="1:52">
      <c r="A2873" s="131"/>
      <c r="B2873" s="72"/>
      <c r="D2873" s="72"/>
      <c r="G2873" s="72"/>
      <c r="J2873" s="72"/>
      <c r="M2873" s="72"/>
      <c r="P2873" s="72"/>
      <c r="S2873" s="72"/>
      <c r="V2873" s="72"/>
      <c r="Y2873" s="72"/>
      <c r="AB2873" s="72"/>
      <c r="AE2873" s="72"/>
      <c r="AH2873" s="72"/>
      <c r="AK2873" s="72"/>
      <c r="AN2873" s="72"/>
      <c r="AQ2873" s="72"/>
      <c r="AT2873" s="72"/>
      <c r="AW2873" s="72"/>
      <c r="AZ2873" s="72"/>
    </row>
    <row r="2874" spans="1:52">
      <c r="A2874" s="131"/>
      <c r="B2874" s="72"/>
      <c r="D2874" s="72"/>
      <c r="G2874" s="72"/>
      <c r="J2874" s="72"/>
      <c r="M2874" s="72"/>
      <c r="P2874" s="72"/>
      <c r="S2874" s="72"/>
      <c r="V2874" s="72"/>
      <c r="Y2874" s="72"/>
      <c r="AB2874" s="72"/>
      <c r="AE2874" s="72"/>
      <c r="AH2874" s="72"/>
      <c r="AK2874" s="72"/>
      <c r="AN2874" s="72"/>
      <c r="AQ2874" s="72"/>
      <c r="AT2874" s="72"/>
      <c r="AW2874" s="72"/>
      <c r="AZ2874" s="72"/>
    </row>
    <row r="2875" spans="1:52">
      <c r="A2875" s="131"/>
      <c r="B2875" s="72"/>
      <c r="D2875" s="72"/>
      <c r="G2875" s="72"/>
      <c r="J2875" s="72"/>
      <c r="M2875" s="72"/>
      <c r="P2875" s="72"/>
      <c r="S2875" s="72"/>
      <c r="V2875" s="72"/>
      <c r="Y2875" s="72"/>
      <c r="AB2875" s="72"/>
      <c r="AE2875" s="72"/>
      <c r="AH2875" s="72"/>
      <c r="AK2875" s="72"/>
      <c r="AN2875" s="72"/>
      <c r="AQ2875" s="72"/>
      <c r="AT2875" s="72"/>
      <c r="AW2875" s="72"/>
      <c r="AZ2875" s="72"/>
    </row>
    <row r="2876" spans="1:52">
      <c r="A2876" s="131"/>
      <c r="B2876" s="72"/>
      <c r="D2876" s="72"/>
      <c r="G2876" s="72"/>
      <c r="J2876" s="72"/>
      <c r="M2876" s="72"/>
      <c r="P2876" s="72"/>
      <c r="S2876" s="72"/>
      <c r="V2876" s="72"/>
      <c r="Y2876" s="72"/>
      <c r="AB2876" s="72"/>
      <c r="AE2876" s="72"/>
      <c r="AH2876" s="72"/>
      <c r="AK2876" s="72"/>
      <c r="AN2876" s="72"/>
      <c r="AQ2876" s="72"/>
      <c r="AT2876" s="72"/>
      <c r="AW2876" s="72"/>
      <c r="AZ2876" s="72"/>
    </row>
    <row r="2877" spans="1:52">
      <c r="A2877" s="131"/>
      <c r="B2877" s="72"/>
      <c r="D2877" s="72"/>
      <c r="G2877" s="72"/>
      <c r="J2877" s="72"/>
      <c r="M2877" s="72"/>
      <c r="P2877" s="72"/>
      <c r="S2877" s="72"/>
      <c r="V2877" s="72"/>
      <c r="Y2877" s="72"/>
      <c r="AB2877" s="72"/>
      <c r="AE2877" s="72"/>
      <c r="AH2877" s="72"/>
      <c r="AK2877" s="72"/>
      <c r="AN2877" s="72"/>
      <c r="AQ2877" s="72"/>
      <c r="AT2877" s="72"/>
      <c r="AW2877" s="72"/>
      <c r="AZ2877" s="72"/>
    </row>
    <row r="2878" spans="1:52">
      <c r="A2878" s="131"/>
      <c r="B2878" s="72"/>
      <c r="D2878" s="72"/>
      <c r="G2878" s="72"/>
      <c r="J2878" s="72"/>
      <c r="M2878" s="72"/>
      <c r="P2878" s="72"/>
      <c r="S2878" s="72"/>
      <c r="V2878" s="72"/>
      <c r="Y2878" s="72"/>
      <c r="AB2878" s="72"/>
      <c r="AE2878" s="72"/>
      <c r="AH2878" s="72"/>
      <c r="AK2878" s="72"/>
      <c r="AN2878" s="72"/>
      <c r="AQ2878" s="72"/>
      <c r="AT2878" s="72"/>
      <c r="AW2878" s="72"/>
      <c r="AZ2878" s="72"/>
    </row>
    <row r="2879" spans="1:52">
      <c r="A2879" s="131"/>
      <c r="B2879" s="72"/>
      <c r="D2879" s="72"/>
      <c r="G2879" s="72"/>
      <c r="J2879" s="72"/>
      <c r="M2879" s="72"/>
      <c r="P2879" s="72"/>
      <c r="S2879" s="72"/>
      <c r="V2879" s="72"/>
      <c r="Y2879" s="72"/>
      <c r="AB2879" s="72"/>
      <c r="AE2879" s="72"/>
      <c r="AH2879" s="72"/>
      <c r="AK2879" s="72"/>
      <c r="AN2879" s="72"/>
      <c r="AQ2879" s="72"/>
      <c r="AT2879" s="72"/>
      <c r="AW2879" s="72"/>
      <c r="AZ2879" s="72"/>
    </row>
    <row r="2880" spans="1:52">
      <c r="A2880" s="131"/>
      <c r="B2880" s="72"/>
      <c r="D2880" s="72"/>
      <c r="G2880" s="72"/>
      <c r="J2880" s="72"/>
      <c r="M2880" s="72"/>
      <c r="P2880" s="72"/>
      <c r="S2880" s="72"/>
      <c r="V2880" s="72"/>
      <c r="Y2880" s="72"/>
      <c r="AB2880" s="72"/>
      <c r="AE2880" s="72"/>
      <c r="AH2880" s="72"/>
      <c r="AK2880" s="72"/>
      <c r="AN2880" s="72"/>
      <c r="AQ2880" s="72"/>
      <c r="AT2880" s="72"/>
      <c r="AW2880" s="72"/>
      <c r="AZ2880" s="72"/>
    </row>
    <row r="2881" spans="1:52">
      <c r="A2881" s="131"/>
      <c r="B2881" s="72"/>
      <c r="D2881" s="72"/>
      <c r="G2881" s="72"/>
      <c r="J2881" s="72"/>
      <c r="M2881" s="72"/>
      <c r="P2881" s="72"/>
      <c r="S2881" s="72"/>
      <c r="V2881" s="72"/>
      <c r="Y2881" s="72"/>
      <c r="AB2881" s="72"/>
      <c r="AE2881" s="72"/>
      <c r="AH2881" s="72"/>
      <c r="AK2881" s="72"/>
      <c r="AN2881" s="72"/>
      <c r="AQ2881" s="72"/>
      <c r="AT2881" s="72"/>
      <c r="AW2881" s="72"/>
      <c r="AZ2881" s="72"/>
    </row>
    <row r="2882" spans="1:52">
      <c r="A2882" s="131"/>
      <c r="B2882" s="72"/>
      <c r="D2882" s="72"/>
      <c r="G2882" s="72"/>
      <c r="J2882" s="72"/>
      <c r="M2882" s="72"/>
      <c r="P2882" s="72"/>
      <c r="S2882" s="72"/>
      <c r="V2882" s="72"/>
      <c r="Y2882" s="72"/>
      <c r="AB2882" s="72"/>
      <c r="AE2882" s="72"/>
      <c r="AH2882" s="72"/>
      <c r="AK2882" s="72"/>
      <c r="AN2882" s="72"/>
      <c r="AQ2882" s="72"/>
      <c r="AT2882" s="72"/>
      <c r="AW2882" s="72"/>
      <c r="AZ2882" s="72"/>
    </row>
    <row r="2883" spans="1:52">
      <c r="A2883" s="131"/>
      <c r="B2883" s="72"/>
      <c r="D2883" s="72"/>
      <c r="G2883" s="72"/>
      <c r="J2883" s="72"/>
      <c r="M2883" s="72"/>
      <c r="P2883" s="72"/>
      <c r="S2883" s="72"/>
      <c r="V2883" s="72"/>
      <c r="Y2883" s="72"/>
      <c r="AB2883" s="72"/>
      <c r="AE2883" s="72"/>
      <c r="AH2883" s="72"/>
      <c r="AK2883" s="72"/>
      <c r="AN2883" s="72"/>
      <c r="AQ2883" s="72"/>
      <c r="AT2883" s="72"/>
      <c r="AW2883" s="72"/>
      <c r="AZ2883" s="72"/>
    </row>
    <row r="2884" spans="1:52">
      <c r="A2884" s="131"/>
      <c r="B2884" s="72"/>
      <c r="D2884" s="72"/>
      <c r="G2884" s="72"/>
      <c r="J2884" s="72"/>
      <c r="M2884" s="72"/>
      <c r="P2884" s="72"/>
      <c r="S2884" s="72"/>
      <c r="V2884" s="72"/>
      <c r="Y2884" s="72"/>
      <c r="AB2884" s="72"/>
      <c r="AE2884" s="72"/>
      <c r="AH2884" s="72"/>
      <c r="AK2884" s="72"/>
      <c r="AN2884" s="72"/>
      <c r="AQ2884" s="72"/>
      <c r="AT2884" s="72"/>
      <c r="AW2884" s="72"/>
      <c r="AZ2884" s="72"/>
    </row>
    <row r="2885" spans="1:52">
      <c r="A2885" s="131"/>
      <c r="B2885" s="72"/>
      <c r="D2885" s="72"/>
      <c r="G2885" s="72"/>
      <c r="J2885" s="72"/>
      <c r="M2885" s="72"/>
      <c r="P2885" s="72"/>
      <c r="S2885" s="72"/>
      <c r="V2885" s="72"/>
      <c r="Y2885" s="72"/>
      <c r="AB2885" s="72"/>
      <c r="AE2885" s="72"/>
      <c r="AH2885" s="72"/>
      <c r="AK2885" s="72"/>
      <c r="AN2885" s="72"/>
      <c r="AQ2885" s="72"/>
      <c r="AT2885" s="72"/>
      <c r="AW2885" s="72"/>
      <c r="AZ2885" s="72"/>
    </row>
    <row r="2886" spans="1:52">
      <c r="A2886" s="131"/>
      <c r="B2886" s="72"/>
      <c r="D2886" s="72"/>
      <c r="G2886" s="72"/>
      <c r="J2886" s="72"/>
      <c r="M2886" s="72"/>
      <c r="P2886" s="72"/>
      <c r="S2886" s="72"/>
      <c r="V2886" s="72"/>
      <c r="Y2886" s="72"/>
      <c r="AB2886" s="72"/>
      <c r="AE2886" s="72"/>
      <c r="AH2886" s="72"/>
      <c r="AK2886" s="72"/>
      <c r="AN2886" s="72"/>
      <c r="AQ2886" s="72"/>
      <c r="AT2886" s="72"/>
      <c r="AW2886" s="72"/>
      <c r="AZ2886" s="72"/>
    </row>
    <row r="2887" spans="1:52">
      <c r="A2887" s="131"/>
      <c r="B2887" s="72"/>
      <c r="D2887" s="72"/>
      <c r="G2887" s="72"/>
      <c r="J2887" s="72"/>
      <c r="M2887" s="72"/>
      <c r="P2887" s="72"/>
      <c r="S2887" s="72"/>
      <c r="V2887" s="72"/>
      <c r="Y2887" s="72"/>
      <c r="AB2887" s="72"/>
      <c r="AE2887" s="72"/>
      <c r="AH2887" s="72"/>
      <c r="AK2887" s="72"/>
      <c r="AN2887" s="72"/>
      <c r="AQ2887" s="72"/>
      <c r="AT2887" s="72"/>
      <c r="AW2887" s="72"/>
      <c r="AZ2887" s="72"/>
    </row>
    <row r="2888" spans="1:52">
      <c r="A2888" s="131"/>
      <c r="B2888" s="72"/>
      <c r="D2888" s="72"/>
      <c r="G2888" s="72"/>
      <c r="J2888" s="72"/>
      <c r="M2888" s="72"/>
      <c r="P2888" s="72"/>
      <c r="S2888" s="72"/>
      <c r="V2888" s="72"/>
      <c r="Y2888" s="72"/>
      <c r="AB2888" s="72"/>
      <c r="AE2888" s="72"/>
      <c r="AH2888" s="72"/>
      <c r="AK2888" s="72"/>
      <c r="AN2888" s="72"/>
      <c r="AQ2888" s="72"/>
      <c r="AT2888" s="72"/>
      <c r="AW2888" s="72"/>
      <c r="AZ2888" s="72"/>
    </row>
    <row r="2889" spans="1:52">
      <c r="A2889" s="131"/>
      <c r="B2889" s="72"/>
      <c r="D2889" s="72"/>
      <c r="G2889" s="72"/>
      <c r="J2889" s="72"/>
      <c r="M2889" s="72"/>
      <c r="P2889" s="72"/>
      <c r="S2889" s="72"/>
      <c r="V2889" s="72"/>
      <c r="Y2889" s="72"/>
      <c r="AB2889" s="72"/>
      <c r="AE2889" s="72"/>
      <c r="AH2889" s="72"/>
      <c r="AK2889" s="72"/>
      <c r="AN2889" s="72"/>
      <c r="AQ2889" s="72"/>
      <c r="AT2889" s="72"/>
      <c r="AW2889" s="72"/>
      <c r="AZ2889" s="72"/>
    </row>
    <row r="2890" spans="1:52">
      <c r="A2890" s="131"/>
      <c r="B2890" s="72"/>
      <c r="D2890" s="72"/>
      <c r="G2890" s="72"/>
      <c r="J2890" s="72"/>
      <c r="M2890" s="72"/>
      <c r="P2890" s="72"/>
      <c r="S2890" s="72"/>
      <c r="V2890" s="72"/>
      <c r="Y2890" s="72"/>
      <c r="AB2890" s="72"/>
      <c r="AE2890" s="72"/>
      <c r="AH2890" s="72"/>
      <c r="AK2890" s="72"/>
      <c r="AN2890" s="72"/>
      <c r="AQ2890" s="72"/>
      <c r="AT2890" s="72"/>
      <c r="AW2890" s="72"/>
      <c r="AZ2890" s="72"/>
    </row>
    <row r="2891" spans="1:52">
      <c r="A2891" s="131"/>
      <c r="B2891" s="72"/>
      <c r="D2891" s="72"/>
      <c r="G2891" s="72"/>
      <c r="J2891" s="72"/>
      <c r="M2891" s="72"/>
      <c r="P2891" s="72"/>
      <c r="S2891" s="72"/>
      <c r="V2891" s="72"/>
      <c r="Y2891" s="72"/>
      <c r="AB2891" s="72"/>
      <c r="AE2891" s="72"/>
      <c r="AH2891" s="72"/>
      <c r="AK2891" s="72"/>
      <c r="AN2891" s="72"/>
      <c r="AQ2891" s="72"/>
      <c r="AT2891" s="72"/>
      <c r="AW2891" s="72"/>
      <c r="AZ2891" s="72"/>
    </row>
    <row r="2892" spans="1:52">
      <c r="A2892" s="131"/>
      <c r="B2892" s="72"/>
      <c r="D2892" s="72"/>
      <c r="G2892" s="72"/>
      <c r="J2892" s="72"/>
      <c r="M2892" s="72"/>
      <c r="P2892" s="72"/>
      <c r="S2892" s="72"/>
      <c r="V2892" s="72"/>
      <c r="Y2892" s="72"/>
      <c r="AB2892" s="72"/>
      <c r="AE2892" s="72"/>
      <c r="AH2892" s="72"/>
      <c r="AK2892" s="72"/>
      <c r="AN2892" s="72"/>
      <c r="AQ2892" s="72"/>
      <c r="AT2892" s="72"/>
      <c r="AW2892" s="72"/>
      <c r="AZ2892" s="72"/>
    </row>
    <row r="2893" spans="1:52">
      <c r="A2893" s="131"/>
      <c r="B2893" s="72"/>
      <c r="D2893" s="72"/>
      <c r="G2893" s="72"/>
      <c r="J2893" s="72"/>
      <c r="M2893" s="72"/>
      <c r="P2893" s="72"/>
      <c r="S2893" s="72"/>
      <c r="V2893" s="72"/>
      <c r="Y2893" s="72"/>
      <c r="AB2893" s="72"/>
      <c r="AE2893" s="72"/>
      <c r="AH2893" s="72"/>
      <c r="AK2893" s="72"/>
      <c r="AN2893" s="72"/>
      <c r="AQ2893" s="72"/>
      <c r="AT2893" s="72"/>
      <c r="AW2893" s="72"/>
      <c r="AZ2893" s="72"/>
    </row>
    <row r="2894" spans="1:52">
      <c r="A2894" s="131"/>
      <c r="B2894" s="72"/>
      <c r="D2894" s="72"/>
      <c r="G2894" s="72"/>
      <c r="J2894" s="72"/>
      <c r="M2894" s="72"/>
      <c r="P2894" s="72"/>
      <c r="S2894" s="72"/>
      <c r="V2894" s="72"/>
      <c r="Y2894" s="72"/>
      <c r="AB2894" s="72"/>
      <c r="AE2894" s="72"/>
      <c r="AH2894" s="72"/>
      <c r="AK2894" s="72"/>
      <c r="AN2894" s="72"/>
      <c r="AQ2894" s="72"/>
      <c r="AT2894" s="72"/>
      <c r="AW2894" s="72"/>
      <c r="AZ2894" s="72"/>
    </row>
    <row r="2895" spans="1:52">
      <c r="A2895" s="131"/>
      <c r="B2895" s="72"/>
      <c r="D2895" s="72"/>
      <c r="G2895" s="72"/>
      <c r="J2895" s="72"/>
      <c r="M2895" s="72"/>
      <c r="P2895" s="72"/>
      <c r="S2895" s="72"/>
      <c r="V2895" s="72"/>
      <c r="Y2895" s="72"/>
      <c r="AB2895" s="72"/>
      <c r="AE2895" s="72"/>
      <c r="AH2895" s="72"/>
      <c r="AK2895" s="72"/>
      <c r="AN2895" s="72"/>
      <c r="AQ2895" s="72"/>
      <c r="AT2895" s="72"/>
      <c r="AW2895" s="72"/>
      <c r="AZ2895" s="72"/>
    </row>
    <row r="2896" spans="1:52">
      <c r="A2896" s="131"/>
      <c r="B2896" s="72"/>
      <c r="D2896" s="72"/>
      <c r="G2896" s="72"/>
      <c r="J2896" s="72"/>
      <c r="M2896" s="72"/>
      <c r="P2896" s="72"/>
      <c r="S2896" s="72"/>
      <c r="V2896" s="72"/>
      <c r="Y2896" s="72"/>
      <c r="AB2896" s="72"/>
      <c r="AE2896" s="72"/>
      <c r="AH2896" s="72"/>
      <c r="AK2896" s="72"/>
      <c r="AN2896" s="72"/>
      <c r="AQ2896" s="72"/>
      <c r="AT2896" s="72"/>
      <c r="AW2896" s="72"/>
      <c r="AZ2896" s="72"/>
    </row>
    <row r="2897" spans="1:52">
      <c r="A2897" s="131"/>
      <c r="B2897" s="72"/>
      <c r="D2897" s="72"/>
      <c r="G2897" s="72"/>
      <c r="J2897" s="72"/>
      <c r="M2897" s="72"/>
      <c r="P2897" s="72"/>
      <c r="S2897" s="72"/>
      <c r="V2897" s="72"/>
      <c r="Y2897" s="72"/>
      <c r="AB2897" s="72"/>
      <c r="AE2897" s="72"/>
      <c r="AH2897" s="72"/>
      <c r="AK2897" s="72"/>
      <c r="AN2897" s="72"/>
      <c r="AQ2897" s="72"/>
      <c r="AT2897" s="72"/>
      <c r="AW2897" s="72"/>
      <c r="AZ2897" s="72"/>
    </row>
    <row r="2898" spans="1:52">
      <c r="A2898" s="131"/>
      <c r="B2898" s="72"/>
      <c r="D2898" s="72"/>
      <c r="G2898" s="72"/>
      <c r="J2898" s="72"/>
      <c r="M2898" s="72"/>
      <c r="P2898" s="72"/>
      <c r="S2898" s="72"/>
      <c r="V2898" s="72"/>
      <c r="Y2898" s="72"/>
      <c r="AB2898" s="72"/>
      <c r="AE2898" s="72"/>
      <c r="AH2898" s="72"/>
      <c r="AK2898" s="72"/>
      <c r="AN2898" s="72"/>
      <c r="AQ2898" s="72"/>
      <c r="AT2898" s="72"/>
      <c r="AW2898" s="72"/>
      <c r="AZ2898" s="72"/>
    </row>
    <row r="2899" spans="1:52">
      <c r="A2899" s="131"/>
      <c r="B2899" s="72"/>
      <c r="D2899" s="72"/>
      <c r="G2899" s="72"/>
      <c r="J2899" s="72"/>
      <c r="M2899" s="72"/>
      <c r="P2899" s="72"/>
      <c r="S2899" s="72"/>
      <c r="V2899" s="72"/>
      <c r="Y2899" s="72"/>
      <c r="AB2899" s="72"/>
      <c r="AE2899" s="72"/>
      <c r="AH2899" s="72"/>
      <c r="AK2899" s="72"/>
      <c r="AN2899" s="72"/>
      <c r="AQ2899" s="72"/>
      <c r="AT2899" s="72"/>
      <c r="AW2899" s="72"/>
      <c r="AZ2899" s="72"/>
    </row>
    <row r="2900" spans="1:52">
      <c r="A2900" s="131"/>
      <c r="B2900" s="72"/>
      <c r="D2900" s="72"/>
      <c r="G2900" s="72"/>
      <c r="J2900" s="72"/>
      <c r="M2900" s="72"/>
      <c r="P2900" s="72"/>
      <c r="S2900" s="72"/>
      <c r="V2900" s="72"/>
      <c r="Y2900" s="72"/>
      <c r="AB2900" s="72"/>
      <c r="AE2900" s="72"/>
      <c r="AH2900" s="72"/>
      <c r="AK2900" s="72"/>
      <c r="AN2900" s="72"/>
      <c r="AQ2900" s="72"/>
      <c r="AT2900" s="72"/>
      <c r="AW2900" s="72"/>
      <c r="AZ2900" s="72"/>
    </row>
    <row r="2901" spans="1:52">
      <c r="A2901" s="131"/>
      <c r="B2901" s="72"/>
      <c r="D2901" s="72"/>
      <c r="G2901" s="72"/>
      <c r="J2901" s="72"/>
      <c r="M2901" s="72"/>
      <c r="P2901" s="72"/>
      <c r="S2901" s="72"/>
      <c r="V2901" s="72"/>
      <c r="Y2901" s="72"/>
      <c r="AB2901" s="72"/>
      <c r="AE2901" s="72"/>
      <c r="AH2901" s="72"/>
      <c r="AK2901" s="72"/>
      <c r="AN2901" s="72"/>
      <c r="AQ2901" s="72"/>
      <c r="AT2901" s="72"/>
      <c r="AW2901" s="72"/>
      <c r="AZ2901" s="72"/>
    </row>
    <row r="2902" spans="1:52">
      <c r="A2902" s="131"/>
      <c r="B2902" s="72"/>
      <c r="D2902" s="72"/>
      <c r="G2902" s="72"/>
      <c r="J2902" s="72"/>
      <c r="M2902" s="72"/>
      <c r="P2902" s="72"/>
      <c r="S2902" s="72"/>
      <c r="V2902" s="72"/>
      <c r="Y2902" s="72"/>
      <c r="AB2902" s="72"/>
      <c r="AE2902" s="72"/>
      <c r="AH2902" s="72"/>
      <c r="AK2902" s="72"/>
      <c r="AN2902" s="72"/>
      <c r="AQ2902" s="72"/>
      <c r="AT2902" s="72"/>
      <c r="AW2902" s="72"/>
      <c r="AZ2902" s="72"/>
    </row>
    <row r="2903" spans="1:52">
      <c r="A2903" s="131"/>
      <c r="B2903" s="72"/>
      <c r="D2903" s="72"/>
      <c r="G2903" s="72"/>
      <c r="J2903" s="72"/>
      <c r="M2903" s="72"/>
      <c r="P2903" s="72"/>
      <c r="S2903" s="72"/>
      <c r="V2903" s="72"/>
      <c r="Y2903" s="72"/>
      <c r="AB2903" s="72"/>
      <c r="AE2903" s="72"/>
      <c r="AH2903" s="72"/>
      <c r="AK2903" s="72"/>
      <c r="AN2903" s="72"/>
      <c r="AQ2903" s="72"/>
      <c r="AT2903" s="72"/>
      <c r="AW2903" s="72"/>
      <c r="AZ2903" s="72"/>
    </row>
    <row r="2904" spans="1:52">
      <c r="A2904" s="131"/>
      <c r="B2904" s="72"/>
      <c r="D2904" s="72"/>
      <c r="G2904" s="72"/>
      <c r="J2904" s="72"/>
      <c r="M2904" s="72"/>
      <c r="P2904" s="72"/>
      <c r="S2904" s="72"/>
      <c r="V2904" s="72"/>
      <c r="Y2904" s="72"/>
      <c r="AB2904" s="72"/>
      <c r="AE2904" s="72"/>
      <c r="AH2904" s="72"/>
      <c r="AK2904" s="72"/>
      <c r="AN2904" s="72"/>
      <c r="AQ2904" s="72"/>
      <c r="AT2904" s="72"/>
      <c r="AW2904" s="72"/>
      <c r="AZ2904" s="72"/>
    </row>
    <row r="2905" spans="1:52">
      <c r="A2905" s="131"/>
      <c r="B2905" s="72"/>
      <c r="D2905" s="72"/>
      <c r="G2905" s="72"/>
      <c r="J2905" s="72"/>
      <c r="M2905" s="72"/>
      <c r="P2905" s="72"/>
      <c r="S2905" s="72"/>
      <c r="V2905" s="72"/>
      <c r="Y2905" s="72"/>
      <c r="AB2905" s="72"/>
      <c r="AE2905" s="72"/>
      <c r="AH2905" s="72"/>
      <c r="AK2905" s="72"/>
      <c r="AN2905" s="72"/>
      <c r="AQ2905" s="72"/>
      <c r="AT2905" s="72"/>
      <c r="AW2905" s="72"/>
      <c r="AZ2905" s="72"/>
    </row>
    <row r="2906" spans="1:52">
      <c r="A2906" s="131"/>
      <c r="B2906" s="72"/>
      <c r="D2906" s="72"/>
      <c r="G2906" s="72"/>
      <c r="J2906" s="72"/>
      <c r="M2906" s="72"/>
      <c r="P2906" s="72"/>
      <c r="S2906" s="72"/>
      <c r="V2906" s="72"/>
      <c r="Y2906" s="72"/>
      <c r="AB2906" s="72"/>
      <c r="AE2906" s="72"/>
      <c r="AH2906" s="72"/>
      <c r="AK2906" s="72"/>
      <c r="AN2906" s="72"/>
      <c r="AQ2906" s="72"/>
      <c r="AT2906" s="72"/>
      <c r="AW2906" s="72"/>
      <c r="AZ2906" s="72"/>
    </row>
    <row r="2907" spans="1:52">
      <c r="A2907" s="131"/>
      <c r="B2907" s="72"/>
      <c r="D2907" s="72"/>
      <c r="G2907" s="72"/>
      <c r="J2907" s="72"/>
      <c r="M2907" s="72"/>
      <c r="P2907" s="72"/>
      <c r="S2907" s="72"/>
      <c r="V2907" s="72"/>
      <c r="Y2907" s="72"/>
      <c r="AB2907" s="72"/>
      <c r="AE2907" s="72"/>
      <c r="AH2907" s="72"/>
      <c r="AK2907" s="72"/>
      <c r="AN2907" s="72"/>
      <c r="AQ2907" s="72"/>
      <c r="AT2907" s="72"/>
      <c r="AW2907" s="72"/>
      <c r="AZ2907" s="72"/>
    </row>
    <row r="2908" spans="1:52">
      <c r="A2908" s="131"/>
      <c r="B2908" s="72"/>
      <c r="D2908" s="72"/>
      <c r="G2908" s="72"/>
      <c r="J2908" s="72"/>
      <c r="M2908" s="72"/>
      <c r="P2908" s="72"/>
      <c r="S2908" s="72"/>
      <c r="V2908" s="72"/>
      <c r="Y2908" s="72"/>
      <c r="AB2908" s="72"/>
      <c r="AE2908" s="72"/>
      <c r="AH2908" s="72"/>
      <c r="AK2908" s="72"/>
      <c r="AN2908" s="72"/>
      <c r="AQ2908" s="72"/>
      <c r="AT2908" s="72"/>
      <c r="AW2908" s="72"/>
      <c r="AZ2908" s="72"/>
    </row>
    <row r="2909" spans="1:52">
      <c r="A2909" s="131"/>
      <c r="B2909" s="72"/>
      <c r="D2909" s="72"/>
      <c r="G2909" s="72"/>
      <c r="J2909" s="72"/>
      <c r="M2909" s="72"/>
      <c r="P2909" s="72"/>
      <c r="S2909" s="72"/>
      <c r="V2909" s="72"/>
      <c r="Y2909" s="72"/>
      <c r="AB2909" s="72"/>
      <c r="AE2909" s="72"/>
      <c r="AH2909" s="72"/>
      <c r="AK2909" s="72"/>
      <c r="AN2909" s="72"/>
      <c r="AQ2909" s="72"/>
      <c r="AT2909" s="72"/>
      <c r="AW2909" s="72"/>
      <c r="AZ2909" s="72"/>
    </row>
    <row r="2910" spans="1:52">
      <c r="A2910" s="131"/>
      <c r="B2910" s="72"/>
      <c r="D2910" s="72"/>
      <c r="G2910" s="72"/>
      <c r="J2910" s="72"/>
      <c r="M2910" s="72"/>
      <c r="P2910" s="72"/>
      <c r="S2910" s="72"/>
      <c r="V2910" s="72"/>
      <c r="Y2910" s="72"/>
      <c r="AB2910" s="72"/>
      <c r="AE2910" s="72"/>
      <c r="AH2910" s="72"/>
      <c r="AK2910" s="72"/>
      <c r="AN2910" s="72"/>
      <c r="AQ2910" s="72"/>
      <c r="AT2910" s="72"/>
      <c r="AW2910" s="72"/>
      <c r="AZ2910" s="72"/>
    </row>
    <row r="2911" spans="1:52">
      <c r="A2911" s="131"/>
      <c r="B2911" s="72"/>
      <c r="D2911" s="72"/>
      <c r="G2911" s="72"/>
      <c r="J2911" s="72"/>
      <c r="M2911" s="72"/>
      <c r="P2911" s="72"/>
      <c r="S2911" s="72"/>
      <c r="V2911" s="72"/>
      <c r="Y2911" s="72"/>
      <c r="AB2911" s="72"/>
      <c r="AE2911" s="72"/>
      <c r="AH2911" s="72"/>
      <c r="AK2911" s="72"/>
      <c r="AN2911" s="72"/>
      <c r="AQ2911" s="72"/>
      <c r="AT2911" s="72"/>
      <c r="AW2911" s="72"/>
      <c r="AZ2911" s="72"/>
    </row>
    <row r="2912" spans="1:52">
      <c r="A2912" s="131"/>
      <c r="B2912" s="72"/>
      <c r="D2912" s="72"/>
      <c r="G2912" s="72"/>
      <c r="J2912" s="72"/>
      <c r="M2912" s="72"/>
      <c r="P2912" s="72"/>
      <c r="S2912" s="72"/>
      <c r="V2912" s="72"/>
      <c r="Y2912" s="72"/>
      <c r="AB2912" s="72"/>
      <c r="AE2912" s="72"/>
      <c r="AH2912" s="72"/>
      <c r="AK2912" s="72"/>
      <c r="AN2912" s="72"/>
      <c r="AQ2912" s="72"/>
      <c r="AT2912" s="72"/>
      <c r="AW2912" s="72"/>
      <c r="AZ2912" s="72"/>
    </row>
    <row r="2913" spans="1:52">
      <c r="A2913" s="131"/>
      <c r="B2913" s="72"/>
      <c r="D2913" s="72"/>
      <c r="G2913" s="72"/>
      <c r="J2913" s="72"/>
      <c r="M2913" s="72"/>
      <c r="P2913" s="72"/>
      <c r="S2913" s="72"/>
      <c r="V2913" s="72"/>
      <c r="Y2913" s="72"/>
      <c r="AB2913" s="72"/>
      <c r="AE2913" s="72"/>
      <c r="AH2913" s="72"/>
      <c r="AK2913" s="72"/>
      <c r="AN2913" s="72"/>
      <c r="AQ2913" s="72"/>
      <c r="AT2913" s="72"/>
      <c r="AW2913" s="72"/>
      <c r="AZ2913" s="72"/>
    </row>
    <row r="2914" spans="1:52">
      <c r="A2914" s="131"/>
      <c r="B2914" s="72"/>
      <c r="D2914" s="72"/>
      <c r="G2914" s="72"/>
      <c r="J2914" s="72"/>
      <c r="M2914" s="72"/>
      <c r="P2914" s="72"/>
      <c r="S2914" s="72"/>
      <c r="V2914" s="72"/>
      <c r="Y2914" s="72"/>
      <c r="AB2914" s="72"/>
      <c r="AE2914" s="72"/>
      <c r="AH2914" s="72"/>
      <c r="AK2914" s="72"/>
      <c r="AN2914" s="72"/>
      <c r="AQ2914" s="72"/>
      <c r="AT2914" s="72"/>
      <c r="AW2914" s="72"/>
      <c r="AZ2914" s="72"/>
    </row>
    <row r="2915" spans="1:52">
      <c r="A2915" s="131"/>
      <c r="B2915" s="72"/>
      <c r="D2915" s="72"/>
      <c r="G2915" s="72"/>
      <c r="J2915" s="72"/>
      <c r="M2915" s="72"/>
      <c r="P2915" s="72"/>
      <c r="S2915" s="72"/>
      <c r="V2915" s="72"/>
      <c r="Y2915" s="72"/>
      <c r="AB2915" s="72"/>
      <c r="AE2915" s="72"/>
      <c r="AH2915" s="72"/>
      <c r="AK2915" s="72"/>
      <c r="AN2915" s="72"/>
      <c r="AQ2915" s="72"/>
      <c r="AT2915" s="72"/>
      <c r="AW2915" s="72"/>
      <c r="AZ2915" s="72"/>
    </row>
    <row r="2916" spans="1:52">
      <c r="A2916" s="131"/>
      <c r="B2916" s="72"/>
      <c r="D2916" s="72"/>
      <c r="G2916" s="72"/>
      <c r="J2916" s="72"/>
      <c r="M2916" s="72"/>
      <c r="P2916" s="72"/>
      <c r="S2916" s="72"/>
      <c r="V2916" s="72"/>
      <c r="Y2916" s="72"/>
      <c r="AB2916" s="72"/>
      <c r="AE2916" s="72"/>
      <c r="AH2916" s="72"/>
      <c r="AK2916" s="72"/>
      <c r="AN2916" s="72"/>
      <c r="AQ2916" s="72"/>
      <c r="AT2916" s="72"/>
      <c r="AW2916" s="72"/>
      <c r="AZ2916" s="72"/>
    </row>
    <row r="2917" spans="1:52">
      <c r="A2917" s="131"/>
      <c r="B2917" s="72"/>
      <c r="D2917" s="72"/>
      <c r="G2917" s="72"/>
      <c r="J2917" s="72"/>
      <c r="M2917" s="72"/>
      <c r="P2917" s="72"/>
      <c r="S2917" s="72"/>
      <c r="V2917" s="72"/>
      <c r="Y2917" s="72"/>
      <c r="AB2917" s="72"/>
      <c r="AE2917" s="72"/>
      <c r="AH2917" s="72"/>
      <c r="AK2917" s="72"/>
      <c r="AN2917" s="72"/>
      <c r="AQ2917" s="72"/>
      <c r="AT2917" s="72"/>
      <c r="AW2917" s="72"/>
      <c r="AZ2917" s="72"/>
    </row>
    <row r="2918" spans="1:52">
      <c r="A2918" s="131"/>
      <c r="B2918" s="72"/>
      <c r="D2918" s="72"/>
      <c r="G2918" s="72"/>
      <c r="J2918" s="72"/>
      <c r="M2918" s="72"/>
      <c r="P2918" s="72"/>
      <c r="S2918" s="72"/>
      <c r="V2918" s="72"/>
      <c r="Y2918" s="72"/>
      <c r="AB2918" s="72"/>
      <c r="AE2918" s="72"/>
      <c r="AH2918" s="72"/>
      <c r="AK2918" s="72"/>
      <c r="AN2918" s="72"/>
      <c r="AQ2918" s="72"/>
      <c r="AT2918" s="72"/>
      <c r="AW2918" s="72"/>
      <c r="AZ2918" s="72"/>
    </row>
    <row r="2919" spans="1:52">
      <c r="A2919" s="131"/>
      <c r="B2919" s="72"/>
      <c r="D2919" s="72"/>
      <c r="G2919" s="72"/>
      <c r="J2919" s="72"/>
      <c r="M2919" s="72"/>
      <c r="P2919" s="72"/>
      <c r="S2919" s="72"/>
      <c r="V2919" s="72"/>
      <c r="Y2919" s="72"/>
      <c r="AB2919" s="72"/>
      <c r="AE2919" s="72"/>
      <c r="AH2919" s="72"/>
      <c r="AK2919" s="72"/>
      <c r="AN2919" s="72"/>
      <c r="AQ2919" s="72"/>
      <c r="AT2919" s="72"/>
      <c r="AW2919" s="72"/>
      <c r="AZ2919" s="72"/>
    </row>
    <row r="2920" spans="1:52">
      <c r="A2920" s="131"/>
      <c r="B2920" s="72"/>
      <c r="D2920" s="72"/>
      <c r="G2920" s="72"/>
      <c r="J2920" s="72"/>
      <c r="M2920" s="72"/>
      <c r="P2920" s="72"/>
      <c r="S2920" s="72"/>
      <c r="V2920" s="72"/>
      <c r="Y2920" s="72"/>
      <c r="AB2920" s="72"/>
      <c r="AE2920" s="72"/>
      <c r="AH2920" s="72"/>
      <c r="AK2920" s="72"/>
      <c r="AN2920" s="72"/>
      <c r="AQ2920" s="72"/>
      <c r="AT2920" s="72"/>
      <c r="AW2920" s="72"/>
      <c r="AZ2920" s="72"/>
    </row>
    <row r="2921" spans="1:52">
      <c r="A2921" s="131"/>
      <c r="B2921" s="72"/>
      <c r="D2921" s="72"/>
      <c r="G2921" s="72"/>
      <c r="J2921" s="72"/>
      <c r="M2921" s="72"/>
      <c r="P2921" s="72"/>
      <c r="S2921" s="72"/>
      <c r="V2921" s="72"/>
      <c r="Y2921" s="72"/>
      <c r="AB2921" s="72"/>
      <c r="AE2921" s="72"/>
      <c r="AH2921" s="72"/>
      <c r="AK2921" s="72"/>
      <c r="AN2921" s="72"/>
      <c r="AQ2921" s="72"/>
      <c r="AT2921" s="72"/>
      <c r="AW2921" s="72"/>
      <c r="AZ2921" s="72"/>
    </row>
    <row r="2922" spans="1:52">
      <c r="A2922" s="131"/>
      <c r="B2922" s="72"/>
      <c r="D2922" s="72"/>
      <c r="G2922" s="72"/>
      <c r="J2922" s="72"/>
      <c r="M2922" s="72"/>
      <c r="P2922" s="72"/>
      <c r="S2922" s="72"/>
      <c r="V2922" s="72"/>
      <c r="Y2922" s="72"/>
      <c r="AB2922" s="72"/>
      <c r="AE2922" s="72"/>
      <c r="AH2922" s="72"/>
      <c r="AK2922" s="72"/>
      <c r="AN2922" s="72"/>
      <c r="AQ2922" s="72"/>
      <c r="AT2922" s="72"/>
      <c r="AW2922" s="72"/>
      <c r="AZ2922" s="72"/>
    </row>
    <row r="2923" spans="1:52">
      <c r="A2923" s="131"/>
      <c r="B2923" s="72"/>
      <c r="D2923" s="72"/>
      <c r="G2923" s="72"/>
      <c r="J2923" s="72"/>
      <c r="M2923" s="72"/>
      <c r="P2923" s="72"/>
      <c r="S2923" s="72"/>
      <c r="V2923" s="72"/>
      <c r="Y2923" s="72"/>
      <c r="AB2923" s="72"/>
      <c r="AE2923" s="72"/>
      <c r="AH2923" s="72"/>
      <c r="AK2923" s="72"/>
      <c r="AN2923" s="72"/>
      <c r="AQ2923" s="72"/>
      <c r="AT2923" s="72"/>
      <c r="AW2923" s="72"/>
      <c r="AZ2923" s="72"/>
    </row>
    <row r="2924" spans="1:52">
      <c r="A2924" s="131"/>
      <c r="B2924" s="72"/>
      <c r="D2924" s="72"/>
      <c r="G2924" s="72"/>
      <c r="J2924" s="72"/>
      <c r="M2924" s="72"/>
      <c r="P2924" s="72"/>
      <c r="S2924" s="72"/>
      <c r="V2924" s="72"/>
      <c r="Y2924" s="72"/>
      <c r="AB2924" s="72"/>
      <c r="AE2924" s="72"/>
      <c r="AH2924" s="72"/>
      <c r="AK2924" s="72"/>
      <c r="AN2924" s="72"/>
      <c r="AQ2924" s="72"/>
      <c r="AT2924" s="72"/>
      <c r="AW2924" s="72"/>
      <c r="AZ2924" s="72"/>
    </row>
    <row r="2925" spans="1:52">
      <c r="A2925" s="131"/>
      <c r="B2925" s="72"/>
      <c r="D2925" s="72"/>
      <c r="G2925" s="72"/>
      <c r="J2925" s="72"/>
      <c r="M2925" s="72"/>
      <c r="P2925" s="72"/>
      <c r="S2925" s="72"/>
      <c r="V2925" s="72"/>
      <c r="Y2925" s="72"/>
      <c r="AB2925" s="72"/>
      <c r="AE2925" s="72"/>
      <c r="AH2925" s="72"/>
      <c r="AK2925" s="72"/>
      <c r="AN2925" s="72"/>
      <c r="AQ2925" s="72"/>
      <c r="AT2925" s="72"/>
      <c r="AW2925" s="72"/>
      <c r="AZ2925" s="72"/>
    </row>
    <row r="2926" spans="1:52">
      <c r="A2926" s="131"/>
      <c r="B2926" s="72"/>
      <c r="D2926" s="72"/>
      <c r="G2926" s="72"/>
      <c r="J2926" s="72"/>
      <c r="M2926" s="72"/>
      <c r="P2926" s="72"/>
      <c r="S2926" s="72"/>
      <c r="V2926" s="72"/>
      <c r="Y2926" s="72"/>
      <c r="AB2926" s="72"/>
      <c r="AE2926" s="72"/>
      <c r="AH2926" s="72"/>
      <c r="AK2926" s="72"/>
      <c r="AN2926" s="72"/>
      <c r="AQ2926" s="72"/>
      <c r="AT2926" s="72"/>
      <c r="AW2926" s="72"/>
      <c r="AZ2926" s="72"/>
    </row>
    <row r="2927" spans="1:52">
      <c r="A2927" s="131"/>
      <c r="B2927" s="72"/>
      <c r="D2927" s="72"/>
      <c r="G2927" s="72"/>
      <c r="J2927" s="72"/>
      <c r="M2927" s="72"/>
      <c r="P2927" s="72"/>
      <c r="S2927" s="72"/>
      <c r="V2927" s="72"/>
      <c r="Y2927" s="72"/>
      <c r="AB2927" s="72"/>
      <c r="AE2927" s="72"/>
      <c r="AH2927" s="72"/>
      <c r="AK2927" s="72"/>
      <c r="AN2927" s="72"/>
      <c r="AQ2927" s="72"/>
      <c r="AT2927" s="72"/>
      <c r="AW2927" s="72"/>
      <c r="AZ2927" s="72"/>
    </row>
    <row r="2928" spans="1:52">
      <c r="A2928" s="131"/>
      <c r="B2928" s="72"/>
      <c r="D2928" s="72"/>
      <c r="G2928" s="72"/>
      <c r="J2928" s="72"/>
      <c r="M2928" s="72"/>
      <c r="P2928" s="72"/>
      <c r="S2928" s="72"/>
      <c r="V2928" s="72"/>
      <c r="Y2928" s="72"/>
      <c r="AB2928" s="72"/>
      <c r="AE2928" s="72"/>
      <c r="AH2928" s="72"/>
      <c r="AK2928" s="72"/>
      <c r="AN2928" s="72"/>
      <c r="AQ2928" s="72"/>
      <c r="AT2928" s="72"/>
      <c r="AW2928" s="72"/>
      <c r="AZ2928" s="72"/>
    </row>
    <row r="2929" spans="1:52">
      <c r="A2929" s="131"/>
      <c r="B2929" s="72"/>
      <c r="D2929" s="72"/>
      <c r="G2929" s="72"/>
      <c r="J2929" s="72"/>
      <c r="M2929" s="72"/>
      <c r="P2929" s="72"/>
      <c r="S2929" s="72"/>
      <c r="V2929" s="72"/>
      <c r="Y2929" s="72"/>
      <c r="AB2929" s="72"/>
      <c r="AE2929" s="72"/>
      <c r="AH2929" s="72"/>
      <c r="AK2929" s="72"/>
      <c r="AN2929" s="72"/>
      <c r="AQ2929" s="72"/>
      <c r="AT2929" s="72"/>
      <c r="AW2929" s="72"/>
      <c r="AZ2929" s="72"/>
    </row>
    <row r="2930" spans="1:52">
      <c r="A2930" s="131"/>
      <c r="B2930" s="72"/>
      <c r="D2930" s="72"/>
      <c r="G2930" s="72"/>
      <c r="J2930" s="72"/>
      <c r="M2930" s="72"/>
      <c r="P2930" s="72"/>
      <c r="S2930" s="72"/>
      <c r="V2930" s="72"/>
      <c r="Y2930" s="72"/>
      <c r="AB2930" s="72"/>
      <c r="AE2930" s="72"/>
      <c r="AH2930" s="72"/>
      <c r="AK2930" s="72"/>
      <c r="AN2930" s="72"/>
      <c r="AQ2930" s="72"/>
      <c r="AT2930" s="72"/>
      <c r="AW2930" s="72"/>
      <c r="AZ2930" s="72"/>
    </row>
    <row r="2931" spans="1:52">
      <c r="A2931" s="131"/>
      <c r="B2931" s="72"/>
      <c r="D2931" s="72"/>
      <c r="G2931" s="72"/>
      <c r="J2931" s="72"/>
      <c r="M2931" s="72"/>
      <c r="P2931" s="72"/>
      <c r="S2931" s="72"/>
      <c r="V2931" s="72"/>
      <c r="Y2931" s="72"/>
      <c r="AB2931" s="72"/>
      <c r="AE2931" s="72"/>
      <c r="AH2931" s="72"/>
      <c r="AK2931" s="72"/>
      <c r="AN2931" s="72"/>
      <c r="AQ2931" s="72"/>
      <c r="AT2931" s="72"/>
      <c r="AW2931" s="72"/>
      <c r="AZ2931" s="72"/>
    </row>
    <row r="2932" spans="1:52">
      <c r="A2932" s="131"/>
      <c r="B2932" s="72"/>
      <c r="D2932" s="72"/>
      <c r="G2932" s="72"/>
      <c r="J2932" s="72"/>
      <c r="M2932" s="72"/>
      <c r="P2932" s="72"/>
      <c r="S2932" s="72"/>
      <c r="V2932" s="72"/>
      <c r="Y2932" s="72"/>
      <c r="AB2932" s="72"/>
      <c r="AE2932" s="72"/>
      <c r="AH2932" s="72"/>
      <c r="AK2932" s="72"/>
      <c r="AN2932" s="72"/>
      <c r="AQ2932" s="72"/>
      <c r="AT2932" s="72"/>
      <c r="AW2932" s="72"/>
      <c r="AZ2932" s="72"/>
    </row>
    <row r="2933" spans="1:52">
      <c r="A2933" s="131"/>
      <c r="B2933" s="72"/>
      <c r="D2933" s="72"/>
      <c r="G2933" s="72"/>
      <c r="J2933" s="72"/>
      <c r="M2933" s="72"/>
      <c r="P2933" s="72"/>
      <c r="S2933" s="72"/>
      <c r="V2933" s="72"/>
      <c r="Y2933" s="72"/>
      <c r="AB2933" s="72"/>
      <c r="AE2933" s="72"/>
      <c r="AH2933" s="72"/>
      <c r="AK2933" s="72"/>
      <c r="AN2933" s="72"/>
      <c r="AQ2933" s="72"/>
      <c r="AT2933" s="72"/>
      <c r="AW2933" s="72"/>
      <c r="AZ2933" s="72"/>
    </row>
    <row r="2934" spans="1:52">
      <c r="A2934" s="131"/>
      <c r="B2934" s="72"/>
      <c r="D2934" s="72"/>
      <c r="G2934" s="72"/>
      <c r="J2934" s="72"/>
      <c r="M2934" s="72"/>
      <c r="P2934" s="72"/>
      <c r="S2934" s="72"/>
      <c r="V2934" s="72"/>
      <c r="Y2934" s="72"/>
      <c r="AB2934" s="72"/>
      <c r="AE2934" s="72"/>
      <c r="AH2934" s="72"/>
      <c r="AK2934" s="72"/>
      <c r="AN2934" s="72"/>
      <c r="AQ2934" s="72"/>
      <c r="AT2934" s="72"/>
      <c r="AW2934" s="72"/>
      <c r="AZ2934" s="72"/>
    </row>
    <row r="2935" spans="1:52">
      <c r="A2935" s="131"/>
      <c r="B2935" s="72"/>
      <c r="D2935" s="72"/>
      <c r="G2935" s="72"/>
      <c r="J2935" s="72"/>
      <c r="M2935" s="72"/>
      <c r="P2935" s="72"/>
      <c r="S2935" s="72"/>
      <c r="V2935" s="72"/>
      <c r="Y2935" s="72"/>
      <c r="AB2935" s="72"/>
      <c r="AE2935" s="72"/>
      <c r="AH2935" s="72"/>
      <c r="AK2935" s="72"/>
      <c r="AN2935" s="72"/>
      <c r="AQ2935" s="72"/>
      <c r="AT2935" s="72"/>
      <c r="AW2935" s="72"/>
      <c r="AZ2935" s="72"/>
    </row>
    <row r="2936" spans="1:52">
      <c r="A2936" s="131"/>
      <c r="B2936" s="72"/>
      <c r="D2936" s="72"/>
      <c r="G2936" s="72"/>
      <c r="J2936" s="72"/>
      <c r="M2936" s="72"/>
      <c r="P2936" s="72"/>
      <c r="S2936" s="72"/>
      <c r="V2936" s="72"/>
      <c r="Y2936" s="72"/>
      <c r="AB2936" s="72"/>
      <c r="AE2936" s="72"/>
      <c r="AH2936" s="72"/>
      <c r="AK2936" s="72"/>
      <c r="AN2936" s="72"/>
      <c r="AQ2936" s="72"/>
      <c r="AT2936" s="72"/>
      <c r="AW2936" s="72"/>
      <c r="AZ2936" s="72"/>
    </row>
    <row r="2937" spans="1:52">
      <c r="A2937" s="131"/>
      <c r="B2937" s="72"/>
      <c r="D2937" s="72"/>
      <c r="G2937" s="72"/>
      <c r="J2937" s="72"/>
      <c r="M2937" s="72"/>
      <c r="P2937" s="72"/>
      <c r="S2937" s="72"/>
      <c r="V2937" s="72"/>
      <c r="Y2937" s="72"/>
      <c r="AB2937" s="72"/>
      <c r="AE2937" s="72"/>
      <c r="AH2937" s="72"/>
      <c r="AK2937" s="72"/>
      <c r="AN2937" s="72"/>
      <c r="AQ2937" s="72"/>
      <c r="AT2937" s="72"/>
      <c r="AW2937" s="72"/>
      <c r="AZ2937" s="72"/>
    </row>
    <row r="2938" spans="1:52">
      <c r="A2938" s="131"/>
      <c r="B2938" s="72"/>
      <c r="D2938" s="72"/>
      <c r="G2938" s="72"/>
      <c r="J2938" s="72"/>
      <c r="M2938" s="72"/>
      <c r="P2938" s="72"/>
      <c r="S2938" s="72"/>
      <c r="V2938" s="72"/>
      <c r="Y2938" s="72"/>
      <c r="AB2938" s="72"/>
      <c r="AE2938" s="72"/>
      <c r="AH2938" s="72"/>
      <c r="AK2938" s="72"/>
      <c r="AN2938" s="72"/>
      <c r="AQ2938" s="72"/>
      <c r="AT2938" s="72"/>
      <c r="AW2938" s="72"/>
      <c r="AZ2938" s="72"/>
    </row>
    <row r="2939" spans="1:52">
      <c r="A2939" s="131"/>
      <c r="B2939" s="72"/>
      <c r="D2939" s="72"/>
      <c r="G2939" s="72"/>
      <c r="J2939" s="72"/>
      <c r="M2939" s="72"/>
      <c r="P2939" s="72"/>
      <c r="S2939" s="72"/>
      <c r="V2939" s="72"/>
      <c r="Y2939" s="72"/>
      <c r="AB2939" s="72"/>
      <c r="AE2939" s="72"/>
      <c r="AH2939" s="72"/>
      <c r="AK2939" s="72"/>
      <c r="AN2939" s="72"/>
      <c r="AQ2939" s="72"/>
      <c r="AT2939" s="72"/>
      <c r="AW2939" s="72"/>
      <c r="AZ2939" s="72"/>
    </row>
    <row r="2940" spans="1:52">
      <c r="A2940" s="131"/>
      <c r="B2940" s="72"/>
      <c r="D2940" s="72"/>
      <c r="G2940" s="72"/>
      <c r="J2940" s="72"/>
      <c r="M2940" s="72"/>
      <c r="P2940" s="72"/>
      <c r="S2940" s="72"/>
      <c r="V2940" s="72"/>
      <c r="Y2940" s="72"/>
      <c r="AB2940" s="72"/>
      <c r="AE2940" s="72"/>
      <c r="AH2940" s="72"/>
      <c r="AK2940" s="72"/>
      <c r="AN2940" s="72"/>
      <c r="AQ2940" s="72"/>
      <c r="AT2940" s="72"/>
      <c r="AW2940" s="72"/>
      <c r="AZ2940" s="72"/>
    </row>
    <row r="2941" spans="1:52">
      <c r="A2941" s="131"/>
      <c r="B2941" s="72"/>
      <c r="D2941" s="72"/>
      <c r="G2941" s="72"/>
      <c r="J2941" s="72"/>
      <c r="M2941" s="72"/>
      <c r="P2941" s="72"/>
      <c r="S2941" s="72"/>
      <c r="V2941" s="72"/>
      <c r="Y2941" s="72"/>
      <c r="AB2941" s="72"/>
      <c r="AE2941" s="72"/>
      <c r="AH2941" s="72"/>
      <c r="AK2941" s="72"/>
      <c r="AN2941" s="72"/>
      <c r="AQ2941" s="72"/>
      <c r="AT2941" s="72"/>
      <c r="AW2941" s="72"/>
      <c r="AZ2941" s="72"/>
    </row>
    <row r="2942" spans="1:52">
      <c r="A2942" s="131"/>
      <c r="B2942" s="72"/>
      <c r="D2942" s="72"/>
      <c r="G2942" s="72"/>
      <c r="J2942" s="72"/>
      <c r="M2942" s="72"/>
      <c r="P2942" s="72"/>
      <c r="S2942" s="72"/>
      <c r="V2942" s="72"/>
      <c r="Y2942" s="72"/>
      <c r="AB2942" s="72"/>
      <c r="AE2942" s="72"/>
      <c r="AH2942" s="72"/>
      <c r="AK2942" s="72"/>
      <c r="AN2942" s="72"/>
      <c r="AQ2942" s="72"/>
      <c r="AT2942" s="72"/>
      <c r="AW2942" s="72"/>
      <c r="AZ2942" s="72"/>
    </row>
    <row r="2943" spans="1:52">
      <c r="A2943" s="131"/>
      <c r="B2943" s="72"/>
      <c r="D2943" s="72"/>
      <c r="G2943" s="72"/>
      <c r="J2943" s="72"/>
      <c r="M2943" s="72"/>
      <c r="P2943" s="72"/>
      <c r="S2943" s="72"/>
      <c r="V2943" s="72"/>
      <c r="Y2943" s="72"/>
      <c r="AB2943" s="72"/>
      <c r="AE2943" s="72"/>
      <c r="AH2943" s="72"/>
      <c r="AK2943" s="72"/>
      <c r="AN2943" s="72"/>
      <c r="AQ2943" s="72"/>
      <c r="AT2943" s="72"/>
      <c r="AW2943" s="72"/>
      <c r="AZ2943" s="72"/>
    </row>
    <row r="2944" spans="1:52">
      <c r="A2944" s="131"/>
      <c r="B2944" s="72"/>
      <c r="D2944" s="72"/>
      <c r="G2944" s="72"/>
      <c r="J2944" s="72"/>
      <c r="M2944" s="72"/>
      <c r="P2944" s="72"/>
      <c r="S2944" s="72"/>
      <c r="V2944" s="72"/>
      <c r="Y2944" s="72"/>
      <c r="AB2944" s="72"/>
      <c r="AE2944" s="72"/>
      <c r="AH2944" s="72"/>
      <c r="AK2944" s="72"/>
      <c r="AN2944" s="72"/>
      <c r="AQ2944" s="72"/>
      <c r="AT2944" s="72"/>
      <c r="AW2944" s="72"/>
      <c r="AZ2944" s="72"/>
    </row>
    <row r="2945" spans="1:52">
      <c r="A2945" s="131"/>
      <c r="B2945" s="72"/>
      <c r="D2945" s="72"/>
      <c r="G2945" s="72"/>
      <c r="J2945" s="72"/>
      <c r="M2945" s="72"/>
      <c r="P2945" s="72"/>
      <c r="S2945" s="72"/>
      <c r="V2945" s="72"/>
      <c r="Y2945" s="72"/>
      <c r="AB2945" s="72"/>
      <c r="AE2945" s="72"/>
      <c r="AH2945" s="72"/>
      <c r="AK2945" s="72"/>
      <c r="AN2945" s="72"/>
      <c r="AQ2945" s="72"/>
      <c r="AT2945" s="72"/>
      <c r="AW2945" s="72"/>
      <c r="AZ2945" s="72"/>
    </row>
    <row r="2946" spans="1:52">
      <c r="A2946" s="131"/>
      <c r="B2946" s="72"/>
      <c r="D2946" s="72"/>
      <c r="G2946" s="72"/>
      <c r="J2946" s="72"/>
      <c r="M2946" s="72"/>
      <c r="P2946" s="72"/>
      <c r="S2946" s="72"/>
      <c r="V2946" s="72"/>
      <c r="Y2946" s="72"/>
      <c r="AB2946" s="72"/>
      <c r="AE2946" s="72"/>
      <c r="AH2946" s="72"/>
      <c r="AK2946" s="72"/>
      <c r="AN2946" s="72"/>
      <c r="AQ2946" s="72"/>
      <c r="AT2946" s="72"/>
      <c r="AW2946" s="72"/>
      <c r="AZ2946" s="72"/>
    </row>
    <row r="2947" spans="1:52">
      <c r="A2947" s="131"/>
      <c r="B2947" s="72"/>
      <c r="D2947" s="72"/>
      <c r="G2947" s="72"/>
      <c r="J2947" s="72"/>
      <c r="M2947" s="72"/>
      <c r="P2947" s="72"/>
      <c r="S2947" s="72"/>
      <c r="V2947" s="72"/>
      <c r="Y2947" s="72"/>
      <c r="AB2947" s="72"/>
      <c r="AE2947" s="72"/>
      <c r="AH2947" s="72"/>
      <c r="AK2947" s="72"/>
      <c r="AN2947" s="72"/>
      <c r="AQ2947" s="72"/>
      <c r="AT2947" s="72"/>
      <c r="AW2947" s="72"/>
      <c r="AZ2947" s="72"/>
    </row>
    <row r="2948" spans="1:52">
      <c r="A2948" s="131"/>
      <c r="B2948" s="72"/>
      <c r="D2948" s="72"/>
      <c r="G2948" s="72"/>
      <c r="J2948" s="72"/>
      <c r="M2948" s="72"/>
      <c r="P2948" s="72"/>
      <c r="S2948" s="72"/>
      <c r="V2948" s="72"/>
      <c r="Y2948" s="72"/>
      <c r="AB2948" s="72"/>
      <c r="AE2948" s="72"/>
      <c r="AH2948" s="72"/>
      <c r="AK2948" s="72"/>
      <c r="AN2948" s="72"/>
      <c r="AQ2948" s="72"/>
      <c r="AT2948" s="72"/>
      <c r="AW2948" s="72"/>
      <c r="AZ2948" s="72"/>
    </row>
    <row r="2949" spans="1:52">
      <c r="A2949" s="131"/>
      <c r="B2949" s="72"/>
      <c r="D2949" s="72"/>
      <c r="G2949" s="72"/>
      <c r="J2949" s="72"/>
      <c r="M2949" s="72"/>
      <c r="P2949" s="72"/>
      <c r="S2949" s="72"/>
      <c r="V2949" s="72"/>
      <c r="Y2949" s="72"/>
      <c r="AB2949" s="72"/>
      <c r="AE2949" s="72"/>
      <c r="AH2949" s="72"/>
      <c r="AK2949" s="72"/>
      <c r="AN2949" s="72"/>
      <c r="AQ2949" s="72"/>
      <c r="AT2949" s="72"/>
      <c r="AW2949" s="72"/>
      <c r="AZ2949" s="72"/>
    </row>
    <row r="2950" spans="1:52">
      <c r="A2950" s="131"/>
      <c r="B2950" s="72"/>
      <c r="D2950" s="72"/>
      <c r="G2950" s="72"/>
      <c r="J2950" s="72"/>
      <c r="M2950" s="72"/>
      <c r="P2950" s="72"/>
      <c r="S2950" s="72"/>
      <c r="V2950" s="72"/>
      <c r="Y2950" s="72"/>
      <c r="AB2950" s="72"/>
      <c r="AE2950" s="72"/>
      <c r="AH2950" s="72"/>
      <c r="AK2950" s="72"/>
      <c r="AN2950" s="72"/>
      <c r="AQ2950" s="72"/>
      <c r="AT2950" s="72"/>
      <c r="AW2950" s="72"/>
      <c r="AZ2950" s="72"/>
    </row>
    <row r="2951" spans="1:52">
      <c r="A2951" s="131"/>
      <c r="B2951" s="72"/>
      <c r="D2951" s="72"/>
      <c r="G2951" s="72"/>
      <c r="J2951" s="72"/>
      <c r="M2951" s="72"/>
      <c r="P2951" s="72"/>
      <c r="S2951" s="72"/>
      <c r="V2951" s="72"/>
      <c r="Y2951" s="72"/>
      <c r="AB2951" s="72"/>
      <c r="AE2951" s="72"/>
      <c r="AH2951" s="72"/>
      <c r="AK2951" s="72"/>
      <c r="AN2951" s="72"/>
      <c r="AQ2951" s="72"/>
      <c r="AT2951" s="72"/>
      <c r="AW2951" s="72"/>
      <c r="AZ2951" s="72"/>
    </row>
    <row r="2952" spans="1:52">
      <c r="A2952" s="131"/>
      <c r="B2952" s="72"/>
      <c r="D2952" s="72"/>
      <c r="G2952" s="72"/>
      <c r="J2952" s="72"/>
      <c r="M2952" s="72"/>
      <c r="P2952" s="72"/>
      <c r="S2952" s="72"/>
      <c r="V2952" s="72"/>
      <c r="Y2952" s="72"/>
      <c r="AB2952" s="72"/>
      <c r="AE2952" s="72"/>
      <c r="AH2952" s="72"/>
      <c r="AK2952" s="72"/>
      <c r="AN2952" s="72"/>
      <c r="AQ2952" s="72"/>
      <c r="AT2952" s="72"/>
      <c r="AW2952" s="72"/>
      <c r="AZ2952" s="72"/>
    </row>
    <row r="2953" spans="1:52">
      <c r="A2953" s="131"/>
      <c r="B2953" s="72"/>
      <c r="D2953" s="72"/>
      <c r="G2953" s="72"/>
      <c r="J2953" s="72"/>
      <c r="M2953" s="72"/>
      <c r="P2953" s="72"/>
      <c r="S2953" s="72"/>
      <c r="V2953" s="72"/>
      <c r="Y2953" s="72"/>
      <c r="AB2953" s="72"/>
      <c r="AE2953" s="72"/>
      <c r="AH2953" s="72"/>
      <c r="AK2953" s="72"/>
      <c r="AN2953" s="72"/>
      <c r="AQ2953" s="72"/>
      <c r="AT2953" s="72"/>
      <c r="AW2953" s="72"/>
      <c r="AZ2953" s="72"/>
    </row>
    <row r="2954" spans="1:52">
      <c r="A2954" s="131"/>
      <c r="B2954" s="72"/>
      <c r="D2954" s="72"/>
      <c r="G2954" s="72"/>
      <c r="J2954" s="72"/>
      <c r="M2954" s="72"/>
      <c r="P2954" s="72"/>
      <c r="S2954" s="72"/>
      <c r="V2954" s="72"/>
      <c r="Y2954" s="72"/>
      <c r="AB2954" s="72"/>
      <c r="AE2954" s="72"/>
      <c r="AH2954" s="72"/>
      <c r="AK2954" s="72"/>
      <c r="AN2954" s="72"/>
      <c r="AQ2954" s="72"/>
      <c r="AT2954" s="72"/>
      <c r="AW2954" s="72"/>
      <c r="AZ2954" s="72"/>
    </row>
    <row r="2955" spans="1:52">
      <c r="A2955" s="131"/>
      <c r="B2955" s="72"/>
      <c r="D2955" s="72"/>
      <c r="G2955" s="72"/>
      <c r="J2955" s="72"/>
      <c r="M2955" s="72"/>
      <c r="P2955" s="72"/>
      <c r="S2955" s="72"/>
      <c r="V2955" s="72"/>
      <c r="Y2955" s="72"/>
      <c r="AB2955" s="72"/>
      <c r="AE2955" s="72"/>
      <c r="AH2955" s="72"/>
      <c r="AK2955" s="72"/>
      <c r="AN2955" s="72"/>
      <c r="AQ2955" s="72"/>
      <c r="AT2955" s="72"/>
      <c r="AW2955" s="72"/>
      <c r="AZ2955" s="72"/>
    </row>
    <row r="2956" spans="1:52">
      <c r="A2956" s="131"/>
      <c r="B2956" s="72"/>
      <c r="D2956" s="72"/>
      <c r="G2956" s="72"/>
      <c r="J2956" s="72"/>
      <c r="M2956" s="72"/>
      <c r="P2956" s="72"/>
      <c r="S2956" s="72"/>
      <c r="V2956" s="72"/>
      <c r="Y2956" s="72"/>
      <c r="AB2956" s="72"/>
      <c r="AE2956" s="72"/>
      <c r="AH2956" s="72"/>
      <c r="AK2956" s="72"/>
      <c r="AN2956" s="72"/>
      <c r="AQ2956" s="72"/>
      <c r="AT2956" s="72"/>
      <c r="AW2956" s="72"/>
      <c r="AZ2956" s="72"/>
    </row>
    <row r="2957" spans="1:52">
      <c r="A2957" s="131"/>
      <c r="B2957" s="72"/>
      <c r="D2957" s="72"/>
      <c r="G2957" s="72"/>
      <c r="J2957" s="72"/>
      <c r="M2957" s="72"/>
      <c r="P2957" s="72"/>
      <c r="S2957" s="72"/>
      <c r="V2957" s="72"/>
      <c r="Y2957" s="72"/>
      <c r="AB2957" s="72"/>
      <c r="AE2957" s="72"/>
      <c r="AH2957" s="72"/>
      <c r="AK2957" s="72"/>
      <c r="AN2957" s="72"/>
      <c r="AQ2957" s="72"/>
      <c r="AT2957" s="72"/>
      <c r="AW2957" s="72"/>
      <c r="AZ2957" s="72"/>
    </row>
    <row r="2958" spans="1:52">
      <c r="A2958" s="131"/>
      <c r="B2958" s="72"/>
      <c r="D2958" s="72"/>
      <c r="G2958" s="72"/>
      <c r="J2958" s="72"/>
      <c r="M2958" s="72"/>
      <c r="P2958" s="72"/>
      <c r="S2958" s="72"/>
      <c r="V2958" s="72"/>
      <c r="Y2958" s="72"/>
      <c r="AB2958" s="72"/>
      <c r="AE2958" s="72"/>
      <c r="AH2958" s="72"/>
      <c r="AK2958" s="72"/>
      <c r="AN2958" s="72"/>
      <c r="AQ2958" s="72"/>
      <c r="AT2958" s="72"/>
      <c r="AW2958" s="72"/>
      <c r="AZ2958" s="72"/>
    </row>
    <row r="2959" spans="1:52">
      <c r="A2959" s="131"/>
      <c r="B2959" s="72"/>
      <c r="D2959" s="72"/>
      <c r="G2959" s="72"/>
      <c r="J2959" s="72"/>
      <c r="M2959" s="72"/>
      <c r="P2959" s="72"/>
      <c r="S2959" s="72"/>
      <c r="V2959" s="72"/>
      <c r="Y2959" s="72"/>
      <c r="AB2959" s="72"/>
      <c r="AE2959" s="72"/>
      <c r="AH2959" s="72"/>
      <c r="AK2959" s="72"/>
      <c r="AN2959" s="72"/>
      <c r="AQ2959" s="72"/>
      <c r="AT2959" s="72"/>
      <c r="AW2959" s="72"/>
      <c r="AZ2959" s="72"/>
    </row>
    <row r="2960" spans="1:52">
      <c r="A2960" s="131"/>
      <c r="B2960" s="72"/>
      <c r="D2960" s="72"/>
      <c r="G2960" s="72"/>
      <c r="J2960" s="72"/>
      <c r="M2960" s="72"/>
      <c r="P2960" s="72"/>
      <c r="S2960" s="72"/>
      <c r="V2960" s="72"/>
      <c r="Y2960" s="72"/>
      <c r="AB2960" s="72"/>
      <c r="AE2960" s="72"/>
      <c r="AH2960" s="72"/>
      <c r="AK2960" s="72"/>
      <c r="AN2960" s="72"/>
      <c r="AQ2960" s="72"/>
      <c r="AT2960" s="72"/>
      <c r="AW2960" s="72"/>
      <c r="AZ2960" s="72"/>
    </row>
    <row r="2961" spans="1:52">
      <c r="A2961" s="131"/>
      <c r="B2961" s="72"/>
      <c r="D2961" s="72"/>
      <c r="G2961" s="72"/>
      <c r="J2961" s="72"/>
      <c r="M2961" s="72"/>
      <c r="P2961" s="72"/>
      <c r="S2961" s="72"/>
      <c r="V2961" s="72"/>
      <c r="Y2961" s="72"/>
      <c r="AB2961" s="72"/>
      <c r="AE2961" s="72"/>
      <c r="AH2961" s="72"/>
      <c r="AK2961" s="72"/>
      <c r="AN2961" s="72"/>
      <c r="AQ2961" s="72"/>
      <c r="AT2961" s="72"/>
      <c r="AW2961" s="72"/>
      <c r="AZ2961" s="72"/>
    </row>
    <row r="2962" spans="1:52">
      <c r="A2962" s="131"/>
      <c r="B2962" s="72"/>
      <c r="D2962" s="72"/>
      <c r="G2962" s="72"/>
      <c r="J2962" s="72"/>
      <c r="M2962" s="72"/>
      <c r="P2962" s="72"/>
      <c r="S2962" s="72"/>
      <c r="V2962" s="72"/>
      <c r="Y2962" s="72"/>
      <c r="AB2962" s="72"/>
      <c r="AE2962" s="72"/>
      <c r="AH2962" s="72"/>
      <c r="AK2962" s="72"/>
      <c r="AN2962" s="72"/>
      <c r="AQ2962" s="72"/>
      <c r="AT2962" s="72"/>
      <c r="AW2962" s="72"/>
      <c r="AZ2962" s="72"/>
    </row>
    <row r="2963" spans="1:52">
      <c r="A2963" s="131"/>
      <c r="B2963" s="72"/>
      <c r="D2963" s="72"/>
      <c r="G2963" s="72"/>
      <c r="J2963" s="72"/>
      <c r="M2963" s="72"/>
      <c r="P2963" s="72"/>
      <c r="S2963" s="72"/>
      <c r="V2963" s="72"/>
      <c r="Y2963" s="72"/>
      <c r="AB2963" s="72"/>
      <c r="AE2963" s="72"/>
      <c r="AH2963" s="72"/>
      <c r="AK2963" s="72"/>
      <c r="AN2963" s="72"/>
      <c r="AQ2963" s="72"/>
      <c r="AT2963" s="72"/>
      <c r="AW2963" s="72"/>
      <c r="AZ2963" s="72"/>
    </row>
    <row r="2964" spans="1:52">
      <c r="A2964" s="131"/>
      <c r="B2964" s="72"/>
      <c r="D2964" s="72"/>
      <c r="G2964" s="72"/>
      <c r="J2964" s="72"/>
      <c r="M2964" s="72"/>
      <c r="P2964" s="72"/>
      <c r="S2964" s="72"/>
      <c r="V2964" s="72"/>
      <c r="Y2964" s="72"/>
      <c r="AB2964" s="72"/>
      <c r="AE2964" s="72"/>
      <c r="AH2964" s="72"/>
      <c r="AK2964" s="72"/>
      <c r="AN2964" s="72"/>
      <c r="AQ2964" s="72"/>
      <c r="AT2964" s="72"/>
      <c r="AW2964" s="72"/>
      <c r="AZ2964" s="72"/>
    </row>
    <row r="2965" spans="1:52">
      <c r="A2965" s="131"/>
      <c r="B2965" s="72"/>
      <c r="D2965" s="72"/>
      <c r="G2965" s="72"/>
      <c r="J2965" s="72"/>
      <c r="M2965" s="72"/>
      <c r="P2965" s="72"/>
      <c r="S2965" s="72"/>
      <c r="V2965" s="72"/>
      <c r="Y2965" s="72"/>
      <c r="AB2965" s="72"/>
      <c r="AE2965" s="72"/>
      <c r="AH2965" s="72"/>
      <c r="AK2965" s="72"/>
      <c r="AN2965" s="72"/>
      <c r="AQ2965" s="72"/>
      <c r="AT2965" s="72"/>
      <c r="AW2965" s="72"/>
      <c r="AZ2965" s="72"/>
    </row>
    <row r="2966" spans="1:52">
      <c r="A2966" s="131"/>
      <c r="B2966" s="72"/>
      <c r="D2966" s="72"/>
      <c r="G2966" s="72"/>
      <c r="J2966" s="72"/>
      <c r="M2966" s="72"/>
      <c r="P2966" s="72"/>
      <c r="S2966" s="72"/>
      <c r="V2966" s="72"/>
      <c r="Y2966" s="72"/>
      <c r="AB2966" s="72"/>
      <c r="AE2966" s="72"/>
      <c r="AH2966" s="72"/>
      <c r="AK2966" s="72"/>
      <c r="AN2966" s="72"/>
      <c r="AQ2966" s="72"/>
      <c r="AT2966" s="72"/>
      <c r="AW2966" s="72"/>
      <c r="AZ2966" s="72"/>
    </row>
    <row r="2967" spans="1:52">
      <c r="A2967" s="131"/>
      <c r="B2967" s="72"/>
      <c r="D2967" s="72"/>
      <c r="G2967" s="72"/>
      <c r="J2967" s="72"/>
      <c r="M2967" s="72"/>
      <c r="P2967" s="72"/>
      <c r="S2967" s="72"/>
      <c r="V2967" s="72"/>
      <c r="Y2967" s="72"/>
      <c r="AB2967" s="72"/>
      <c r="AE2967" s="72"/>
      <c r="AH2967" s="72"/>
      <c r="AK2967" s="72"/>
      <c r="AN2967" s="72"/>
      <c r="AQ2967" s="72"/>
      <c r="AT2967" s="72"/>
      <c r="AW2967" s="72"/>
      <c r="AZ2967" s="72"/>
    </row>
    <row r="2968" spans="1:52">
      <c r="A2968" s="131"/>
      <c r="B2968" s="72"/>
      <c r="D2968" s="72"/>
      <c r="G2968" s="72"/>
      <c r="J2968" s="72"/>
      <c r="M2968" s="72"/>
      <c r="P2968" s="72"/>
      <c r="S2968" s="72"/>
      <c r="V2968" s="72"/>
      <c r="Y2968" s="72"/>
      <c r="AB2968" s="72"/>
      <c r="AE2968" s="72"/>
      <c r="AH2968" s="72"/>
      <c r="AK2968" s="72"/>
      <c r="AN2968" s="72"/>
      <c r="AQ2968" s="72"/>
      <c r="AT2968" s="72"/>
      <c r="AW2968" s="72"/>
      <c r="AZ2968" s="72"/>
    </row>
    <row r="2969" spans="1:52">
      <c r="A2969" s="131"/>
      <c r="B2969" s="72"/>
      <c r="D2969" s="72"/>
      <c r="G2969" s="72"/>
      <c r="J2969" s="72"/>
      <c r="M2969" s="72"/>
      <c r="P2969" s="72"/>
      <c r="S2969" s="72"/>
      <c r="V2969" s="72"/>
      <c r="Y2969" s="72"/>
      <c r="AB2969" s="72"/>
      <c r="AE2969" s="72"/>
      <c r="AH2969" s="72"/>
      <c r="AK2969" s="72"/>
      <c r="AN2969" s="72"/>
      <c r="AQ2969" s="72"/>
      <c r="AT2969" s="72"/>
      <c r="AW2969" s="72"/>
      <c r="AZ2969" s="72"/>
    </row>
    <row r="2970" spans="1:52">
      <c r="A2970" s="131"/>
      <c r="B2970" s="72"/>
      <c r="D2970" s="72"/>
      <c r="G2970" s="72"/>
      <c r="J2970" s="72"/>
      <c r="M2970" s="72"/>
      <c r="P2970" s="72"/>
      <c r="S2970" s="72"/>
      <c r="V2970" s="72"/>
      <c r="Y2970" s="72"/>
      <c r="AB2970" s="72"/>
      <c r="AE2970" s="72"/>
      <c r="AH2970" s="72"/>
      <c r="AK2970" s="72"/>
      <c r="AN2970" s="72"/>
      <c r="AQ2970" s="72"/>
      <c r="AT2970" s="72"/>
      <c r="AW2970" s="72"/>
      <c r="AZ2970" s="72"/>
    </row>
    <row r="2971" spans="1:52">
      <c r="A2971" s="131"/>
      <c r="B2971" s="72"/>
      <c r="D2971" s="72"/>
      <c r="G2971" s="72"/>
      <c r="J2971" s="72"/>
      <c r="M2971" s="72"/>
      <c r="P2971" s="72"/>
      <c r="S2971" s="72"/>
      <c r="V2971" s="72"/>
      <c r="Y2971" s="72"/>
      <c r="AB2971" s="72"/>
      <c r="AE2971" s="72"/>
      <c r="AH2971" s="72"/>
      <c r="AK2971" s="72"/>
      <c r="AN2971" s="72"/>
      <c r="AQ2971" s="72"/>
      <c r="AT2971" s="72"/>
      <c r="AW2971" s="72"/>
      <c r="AZ2971" s="72"/>
    </row>
    <row r="2972" spans="1:52">
      <c r="A2972" s="131"/>
      <c r="B2972" s="72"/>
      <c r="D2972" s="72"/>
      <c r="G2972" s="72"/>
      <c r="J2972" s="72"/>
      <c r="M2972" s="72"/>
      <c r="P2972" s="72"/>
      <c r="S2972" s="72"/>
      <c r="V2972" s="72"/>
      <c r="Y2972" s="72"/>
      <c r="AB2972" s="72"/>
      <c r="AE2972" s="72"/>
      <c r="AH2972" s="72"/>
      <c r="AK2972" s="72"/>
      <c r="AN2972" s="72"/>
      <c r="AQ2972" s="72"/>
      <c r="AT2972" s="72"/>
      <c r="AW2972" s="72"/>
      <c r="AZ2972" s="72"/>
    </row>
    <row r="2973" spans="1:52">
      <c r="A2973" s="131"/>
      <c r="B2973" s="72"/>
      <c r="D2973" s="72"/>
      <c r="G2973" s="72"/>
      <c r="J2973" s="72"/>
      <c r="M2973" s="72"/>
      <c r="P2973" s="72"/>
      <c r="S2973" s="72"/>
      <c r="V2973" s="72"/>
      <c r="Y2973" s="72"/>
      <c r="AB2973" s="72"/>
      <c r="AE2973" s="72"/>
      <c r="AH2973" s="72"/>
      <c r="AK2973" s="72"/>
      <c r="AN2973" s="72"/>
      <c r="AQ2973" s="72"/>
      <c r="AT2973" s="72"/>
      <c r="AW2973" s="72"/>
      <c r="AZ2973" s="72"/>
    </row>
    <row r="2974" spans="1:52">
      <c r="A2974" s="131"/>
      <c r="B2974" s="72"/>
      <c r="D2974" s="72"/>
      <c r="G2974" s="72"/>
      <c r="J2974" s="72"/>
      <c r="M2974" s="72"/>
      <c r="P2974" s="72"/>
      <c r="S2974" s="72"/>
      <c r="V2974" s="72"/>
      <c r="Y2974" s="72"/>
      <c r="AB2974" s="72"/>
      <c r="AE2974" s="72"/>
      <c r="AH2974" s="72"/>
      <c r="AK2974" s="72"/>
      <c r="AN2974" s="72"/>
      <c r="AQ2974" s="72"/>
      <c r="AT2974" s="72"/>
      <c r="AW2974" s="72"/>
      <c r="AZ2974" s="72"/>
    </row>
    <row r="2975" spans="1:52">
      <c r="A2975" s="131"/>
      <c r="B2975" s="72"/>
      <c r="D2975" s="72"/>
      <c r="G2975" s="72"/>
      <c r="J2975" s="72"/>
      <c r="M2975" s="72"/>
      <c r="P2975" s="72"/>
      <c r="S2975" s="72"/>
      <c r="V2975" s="72"/>
      <c r="Y2975" s="72"/>
      <c r="AB2975" s="72"/>
      <c r="AE2975" s="72"/>
      <c r="AH2975" s="72"/>
      <c r="AK2975" s="72"/>
      <c r="AN2975" s="72"/>
      <c r="AQ2975" s="72"/>
      <c r="AT2975" s="72"/>
      <c r="AW2975" s="72"/>
      <c r="AZ2975" s="72"/>
    </row>
    <row r="2976" spans="1:52">
      <c r="A2976" s="131"/>
      <c r="B2976" s="72"/>
      <c r="D2976" s="72"/>
      <c r="G2976" s="72"/>
      <c r="J2976" s="72"/>
      <c r="M2976" s="72"/>
      <c r="P2976" s="72"/>
      <c r="S2976" s="72"/>
      <c r="V2976" s="72"/>
      <c r="Y2976" s="72"/>
      <c r="AB2976" s="72"/>
      <c r="AE2976" s="72"/>
      <c r="AH2976" s="72"/>
      <c r="AK2976" s="72"/>
      <c r="AN2976" s="72"/>
      <c r="AQ2976" s="72"/>
      <c r="AT2976" s="72"/>
      <c r="AW2976" s="72"/>
      <c r="AZ2976" s="72"/>
    </row>
    <row r="2977" spans="1:52">
      <c r="A2977" s="131"/>
      <c r="B2977" s="72"/>
      <c r="D2977" s="72"/>
      <c r="G2977" s="72"/>
      <c r="J2977" s="72"/>
      <c r="M2977" s="72"/>
      <c r="P2977" s="72"/>
      <c r="S2977" s="72"/>
      <c r="V2977" s="72"/>
      <c r="Y2977" s="72"/>
      <c r="AB2977" s="72"/>
      <c r="AE2977" s="72"/>
      <c r="AH2977" s="72"/>
      <c r="AK2977" s="72"/>
      <c r="AN2977" s="72"/>
      <c r="AQ2977" s="72"/>
      <c r="AT2977" s="72"/>
      <c r="AW2977" s="72"/>
      <c r="AZ2977" s="72"/>
    </row>
    <row r="2978" spans="1:52">
      <c r="A2978" s="131"/>
      <c r="B2978" s="72"/>
      <c r="D2978" s="72"/>
      <c r="G2978" s="72"/>
      <c r="J2978" s="72"/>
      <c r="M2978" s="72"/>
      <c r="P2978" s="72"/>
      <c r="S2978" s="72"/>
      <c r="V2978" s="72"/>
      <c r="Y2978" s="72"/>
      <c r="AB2978" s="72"/>
      <c r="AE2978" s="72"/>
      <c r="AH2978" s="72"/>
      <c r="AK2978" s="72"/>
      <c r="AN2978" s="72"/>
      <c r="AQ2978" s="72"/>
      <c r="AT2978" s="72"/>
      <c r="AW2978" s="72"/>
      <c r="AZ2978" s="72"/>
    </row>
    <row r="2979" spans="1:52">
      <c r="A2979" s="131"/>
      <c r="B2979" s="72"/>
      <c r="D2979" s="72"/>
      <c r="G2979" s="72"/>
      <c r="J2979" s="72"/>
      <c r="M2979" s="72"/>
      <c r="P2979" s="72"/>
      <c r="S2979" s="72"/>
      <c r="V2979" s="72"/>
      <c r="Y2979" s="72"/>
      <c r="AB2979" s="72"/>
      <c r="AE2979" s="72"/>
      <c r="AH2979" s="72"/>
      <c r="AK2979" s="72"/>
      <c r="AN2979" s="72"/>
      <c r="AQ2979" s="72"/>
      <c r="AT2979" s="72"/>
      <c r="AW2979" s="72"/>
      <c r="AZ2979" s="72"/>
    </row>
    <row r="2980" spans="1:52">
      <c r="A2980" s="131"/>
      <c r="B2980" s="72"/>
      <c r="D2980" s="72"/>
      <c r="G2980" s="72"/>
      <c r="J2980" s="72"/>
      <c r="M2980" s="72"/>
      <c r="P2980" s="72"/>
      <c r="S2980" s="72"/>
      <c r="V2980" s="72"/>
      <c r="Y2980" s="72"/>
      <c r="AB2980" s="72"/>
      <c r="AE2980" s="72"/>
      <c r="AH2980" s="72"/>
      <c r="AK2980" s="72"/>
      <c r="AN2980" s="72"/>
      <c r="AQ2980" s="72"/>
      <c r="AT2980" s="72"/>
      <c r="AW2980" s="72"/>
      <c r="AZ2980" s="72"/>
    </row>
    <row r="2981" spans="1:52">
      <c r="A2981" s="131"/>
      <c r="B2981" s="72"/>
      <c r="D2981" s="72"/>
      <c r="G2981" s="72"/>
      <c r="J2981" s="72"/>
      <c r="M2981" s="72"/>
      <c r="P2981" s="72"/>
      <c r="S2981" s="72"/>
      <c r="V2981" s="72"/>
      <c r="Y2981" s="72"/>
      <c r="AB2981" s="72"/>
      <c r="AE2981" s="72"/>
      <c r="AH2981" s="72"/>
      <c r="AK2981" s="72"/>
      <c r="AN2981" s="72"/>
      <c r="AQ2981" s="72"/>
      <c r="AT2981" s="72"/>
      <c r="AW2981" s="72"/>
      <c r="AZ2981" s="72"/>
    </row>
    <row r="2982" spans="1:52">
      <c r="A2982" s="131"/>
      <c r="B2982" s="72"/>
      <c r="D2982" s="72"/>
      <c r="G2982" s="72"/>
      <c r="J2982" s="72"/>
      <c r="M2982" s="72"/>
      <c r="P2982" s="72"/>
      <c r="S2982" s="72"/>
      <c r="V2982" s="72"/>
      <c r="Y2982" s="72"/>
      <c r="AB2982" s="72"/>
      <c r="AE2982" s="72"/>
      <c r="AH2982" s="72"/>
      <c r="AK2982" s="72"/>
      <c r="AN2982" s="72"/>
      <c r="AQ2982" s="72"/>
      <c r="AT2982" s="72"/>
      <c r="AW2982" s="72"/>
      <c r="AZ2982" s="72"/>
    </row>
    <row r="2983" spans="1:52">
      <c r="A2983" s="131"/>
      <c r="B2983" s="72"/>
      <c r="D2983" s="72"/>
      <c r="G2983" s="72"/>
      <c r="J2983" s="72"/>
      <c r="M2983" s="72"/>
      <c r="P2983" s="72"/>
      <c r="S2983" s="72"/>
      <c r="V2983" s="72"/>
      <c r="Y2983" s="72"/>
      <c r="AB2983" s="72"/>
      <c r="AE2983" s="72"/>
      <c r="AH2983" s="72"/>
      <c r="AK2983" s="72"/>
      <c r="AN2983" s="72"/>
      <c r="AQ2983" s="72"/>
      <c r="AT2983" s="72"/>
      <c r="AW2983" s="72"/>
      <c r="AZ2983" s="72"/>
    </row>
    <row r="2984" spans="1:52">
      <c r="A2984" s="131"/>
      <c r="B2984" s="72"/>
      <c r="D2984" s="72"/>
      <c r="G2984" s="72"/>
      <c r="J2984" s="72"/>
      <c r="M2984" s="72"/>
      <c r="P2984" s="72"/>
      <c r="S2984" s="72"/>
      <c r="V2984" s="72"/>
      <c r="Y2984" s="72"/>
      <c r="AB2984" s="72"/>
      <c r="AE2984" s="72"/>
      <c r="AH2984" s="72"/>
      <c r="AK2984" s="72"/>
      <c r="AN2984" s="72"/>
      <c r="AQ2984" s="72"/>
      <c r="AT2984" s="72"/>
      <c r="AW2984" s="72"/>
      <c r="AZ2984" s="72"/>
    </row>
    <row r="2985" spans="1:52">
      <c r="A2985" s="131"/>
      <c r="B2985" s="72"/>
      <c r="D2985" s="72"/>
      <c r="G2985" s="72"/>
      <c r="J2985" s="72"/>
      <c r="M2985" s="72"/>
      <c r="P2985" s="72"/>
      <c r="S2985" s="72"/>
      <c r="V2985" s="72"/>
      <c r="Y2985" s="72"/>
      <c r="AB2985" s="72"/>
      <c r="AE2985" s="72"/>
      <c r="AH2985" s="72"/>
      <c r="AK2985" s="72"/>
      <c r="AN2985" s="72"/>
      <c r="AQ2985" s="72"/>
      <c r="AT2985" s="72"/>
      <c r="AW2985" s="72"/>
      <c r="AZ2985" s="72"/>
    </row>
    <row r="2986" spans="1:52">
      <c r="A2986" s="131"/>
      <c r="B2986" s="72"/>
      <c r="D2986" s="72"/>
      <c r="G2986" s="72"/>
      <c r="J2986" s="72"/>
      <c r="M2986" s="72"/>
      <c r="P2986" s="72"/>
      <c r="S2986" s="72"/>
      <c r="V2986" s="72"/>
      <c r="Y2986" s="72"/>
      <c r="AB2986" s="72"/>
      <c r="AE2986" s="72"/>
      <c r="AH2986" s="72"/>
      <c r="AK2986" s="72"/>
      <c r="AN2986" s="72"/>
      <c r="AQ2986" s="72"/>
      <c r="AT2986" s="72"/>
      <c r="AW2986" s="72"/>
      <c r="AZ2986" s="72"/>
    </row>
    <row r="2987" spans="1:52">
      <c r="A2987" s="131"/>
      <c r="B2987" s="72"/>
      <c r="D2987" s="72"/>
      <c r="G2987" s="72"/>
      <c r="J2987" s="72"/>
      <c r="M2987" s="72"/>
      <c r="P2987" s="72"/>
      <c r="S2987" s="72"/>
      <c r="V2987" s="72"/>
      <c r="Y2987" s="72"/>
      <c r="AB2987" s="72"/>
      <c r="AE2987" s="72"/>
      <c r="AH2987" s="72"/>
      <c r="AK2987" s="72"/>
      <c r="AN2987" s="72"/>
      <c r="AQ2987" s="72"/>
      <c r="AT2987" s="72"/>
      <c r="AW2987" s="72"/>
      <c r="AZ2987" s="72"/>
    </row>
    <row r="2988" spans="1:52">
      <c r="A2988" s="131"/>
      <c r="B2988" s="72"/>
      <c r="D2988" s="72"/>
      <c r="G2988" s="72"/>
      <c r="J2988" s="72"/>
      <c r="M2988" s="72"/>
      <c r="P2988" s="72"/>
      <c r="S2988" s="72"/>
      <c r="V2988" s="72"/>
      <c r="Y2988" s="72"/>
      <c r="AB2988" s="72"/>
      <c r="AE2988" s="72"/>
      <c r="AH2988" s="72"/>
      <c r="AK2988" s="72"/>
      <c r="AN2988" s="72"/>
      <c r="AQ2988" s="72"/>
      <c r="AT2988" s="72"/>
      <c r="AW2988" s="72"/>
      <c r="AZ2988" s="72"/>
    </row>
    <row r="2989" spans="1:52">
      <c r="A2989" s="131"/>
      <c r="B2989" s="72"/>
      <c r="D2989" s="72"/>
      <c r="G2989" s="72"/>
      <c r="J2989" s="72"/>
      <c r="M2989" s="72"/>
      <c r="P2989" s="72"/>
      <c r="S2989" s="72"/>
      <c r="V2989" s="72"/>
      <c r="Y2989" s="72"/>
      <c r="AB2989" s="72"/>
      <c r="AE2989" s="72"/>
      <c r="AH2989" s="72"/>
      <c r="AK2989" s="72"/>
      <c r="AN2989" s="72"/>
      <c r="AQ2989" s="72"/>
      <c r="AT2989" s="72"/>
      <c r="AW2989" s="72"/>
      <c r="AZ2989" s="72"/>
    </row>
    <row r="2990" spans="1:52">
      <c r="A2990" s="131"/>
      <c r="B2990" s="72"/>
      <c r="D2990" s="72"/>
      <c r="G2990" s="72"/>
      <c r="J2990" s="72"/>
      <c r="M2990" s="72"/>
      <c r="P2990" s="72"/>
      <c r="S2990" s="72"/>
      <c r="V2990" s="72"/>
      <c r="Y2990" s="72"/>
      <c r="AB2990" s="72"/>
      <c r="AE2990" s="72"/>
      <c r="AH2990" s="72"/>
      <c r="AK2990" s="72"/>
      <c r="AN2990" s="72"/>
      <c r="AQ2990" s="72"/>
      <c r="AT2990" s="72"/>
      <c r="AW2990" s="72"/>
      <c r="AZ2990" s="72"/>
    </row>
    <row r="2991" spans="1:52">
      <c r="A2991" s="131"/>
      <c r="B2991" s="72"/>
      <c r="D2991" s="72"/>
      <c r="G2991" s="72"/>
      <c r="J2991" s="72"/>
      <c r="M2991" s="72"/>
      <c r="P2991" s="72"/>
      <c r="S2991" s="72"/>
      <c r="V2991" s="72"/>
      <c r="Y2991" s="72"/>
      <c r="AB2991" s="72"/>
      <c r="AE2991" s="72"/>
      <c r="AH2991" s="72"/>
      <c r="AK2991" s="72"/>
      <c r="AN2991" s="72"/>
      <c r="AQ2991" s="72"/>
      <c r="AT2991" s="72"/>
      <c r="AW2991" s="72"/>
      <c r="AZ2991" s="72"/>
    </row>
    <row r="2992" spans="1:52">
      <c r="A2992" s="131"/>
      <c r="B2992" s="72"/>
      <c r="D2992" s="72"/>
      <c r="G2992" s="72"/>
      <c r="J2992" s="72"/>
      <c r="M2992" s="72"/>
      <c r="P2992" s="72"/>
      <c r="S2992" s="72"/>
      <c r="V2992" s="72"/>
      <c r="Y2992" s="72"/>
      <c r="AB2992" s="72"/>
      <c r="AE2992" s="72"/>
      <c r="AH2992" s="72"/>
      <c r="AK2992" s="72"/>
      <c r="AN2992" s="72"/>
      <c r="AQ2992" s="72"/>
      <c r="AT2992" s="72"/>
      <c r="AW2992" s="72"/>
      <c r="AZ2992" s="72"/>
    </row>
    <row r="2993" spans="1:52">
      <c r="A2993" s="131"/>
      <c r="B2993" s="72"/>
      <c r="D2993" s="72"/>
      <c r="G2993" s="72"/>
      <c r="J2993" s="72"/>
      <c r="M2993" s="72"/>
      <c r="P2993" s="72"/>
      <c r="S2993" s="72"/>
      <c r="V2993" s="72"/>
      <c r="Y2993" s="72"/>
      <c r="AB2993" s="72"/>
      <c r="AE2993" s="72"/>
      <c r="AH2993" s="72"/>
      <c r="AK2993" s="72"/>
      <c r="AN2993" s="72"/>
      <c r="AQ2993" s="72"/>
      <c r="AT2993" s="72"/>
      <c r="AW2993" s="72"/>
      <c r="AZ2993" s="72"/>
    </row>
    <row r="2994" spans="1:52">
      <c r="A2994" s="131"/>
      <c r="B2994" s="72"/>
      <c r="D2994" s="72"/>
      <c r="G2994" s="72"/>
      <c r="J2994" s="72"/>
      <c r="M2994" s="72"/>
      <c r="P2994" s="72"/>
      <c r="S2994" s="72"/>
      <c r="V2994" s="72"/>
      <c r="Y2994" s="72"/>
      <c r="AB2994" s="72"/>
      <c r="AE2994" s="72"/>
      <c r="AH2994" s="72"/>
      <c r="AK2994" s="72"/>
      <c r="AN2994" s="72"/>
      <c r="AQ2994" s="72"/>
      <c r="AT2994" s="72"/>
      <c r="AW2994" s="72"/>
      <c r="AZ2994" s="72"/>
    </row>
    <row r="2995" spans="1:52">
      <c r="A2995" s="131"/>
      <c r="B2995" s="72"/>
      <c r="D2995" s="72"/>
      <c r="G2995" s="72"/>
      <c r="J2995" s="72"/>
      <c r="M2995" s="72"/>
      <c r="P2995" s="72"/>
      <c r="S2995" s="72"/>
      <c r="V2995" s="72"/>
      <c r="Y2995" s="72"/>
      <c r="AB2995" s="72"/>
      <c r="AE2995" s="72"/>
      <c r="AH2995" s="72"/>
      <c r="AK2995" s="72"/>
      <c r="AN2995" s="72"/>
      <c r="AQ2995" s="72"/>
      <c r="AT2995" s="72"/>
      <c r="AW2995" s="72"/>
      <c r="AZ2995" s="72"/>
    </row>
    <row r="2996" spans="1:52">
      <c r="A2996" s="131"/>
      <c r="B2996" s="72"/>
      <c r="D2996" s="72"/>
      <c r="G2996" s="72"/>
      <c r="J2996" s="72"/>
      <c r="M2996" s="72"/>
      <c r="P2996" s="72"/>
      <c r="S2996" s="72"/>
      <c r="V2996" s="72"/>
      <c r="Y2996" s="72"/>
      <c r="AB2996" s="72"/>
      <c r="AE2996" s="72"/>
      <c r="AH2996" s="72"/>
      <c r="AK2996" s="72"/>
      <c r="AN2996" s="72"/>
      <c r="AQ2996" s="72"/>
      <c r="AT2996" s="72"/>
      <c r="AW2996" s="72"/>
      <c r="AZ2996" s="72"/>
    </row>
    <row r="2997" spans="1:52">
      <c r="A2997" s="131"/>
      <c r="B2997" s="72"/>
      <c r="D2997" s="72"/>
      <c r="G2997" s="72"/>
      <c r="J2997" s="72"/>
      <c r="M2997" s="72"/>
      <c r="P2997" s="72"/>
      <c r="S2997" s="72"/>
      <c r="V2997" s="72"/>
      <c r="Y2997" s="72"/>
      <c r="AB2997" s="72"/>
      <c r="AE2997" s="72"/>
      <c r="AH2997" s="72"/>
      <c r="AK2997" s="72"/>
      <c r="AN2997" s="72"/>
      <c r="AQ2997" s="72"/>
      <c r="AT2997" s="72"/>
      <c r="AW2997" s="72"/>
      <c r="AZ2997" s="72"/>
    </row>
    <row r="2998" spans="1:52">
      <c r="A2998" s="131"/>
      <c r="B2998" s="72"/>
      <c r="D2998" s="72"/>
      <c r="G2998" s="72"/>
      <c r="J2998" s="72"/>
      <c r="M2998" s="72"/>
      <c r="P2998" s="72"/>
      <c r="S2998" s="72"/>
      <c r="V2998" s="72"/>
      <c r="Y2998" s="72"/>
      <c r="AB2998" s="72"/>
      <c r="AE2998" s="72"/>
      <c r="AH2998" s="72"/>
      <c r="AK2998" s="72"/>
      <c r="AN2998" s="72"/>
      <c r="AQ2998" s="72"/>
      <c r="AT2998" s="72"/>
      <c r="AW2998" s="72"/>
      <c r="AZ2998" s="72"/>
    </row>
    <row r="2999" spans="1:52">
      <c r="A2999" s="131"/>
      <c r="B2999" s="72"/>
      <c r="D2999" s="72"/>
      <c r="G2999" s="72"/>
      <c r="J2999" s="72"/>
      <c r="M2999" s="72"/>
      <c r="P2999" s="72"/>
      <c r="S2999" s="72"/>
      <c r="V2999" s="72"/>
      <c r="Y2999" s="72"/>
      <c r="AB2999" s="72"/>
      <c r="AE2999" s="72"/>
      <c r="AH2999" s="72"/>
      <c r="AK2999" s="72"/>
      <c r="AN2999" s="72"/>
      <c r="AQ2999" s="72"/>
      <c r="AT2999" s="72"/>
      <c r="AW2999" s="72"/>
      <c r="AZ2999" s="72"/>
    </row>
    <row r="3000" spans="1:52">
      <c r="A3000" s="131"/>
      <c r="B3000" s="72"/>
      <c r="D3000" s="72"/>
      <c r="G3000" s="72"/>
      <c r="J3000" s="72"/>
      <c r="M3000" s="72"/>
      <c r="P3000" s="72"/>
      <c r="S3000" s="72"/>
      <c r="V3000" s="72"/>
      <c r="Y3000" s="72"/>
      <c r="AB3000" s="72"/>
      <c r="AE3000" s="72"/>
      <c r="AH3000" s="72"/>
      <c r="AK3000" s="72"/>
      <c r="AN3000" s="72"/>
      <c r="AQ3000" s="72"/>
      <c r="AT3000" s="72"/>
      <c r="AW3000" s="72"/>
      <c r="AZ3000" s="72"/>
    </row>
  </sheetData>
  <customSheetViews>
    <customSheetView guid="{405707A2-D644-4113-A905-B4AA69DE216D}" showGridLines="0" fitToPage="1" showRuler="0">
      <selection activeCell="A4" sqref="A4"/>
      <colBreaks count="9" manualBreakCount="9">
        <brk id="1" max="1048575" man="1"/>
        <brk id="590" max="1048575" man="1"/>
        <brk id="808" max="1048575" man="1"/>
        <brk id="916" max="1048575" man="1"/>
        <brk id="1188" max="1048575" man="1"/>
        <brk id="19956" max="1048575" man="1"/>
        <brk id="20084" max="1048575" man="1"/>
        <brk id="51056" max="1048575" man="1"/>
        <brk id="65535" max="1048575" man="1"/>
      </colBreaks>
      <pageMargins left="0.19685039370078741" right="0.17" top="0.35433070866141736" bottom="0.66" header="0.23622047244094491" footer="0.27"/>
      <printOptions horizontalCentered="1"/>
      <pageSetup paperSize="9" fitToHeight="0" orientation="landscape" r:id="rId1"/>
      <headerFooter alignWithMargins="0">
        <oddFooter>&amp;L&amp;"Arial,Regular"&amp;8D:\PROJ\Jer\Def\HayCalculator(NL2.05).xls
Generated by Hay Calculator©&amp;R&amp;8Page &amp;P of &amp;N
&amp;D  &amp;T</oddFooter>
      </headerFooter>
    </customSheetView>
  </customSheetViews>
  <phoneticPr fontId="71" type="noConversion"/>
  <printOptions horizontalCentered="1"/>
  <pageMargins left="0.18" right="0.17" top="0.35433070866141736" bottom="0.4" header="0.26" footer="0.27"/>
  <pageSetup paperSize="9" fitToHeight="0" orientation="landscape" r:id="rId2"/>
  <headerFooter alignWithMargins="0">
    <oddHeader xml:space="preserve">&amp;L&amp;"Times New Roman,Bold"&amp;24HayCalculator© voor </oddHeader>
    <oddFooter>&amp;RPage &amp;P of &amp;N&amp;LSTART</oddFooter>
  </headerFooter>
  <colBreaks count="9" manualBreakCount="9">
    <brk id="1" max="1048575" man="1"/>
    <brk id="590" max="1048575" man="1"/>
    <brk id="808" max="1048575" man="1"/>
    <brk id="916" max="1048575" man="1"/>
    <brk id="1188" max="1048575" man="1"/>
    <brk id="19956" max="1048575" man="1"/>
    <brk id="20084" max="1048575" man="1"/>
    <brk id="51056" max="1048575" man="1"/>
    <brk id="65535" max="1048575" man="1"/>
  </colBreaks>
  <drawing r:id="rId3"/>
  <legacyDrawing r:id="rId4"/>
  <controls>
    <mc:AlternateContent xmlns:mc="http://schemas.openxmlformats.org/markup-compatibility/2006">
      <mc:Choice Requires="x14">
        <control shapeId="5147" r:id="rId5" name="AzZa">
          <controlPr defaultSize="0" print="0" autoLine="0" autoPict="0" r:id="rId6">
            <anchor>
              <from>
                <xdr:col>0</xdr:col>
                <xdr:colOff>476250</xdr:colOff>
                <xdr:row>0</xdr:row>
                <xdr:rowOff>590550</xdr:rowOff>
              </from>
              <to>
                <xdr:col>3</xdr:col>
                <xdr:colOff>209550</xdr:colOff>
                <xdr:row>1</xdr:row>
                <xdr:rowOff>95250</xdr:rowOff>
              </to>
            </anchor>
          </controlPr>
        </control>
      </mc:Choice>
      <mc:Fallback>
        <control shapeId="5147" r:id="rId5" name="AzZa"/>
      </mc:Fallback>
    </mc:AlternateContent>
    <mc:AlternateContent xmlns:mc="http://schemas.openxmlformats.org/markup-compatibility/2006">
      <mc:Choice Requires="x14">
        <control shapeId="5146" r:id="rId7" name="SortedAZ">
          <controlPr defaultSize="0" print="0" autoLine="0" r:id="rId8">
            <anchor>
              <from>
                <xdr:col>0</xdr:col>
                <xdr:colOff>19050</xdr:colOff>
                <xdr:row>0</xdr:row>
                <xdr:rowOff>590550</xdr:rowOff>
              </from>
              <to>
                <xdr:col>0</xdr:col>
                <xdr:colOff>514350</xdr:colOff>
                <xdr:row>1</xdr:row>
                <xdr:rowOff>95250</xdr:rowOff>
              </to>
            </anchor>
          </controlPr>
        </control>
      </mc:Choice>
      <mc:Fallback>
        <control shapeId="5146" r:id="rId7" name="SortedAZ"/>
      </mc:Fallback>
    </mc:AlternateContent>
    <mc:AlternateContent xmlns:mc="http://schemas.openxmlformats.org/markup-compatibility/2006">
      <mc:Choice Requires="x14">
        <control shapeId="5143" r:id="rId9" name="CommandButton1">
          <controlPr defaultSize="0" print="0" autoFill="0" autoLine="0" r:id="rId10">
            <anchor>
              <from>
                <xdr:col>0</xdr:col>
                <xdr:colOff>0</xdr:colOff>
                <xdr:row>0</xdr:row>
                <xdr:rowOff>323850</xdr:rowOff>
              </from>
              <to>
                <xdr:col>3</xdr:col>
                <xdr:colOff>9525</xdr:colOff>
                <xdr:row>0</xdr:row>
                <xdr:rowOff>571500</xdr:rowOff>
              </to>
            </anchor>
          </controlPr>
        </control>
      </mc:Choice>
      <mc:Fallback>
        <control shapeId="5143" r:id="rId9" name="CommandButton1"/>
      </mc:Fallback>
    </mc:AlternateContent>
    <mc:AlternateContent xmlns:mc="http://schemas.openxmlformats.org/markup-compatibility/2006">
      <mc:Choice Requires="x14">
        <control shapeId="5142" r:id="rId11" name="Label2">
          <controlPr defaultSize="0" print="0" autoLine="0" autoPict="0" r:id="rId12">
            <anchor>
              <from>
                <xdr:col>0</xdr:col>
                <xdr:colOff>19050</xdr:colOff>
                <xdr:row>0</xdr:row>
                <xdr:rowOff>66675</xdr:rowOff>
              </from>
              <to>
                <xdr:col>2</xdr:col>
                <xdr:colOff>142875</xdr:colOff>
                <xdr:row>0</xdr:row>
                <xdr:rowOff>257175</xdr:rowOff>
              </to>
            </anchor>
          </controlPr>
        </control>
      </mc:Choice>
      <mc:Fallback>
        <control shapeId="5142" r:id="rId11" name="Label2"/>
      </mc:Fallback>
    </mc:AlternateContent>
    <mc:AlternateContent xmlns:mc="http://schemas.openxmlformats.org/markup-compatibility/2006">
      <mc:Choice Requires="x14">
        <control shapeId="5140" r:id="rId13" name="chkProfile">
          <controlPr defaultSize="0" print="0" autoLine="0" autoPict="0" r:id="rId14">
            <anchor>
              <from>
                <xdr:col>0</xdr:col>
                <xdr:colOff>19050</xdr:colOff>
                <xdr:row>0</xdr:row>
                <xdr:rowOff>419100</xdr:rowOff>
              </from>
              <to>
                <xdr:col>3</xdr:col>
                <xdr:colOff>171450</xdr:colOff>
                <xdr:row>0</xdr:row>
                <xdr:rowOff>609600</xdr:rowOff>
              </to>
            </anchor>
          </controlPr>
        </control>
      </mc:Choice>
      <mc:Fallback>
        <control shapeId="5140" r:id="rId13" name="chkProfile"/>
      </mc:Fallback>
    </mc:AlternateContent>
    <mc:AlternateContent xmlns:mc="http://schemas.openxmlformats.org/markup-compatibility/2006">
      <mc:Choice Requires="x14">
        <control shapeId="5139" r:id="rId15" name="chkPoints">
          <controlPr defaultSize="0" print="0" autoLine="0" autoPict="0" r:id="rId16">
            <anchor>
              <from>
                <xdr:col>0</xdr:col>
                <xdr:colOff>19050</xdr:colOff>
                <xdr:row>0</xdr:row>
                <xdr:rowOff>247650</xdr:rowOff>
              </from>
              <to>
                <xdr:col>3</xdr:col>
                <xdr:colOff>171450</xdr:colOff>
                <xdr:row>0</xdr:row>
                <xdr:rowOff>438150</xdr:rowOff>
              </to>
            </anchor>
          </controlPr>
        </control>
      </mc:Choice>
      <mc:Fallback>
        <control shapeId="5139" r:id="rId15" name="chkPoints"/>
      </mc:Fallback>
    </mc:AlternateContent>
    <mc:AlternateContent xmlns:mc="http://schemas.openxmlformats.org/markup-compatibility/2006">
      <mc:Choice Requires="x14">
        <control shapeId="5138" r:id="rId17" name="Label1">
          <controlPr defaultSize="0" print="0" autoLine="0" autoPict="0" r:id="rId18">
            <anchor>
              <from>
                <xdr:col>12</xdr:col>
                <xdr:colOff>419100</xdr:colOff>
                <xdr:row>0</xdr:row>
                <xdr:rowOff>19050</xdr:rowOff>
              </from>
              <to>
                <xdr:col>15</xdr:col>
                <xdr:colOff>962025</xdr:colOff>
                <xdr:row>0</xdr:row>
                <xdr:rowOff>209550</xdr:rowOff>
              </to>
            </anchor>
          </controlPr>
        </control>
      </mc:Choice>
      <mc:Fallback>
        <control shapeId="5138" r:id="rId17" name="Label1"/>
      </mc:Fallback>
    </mc:AlternateContent>
    <mc:AlternateContent xmlns:mc="http://schemas.openxmlformats.org/markup-compatibility/2006">
      <mc:Choice Requires="x14">
        <control shapeId="5137" r:id="rId19" name="cmdDepartment">
          <controlPr defaultSize="0" print="0" autoFill="0" autoLine="0" autoPict="0" r:id="rId20">
            <anchor>
              <from>
                <xdr:col>11</xdr:col>
                <xdr:colOff>95250</xdr:colOff>
                <xdr:row>0</xdr:row>
                <xdr:rowOff>361950</xdr:rowOff>
              </from>
              <to>
                <xdr:col>14</xdr:col>
                <xdr:colOff>142875</xdr:colOff>
                <xdr:row>0</xdr:row>
                <xdr:rowOff>619125</xdr:rowOff>
              </to>
            </anchor>
          </controlPr>
        </control>
      </mc:Choice>
      <mc:Fallback>
        <control shapeId="5137" r:id="rId19" name="cmdDepartment"/>
      </mc:Fallback>
    </mc:AlternateContent>
    <mc:AlternateContent xmlns:mc="http://schemas.openxmlformats.org/markup-compatibility/2006">
      <mc:Choice Requires="x14">
        <control shapeId="5136" r:id="rId21" name="cmdArea">
          <controlPr defaultSize="0" print="0" autoFill="0" autoLine="0" r:id="rId22">
            <anchor>
              <from>
                <xdr:col>15</xdr:col>
                <xdr:colOff>409575</xdr:colOff>
                <xdr:row>0</xdr:row>
                <xdr:rowOff>400050</xdr:rowOff>
              </from>
              <to>
                <xdr:col>15</xdr:col>
                <xdr:colOff>1238250</xdr:colOff>
                <xdr:row>0</xdr:row>
                <xdr:rowOff>657225</xdr:rowOff>
              </to>
            </anchor>
          </controlPr>
        </control>
      </mc:Choice>
      <mc:Fallback>
        <control shapeId="5136" r:id="rId21" name="cmdArea"/>
      </mc:Fallback>
    </mc:AlternateContent>
    <mc:AlternateContent xmlns:mc="http://schemas.openxmlformats.org/markup-compatibility/2006">
      <mc:Choice Requires="x14">
        <control shapeId="5125" r:id="rId23" name="Button 5">
          <controlPr defaultSize="0" print="0" autoFill="0" autoPict="0" macro="[0]!Match_Click">
            <anchor moveWithCells="1" sizeWithCells="1">
              <from>
                <xdr:col>3</xdr:col>
                <xdr:colOff>0</xdr:colOff>
                <xdr:row>0</xdr:row>
                <xdr:rowOff>0</xdr:rowOff>
              </from>
              <to>
                <xdr:col>3</xdr:col>
                <xdr:colOff>323850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24" name="Button 6">
          <controlPr defaultSize="0" print="0" autoFill="0" autoPict="0" macro="[0]!Gebied_Click">
            <anchor moveWithCells="1" sizeWithCells="1">
              <from>
                <xdr:col>3</xdr:col>
                <xdr:colOff>0</xdr:colOff>
                <xdr:row>0</xdr:row>
                <xdr:rowOff>0</xdr:rowOff>
              </from>
              <to>
                <xdr:col>3</xdr:col>
                <xdr:colOff>323850</xdr:colOff>
                <xdr:row>0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12"/>
    <pageSetUpPr autoPageBreaks="0"/>
  </sheetPr>
  <dimension ref="B2:T46"/>
  <sheetViews>
    <sheetView showGridLines="0" showRowColHeaders="0" workbookViewId="0">
      <selection activeCell="E4" sqref="E4"/>
    </sheetView>
  </sheetViews>
  <sheetFormatPr defaultColWidth="9.1640625" defaultRowHeight="12.75"/>
  <cols>
    <col min="1" max="1" width="6.1640625" style="103" customWidth="1"/>
    <col min="2" max="5" width="9.1640625" style="103" customWidth="1"/>
    <col min="6" max="7" width="9.1640625" style="103" hidden="1" customWidth="1"/>
    <col min="8" max="8" width="13" style="105" hidden="1" customWidth="1"/>
    <col min="9" max="11" width="13" style="105" customWidth="1"/>
    <col min="12" max="12" width="9.1640625" style="103" customWidth="1"/>
    <col min="13" max="13" width="12.5" style="103" customWidth="1"/>
    <col min="14" max="14" width="10.5" style="103" customWidth="1"/>
    <col min="15" max="15" width="10.6640625" style="103" customWidth="1"/>
    <col min="16" max="17" width="9.1640625" style="103" customWidth="1"/>
    <col min="18" max="18" width="4.6640625" style="103" bestFit="1" customWidth="1"/>
    <col min="19" max="19" width="6.5" style="103" bestFit="1" customWidth="1"/>
    <col min="20" max="30" width="9.1640625" style="103" customWidth="1"/>
    <col min="31" max="31" width="14.33203125" style="103" customWidth="1"/>
    <col min="32" max="16384" width="9.1640625" style="103"/>
  </cols>
  <sheetData>
    <row r="2" spans="2:20">
      <c r="F2" s="104"/>
      <c r="M2" s="128" t="b">
        <v>1</v>
      </c>
      <c r="N2" s="128" t="b">
        <v>0</v>
      </c>
      <c r="O2" s="128" t="b">
        <v>0</v>
      </c>
    </row>
    <row r="3" spans="2:20" ht="49.5" customHeight="1" thickBot="1">
      <c r="F3" s="104"/>
      <c r="M3" s="106">
        <f>IF(M2,1,IF(N2,2,3))</f>
        <v>1</v>
      </c>
      <c r="N3" s="106"/>
      <c r="O3" s="106"/>
    </row>
    <row r="4" spans="2:20" ht="15.75" customHeight="1" thickTop="1">
      <c r="B4" s="257" t="s">
        <v>249</v>
      </c>
      <c r="C4" s="259" t="s">
        <v>297</v>
      </c>
      <c r="D4" s="261" t="s">
        <v>250</v>
      </c>
      <c r="E4" s="107"/>
      <c r="F4" s="107"/>
      <c r="G4" s="107"/>
      <c r="H4" s="108"/>
      <c r="I4" s="254" t="s">
        <v>296</v>
      </c>
      <c r="J4" s="255"/>
      <c r="K4" s="255"/>
      <c r="L4" s="256"/>
      <c r="M4" s="107"/>
    </row>
    <row r="5" spans="2:20" ht="30.75" customHeight="1" thickBot="1">
      <c r="B5" s="258"/>
      <c r="C5" s="260"/>
      <c r="D5" s="262"/>
      <c r="E5" s="107"/>
      <c r="F5" s="107"/>
      <c r="G5" s="107"/>
      <c r="H5" s="108"/>
      <c r="I5" s="77" t="s">
        <v>292</v>
      </c>
      <c r="J5" s="78" t="s">
        <v>293</v>
      </c>
      <c r="K5" s="78" t="s">
        <v>294</v>
      </c>
      <c r="L5" s="79" t="s">
        <v>295</v>
      </c>
      <c r="M5" s="107"/>
      <c r="P5" s="109"/>
      <c r="Q5" s="109"/>
      <c r="R5" s="109"/>
      <c r="S5" s="109"/>
      <c r="T5" s="109"/>
    </row>
    <row r="6" spans="2:20" ht="15.75" customHeight="1" thickTop="1">
      <c r="B6" s="110">
        <v>0</v>
      </c>
      <c r="C6" s="111">
        <v>0</v>
      </c>
      <c r="D6" s="112">
        <v>0</v>
      </c>
      <c r="I6" s="119">
        <v>0</v>
      </c>
      <c r="J6" s="120">
        <f>INT(AVERAGE(I6,K6))</f>
        <v>14</v>
      </c>
      <c r="K6" s="120">
        <f t="shared" ref="K6:K31" si="0">I7-1</f>
        <v>29</v>
      </c>
      <c r="L6" s="121">
        <v>0</v>
      </c>
      <c r="P6" s="109"/>
      <c r="Q6" s="109"/>
      <c r="R6" s="109"/>
      <c r="S6" s="109"/>
      <c r="T6" s="109"/>
    </row>
    <row r="7" spans="2:20" ht="15.75" customHeight="1">
      <c r="B7" s="113">
        <v>30</v>
      </c>
      <c r="C7" s="114">
        <v>16</v>
      </c>
      <c r="D7" s="115">
        <v>100</v>
      </c>
      <c r="I7" s="122">
        <f t="shared" ref="I7:I27" si="1">CHOOSE($M$3,B7,C7,MAX(I6,D7))</f>
        <v>30</v>
      </c>
      <c r="J7" s="123">
        <f t="shared" ref="J7:J31" si="2">INT(AVERAGE(I7,K7))</f>
        <v>34</v>
      </c>
      <c r="K7" s="123">
        <f t="shared" si="0"/>
        <v>39</v>
      </c>
      <c r="L7" s="124">
        <v>1</v>
      </c>
      <c r="P7" s="109"/>
      <c r="Q7" s="109"/>
      <c r="R7" s="109"/>
      <c r="S7" s="109"/>
      <c r="T7" s="109"/>
    </row>
    <row r="8" spans="2:20" ht="15.75" customHeight="1">
      <c r="B8" s="113">
        <v>40</v>
      </c>
      <c r="C8" s="114">
        <v>19</v>
      </c>
      <c r="D8" s="115">
        <v>200</v>
      </c>
      <c r="I8" s="122">
        <f t="shared" si="1"/>
        <v>40</v>
      </c>
      <c r="J8" s="123">
        <f t="shared" si="2"/>
        <v>43</v>
      </c>
      <c r="K8" s="123">
        <f t="shared" si="0"/>
        <v>46</v>
      </c>
      <c r="L8" s="124">
        <v>2</v>
      </c>
      <c r="P8" s="109"/>
      <c r="Q8" s="109"/>
      <c r="R8" s="109"/>
      <c r="S8" s="109"/>
      <c r="T8" s="109"/>
    </row>
    <row r="9" spans="2:20" ht="15.75" customHeight="1">
      <c r="B9" s="113">
        <v>47</v>
      </c>
      <c r="C9" s="114">
        <v>22</v>
      </c>
      <c r="D9" s="115">
        <v>300</v>
      </c>
      <c r="I9" s="122">
        <f t="shared" si="1"/>
        <v>47</v>
      </c>
      <c r="J9" s="123">
        <f t="shared" si="2"/>
        <v>50</v>
      </c>
      <c r="K9" s="123">
        <f t="shared" si="0"/>
        <v>53</v>
      </c>
      <c r="L9" s="124">
        <v>3</v>
      </c>
      <c r="P9" s="109"/>
      <c r="Q9" s="109"/>
      <c r="R9" s="109"/>
      <c r="S9" s="109"/>
      <c r="T9" s="109"/>
    </row>
    <row r="10" spans="2:20" ht="15.75" customHeight="1">
      <c r="B10" s="113">
        <v>54</v>
      </c>
      <c r="C10" s="114">
        <v>25</v>
      </c>
      <c r="D10" s="115">
        <v>400</v>
      </c>
      <c r="I10" s="122">
        <f t="shared" si="1"/>
        <v>54</v>
      </c>
      <c r="J10" s="123">
        <f t="shared" si="2"/>
        <v>58</v>
      </c>
      <c r="K10" s="123">
        <f t="shared" si="0"/>
        <v>62</v>
      </c>
      <c r="L10" s="124">
        <v>4</v>
      </c>
      <c r="P10" s="109"/>
      <c r="Q10" s="109"/>
      <c r="R10" s="109"/>
      <c r="S10" s="109"/>
      <c r="T10" s="109"/>
    </row>
    <row r="11" spans="2:20" ht="15.75" customHeight="1">
      <c r="B11" s="113">
        <v>63</v>
      </c>
      <c r="C11" s="114">
        <v>29</v>
      </c>
      <c r="D11" s="115">
        <v>500</v>
      </c>
      <c r="I11" s="122">
        <f t="shared" si="1"/>
        <v>63</v>
      </c>
      <c r="J11" s="123">
        <f t="shared" si="2"/>
        <v>67</v>
      </c>
      <c r="K11" s="123">
        <f t="shared" si="0"/>
        <v>72</v>
      </c>
      <c r="L11" s="124">
        <v>5</v>
      </c>
      <c r="P11" s="109"/>
      <c r="Q11" s="109"/>
      <c r="R11" s="109"/>
      <c r="S11" s="109"/>
      <c r="T11" s="109"/>
    </row>
    <row r="12" spans="2:20" ht="15.75" customHeight="1">
      <c r="B12" s="113">
        <v>73</v>
      </c>
      <c r="C12" s="114">
        <v>33</v>
      </c>
      <c r="D12" s="115">
        <v>600</v>
      </c>
      <c r="I12" s="122">
        <f t="shared" si="1"/>
        <v>73</v>
      </c>
      <c r="J12" s="123">
        <f t="shared" si="2"/>
        <v>78</v>
      </c>
      <c r="K12" s="123">
        <f t="shared" si="0"/>
        <v>84</v>
      </c>
      <c r="L12" s="124">
        <v>6</v>
      </c>
      <c r="P12" s="109"/>
      <c r="Q12" s="109"/>
      <c r="R12" s="109"/>
      <c r="S12" s="109"/>
      <c r="T12" s="109"/>
    </row>
    <row r="13" spans="2:20" ht="15.75" customHeight="1">
      <c r="B13" s="113">
        <v>85</v>
      </c>
      <c r="C13" s="114">
        <v>38</v>
      </c>
      <c r="D13" s="115">
        <v>700</v>
      </c>
      <c r="I13" s="122">
        <f t="shared" si="1"/>
        <v>85</v>
      </c>
      <c r="J13" s="123">
        <f t="shared" si="2"/>
        <v>91</v>
      </c>
      <c r="K13" s="123">
        <f t="shared" si="0"/>
        <v>97</v>
      </c>
      <c r="L13" s="124">
        <v>7</v>
      </c>
    </row>
    <row r="14" spans="2:20" ht="15.75" customHeight="1">
      <c r="B14" s="113">
        <v>98</v>
      </c>
      <c r="C14" s="114">
        <v>43</v>
      </c>
      <c r="D14" s="115">
        <v>800</v>
      </c>
      <c r="I14" s="122">
        <f t="shared" si="1"/>
        <v>98</v>
      </c>
      <c r="J14" s="123">
        <f t="shared" si="2"/>
        <v>105</v>
      </c>
      <c r="K14" s="123">
        <f t="shared" si="0"/>
        <v>113</v>
      </c>
      <c r="L14" s="124">
        <v>8</v>
      </c>
    </row>
    <row r="15" spans="2:20" ht="15.75" customHeight="1">
      <c r="B15" s="113">
        <v>114</v>
      </c>
      <c r="C15" s="114">
        <v>50</v>
      </c>
      <c r="D15" s="115">
        <v>900</v>
      </c>
      <c r="I15" s="122">
        <f t="shared" si="1"/>
        <v>114</v>
      </c>
      <c r="J15" s="123">
        <f t="shared" si="2"/>
        <v>124</v>
      </c>
      <c r="K15" s="123">
        <f t="shared" si="0"/>
        <v>134</v>
      </c>
      <c r="L15" s="124">
        <v>9</v>
      </c>
    </row>
    <row r="16" spans="2:20" ht="15.75" customHeight="1">
      <c r="B16" s="113">
        <v>135</v>
      </c>
      <c r="C16" s="114">
        <v>57</v>
      </c>
      <c r="D16" s="115">
        <v>1000</v>
      </c>
      <c r="I16" s="122">
        <f t="shared" si="1"/>
        <v>135</v>
      </c>
      <c r="J16" s="123">
        <f t="shared" si="2"/>
        <v>147</v>
      </c>
      <c r="K16" s="123">
        <f t="shared" si="0"/>
        <v>160</v>
      </c>
      <c r="L16" s="124">
        <v>10</v>
      </c>
    </row>
    <row r="17" spans="2:12" ht="15.75" customHeight="1">
      <c r="B17" s="113">
        <v>161</v>
      </c>
      <c r="C17" s="114">
        <v>66</v>
      </c>
      <c r="D17" s="115">
        <v>1100</v>
      </c>
      <c r="I17" s="122">
        <f t="shared" si="1"/>
        <v>161</v>
      </c>
      <c r="J17" s="123">
        <f t="shared" si="2"/>
        <v>176</v>
      </c>
      <c r="K17" s="123">
        <f t="shared" si="0"/>
        <v>191</v>
      </c>
      <c r="L17" s="124">
        <v>11</v>
      </c>
    </row>
    <row r="18" spans="2:12" ht="15.75" customHeight="1">
      <c r="B18" s="113">
        <v>192</v>
      </c>
      <c r="C18" s="114">
        <v>76</v>
      </c>
      <c r="D18" s="115">
        <v>1200</v>
      </c>
      <c r="I18" s="122">
        <f t="shared" si="1"/>
        <v>192</v>
      </c>
      <c r="J18" s="123">
        <f t="shared" si="2"/>
        <v>209</v>
      </c>
      <c r="K18" s="123">
        <f t="shared" si="0"/>
        <v>227</v>
      </c>
      <c r="L18" s="124">
        <v>12</v>
      </c>
    </row>
    <row r="19" spans="2:12" ht="15.75" customHeight="1">
      <c r="B19" s="113">
        <v>228</v>
      </c>
      <c r="C19" s="114">
        <v>87</v>
      </c>
      <c r="D19" s="115">
        <v>1300</v>
      </c>
      <c r="I19" s="122">
        <f t="shared" si="1"/>
        <v>228</v>
      </c>
      <c r="J19" s="123">
        <f t="shared" si="2"/>
        <v>248</v>
      </c>
      <c r="K19" s="123">
        <f t="shared" si="0"/>
        <v>268</v>
      </c>
      <c r="L19" s="124">
        <v>13</v>
      </c>
    </row>
    <row r="20" spans="2:12" ht="15.75" customHeight="1">
      <c r="B20" s="113">
        <v>269</v>
      </c>
      <c r="C20" s="114">
        <v>100</v>
      </c>
      <c r="D20" s="115">
        <v>1400</v>
      </c>
      <c r="I20" s="122">
        <f t="shared" si="1"/>
        <v>269</v>
      </c>
      <c r="J20" s="123">
        <f t="shared" si="2"/>
        <v>291</v>
      </c>
      <c r="K20" s="123">
        <f t="shared" si="0"/>
        <v>313</v>
      </c>
      <c r="L20" s="124">
        <v>14</v>
      </c>
    </row>
    <row r="21" spans="2:12" ht="15.75" customHeight="1">
      <c r="B21" s="113">
        <v>314</v>
      </c>
      <c r="C21" s="114">
        <v>115</v>
      </c>
      <c r="D21" s="115">
        <v>1500</v>
      </c>
      <c r="I21" s="122">
        <f t="shared" si="1"/>
        <v>314</v>
      </c>
      <c r="J21" s="123">
        <f t="shared" si="2"/>
        <v>342</v>
      </c>
      <c r="K21" s="123">
        <f t="shared" si="0"/>
        <v>370</v>
      </c>
      <c r="L21" s="124">
        <v>15</v>
      </c>
    </row>
    <row r="22" spans="2:12" ht="15.75" customHeight="1">
      <c r="B22" s="113">
        <v>371</v>
      </c>
      <c r="C22" s="114">
        <v>132</v>
      </c>
      <c r="D22" s="115">
        <v>1600</v>
      </c>
      <c r="I22" s="122">
        <f t="shared" si="1"/>
        <v>371</v>
      </c>
      <c r="J22" s="123">
        <f t="shared" si="2"/>
        <v>404</v>
      </c>
      <c r="K22" s="123">
        <f t="shared" si="0"/>
        <v>438</v>
      </c>
      <c r="L22" s="124">
        <v>16</v>
      </c>
    </row>
    <row r="23" spans="2:12" ht="15.75" customHeight="1">
      <c r="B23" s="113">
        <v>439</v>
      </c>
      <c r="C23" s="114">
        <v>152</v>
      </c>
      <c r="D23" s="115">
        <v>1700</v>
      </c>
      <c r="I23" s="122">
        <f t="shared" si="1"/>
        <v>439</v>
      </c>
      <c r="J23" s="123">
        <f t="shared" si="2"/>
        <v>478</v>
      </c>
      <c r="K23" s="123">
        <f t="shared" si="0"/>
        <v>518</v>
      </c>
      <c r="L23" s="124">
        <v>17</v>
      </c>
    </row>
    <row r="24" spans="2:12" ht="15.75" customHeight="1">
      <c r="B24" s="113">
        <v>519</v>
      </c>
      <c r="C24" s="114">
        <v>175</v>
      </c>
      <c r="D24" s="115">
        <v>1800</v>
      </c>
      <c r="I24" s="122">
        <f t="shared" si="1"/>
        <v>519</v>
      </c>
      <c r="J24" s="123">
        <f t="shared" si="2"/>
        <v>566</v>
      </c>
      <c r="K24" s="123">
        <f t="shared" si="0"/>
        <v>613</v>
      </c>
      <c r="L24" s="124">
        <v>18</v>
      </c>
    </row>
    <row r="25" spans="2:12" ht="15.75" customHeight="1">
      <c r="B25" s="113">
        <v>614</v>
      </c>
      <c r="C25" s="114">
        <v>200</v>
      </c>
      <c r="D25" s="115">
        <v>1900</v>
      </c>
      <c r="I25" s="122">
        <f t="shared" si="1"/>
        <v>614</v>
      </c>
      <c r="J25" s="123">
        <f t="shared" si="2"/>
        <v>674</v>
      </c>
      <c r="K25" s="123">
        <f t="shared" si="0"/>
        <v>734</v>
      </c>
      <c r="L25" s="124">
        <v>19</v>
      </c>
    </row>
    <row r="26" spans="2:12" ht="15.75" customHeight="1">
      <c r="B26" s="113">
        <v>735</v>
      </c>
      <c r="C26" s="114">
        <v>230</v>
      </c>
      <c r="D26" s="115">
        <v>2000</v>
      </c>
      <c r="I26" s="122">
        <f t="shared" si="1"/>
        <v>735</v>
      </c>
      <c r="J26" s="123">
        <f t="shared" si="2"/>
        <v>807</v>
      </c>
      <c r="K26" s="123">
        <f t="shared" si="0"/>
        <v>879</v>
      </c>
      <c r="L26" s="124">
        <v>20</v>
      </c>
    </row>
    <row r="27" spans="2:12" ht="15.75" customHeight="1">
      <c r="B27" s="113">
        <v>880</v>
      </c>
      <c r="C27" s="114">
        <v>264</v>
      </c>
      <c r="D27" s="115">
        <v>2100</v>
      </c>
      <c r="I27" s="122">
        <f t="shared" si="1"/>
        <v>880</v>
      </c>
      <c r="J27" s="123">
        <f t="shared" si="2"/>
        <v>967</v>
      </c>
      <c r="K27" s="123">
        <f t="shared" si="0"/>
        <v>1055</v>
      </c>
      <c r="L27" s="124">
        <v>21</v>
      </c>
    </row>
    <row r="28" spans="2:12" ht="15.75" customHeight="1">
      <c r="B28" s="113">
        <v>1056</v>
      </c>
      <c r="C28" s="114">
        <v>304</v>
      </c>
      <c r="D28" s="115">
        <v>2200</v>
      </c>
      <c r="I28" s="122">
        <f t="shared" ref="I28:I45" si="3">CHOOSE($M$3,B28,C28,MAX(I27,D28))</f>
        <v>1056</v>
      </c>
      <c r="J28" s="123">
        <f t="shared" si="2"/>
        <v>1158</v>
      </c>
      <c r="K28" s="123">
        <f t="shared" si="0"/>
        <v>1260</v>
      </c>
      <c r="L28" s="124">
        <v>22</v>
      </c>
    </row>
    <row r="29" spans="2:12" ht="15.75" customHeight="1">
      <c r="B29" s="113">
        <v>1261</v>
      </c>
      <c r="C29" s="114">
        <v>350</v>
      </c>
      <c r="D29" s="115">
        <v>2300</v>
      </c>
      <c r="I29" s="122">
        <f t="shared" si="3"/>
        <v>1261</v>
      </c>
      <c r="J29" s="123">
        <f t="shared" si="2"/>
        <v>1384</v>
      </c>
      <c r="K29" s="123">
        <f t="shared" si="0"/>
        <v>1507</v>
      </c>
      <c r="L29" s="124">
        <v>23</v>
      </c>
    </row>
    <row r="30" spans="2:12" ht="15.75" customHeight="1">
      <c r="B30" s="113">
        <v>1508</v>
      </c>
      <c r="C30" s="114">
        <v>400</v>
      </c>
      <c r="D30" s="115">
        <v>2400</v>
      </c>
      <c r="I30" s="122">
        <f t="shared" si="3"/>
        <v>1508</v>
      </c>
      <c r="J30" s="123">
        <f t="shared" si="2"/>
        <v>1654</v>
      </c>
      <c r="K30" s="123">
        <f t="shared" si="0"/>
        <v>1800</v>
      </c>
      <c r="L30" s="124">
        <v>24</v>
      </c>
    </row>
    <row r="31" spans="2:12" ht="15.75" customHeight="1">
      <c r="B31" s="113">
        <v>1801</v>
      </c>
      <c r="C31" s="114">
        <v>460</v>
      </c>
      <c r="D31" s="115">
        <v>2500</v>
      </c>
      <c r="I31" s="122">
        <f t="shared" si="3"/>
        <v>1801</v>
      </c>
      <c r="J31" s="123">
        <f t="shared" si="2"/>
        <v>1970</v>
      </c>
      <c r="K31" s="123">
        <f t="shared" si="0"/>
        <v>2140</v>
      </c>
      <c r="L31" s="124">
        <v>25</v>
      </c>
    </row>
    <row r="32" spans="2:12" ht="15.75" customHeight="1">
      <c r="B32" s="113">
        <v>2141</v>
      </c>
      <c r="C32" s="114">
        <v>528</v>
      </c>
      <c r="D32" s="115">
        <v>2600</v>
      </c>
      <c r="I32" s="122">
        <f t="shared" si="3"/>
        <v>2141</v>
      </c>
      <c r="J32" s="123">
        <f>INT(AVERAGE(I32,K32))</f>
        <v>2345</v>
      </c>
      <c r="K32" s="123">
        <f>I33-1</f>
        <v>2550</v>
      </c>
      <c r="L32" s="124">
        <v>26</v>
      </c>
    </row>
    <row r="33" spans="2:12" ht="15.75" customHeight="1">
      <c r="B33" s="113">
        <v>2551</v>
      </c>
      <c r="C33" s="114">
        <v>608</v>
      </c>
      <c r="D33" s="115">
        <v>2700</v>
      </c>
      <c r="I33" s="122">
        <f t="shared" si="3"/>
        <v>2551</v>
      </c>
      <c r="J33" s="123">
        <f t="shared" ref="J33:J44" si="4">INT(AVERAGE(I33,K33))</f>
        <v>2785</v>
      </c>
      <c r="K33" s="123">
        <f t="shared" ref="K33:K44" si="5">I34-1</f>
        <v>3020</v>
      </c>
      <c r="L33" s="124">
        <v>27</v>
      </c>
    </row>
    <row r="34" spans="2:12" ht="15.75" customHeight="1">
      <c r="B34" s="113">
        <v>3021</v>
      </c>
      <c r="C34" s="114">
        <v>700</v>
      </c>
      <c r="D34" s="115">
        <v>2800</v>
      </c>
      <c r="I34" s="122">
        <f t="shared" si="3"/>
        <v>3021</v>
      </c>
      <c r="J34" s="123">
        <f t="shared" si="4"/>
        <v>3300</v>
      </c>
      <c r="K34" s="123">
        <f t="shared" si="5"/>
        <v>3580</v>
      </c>
      <c r="L34" s="124">
        <v>28</v>
      </c>
    </row>
    <row r="35" spans="2:12" ht="15.75" customHeight="1">
      <c r="B35" s="113">
        <v>3581</v>
      </c>
      <c r="C35" s="114">
        <v>800</v>
      </c>
      <c r="D35" s="115">
        <v>2900</v>
      </c>
      <c r="I35" s="122">
        <f t="shared" si="3"/>
        <v>3581</v>
      </c>
      <c r="J35" s="123">
        <f t="shared" si="4"/>
        <v>3915</v>
      </c>
      <c r="K35" s="123">
        <f t="shared" si="5"/>
        <v>4250</v>
      </c>
      <c r="L35" s="124">
        <v>29</v>
      </c>
    </row>
    <row r="36" spans="2:12" ht="15.75" customHeight="1">
      <c r="B36" s="113">
        <v>4251</v>
      </c>
      <c r="C36" s="114">
        <v>920</v>
      </c>
      <c r="D36" s="115">
        <v>3000</v>
      </c>
      <c r="I36" s="122">
        <f t="shared" si="3"/>
        <v>4251</v>
      </c>
      <c r="J36" s="123">
        <f t="shared" si="4"/>
        <v>4655</v>
      </c>
      <c r="K36" s="123">
        <f t="shared" si="5"/>
        <v>5060</v>
      </c>
      <c r="L36" s="124">
        <v>30</v>
      </c>
    </row>
    <row r="37" spans="2:12" ht="15.75" customHeight="1">
      <c r="B37" s="113">
        <v>5061</v>
      </c>
      <c r="C37" s="114">
        <v>1056</v>
      </c>
      <c r="D37" s="115">
        <v>3100</v>
      </c>
      <c r="I37" s="122">
        <f t="shared" si="3"/>
        <v>5061</v>
      </c>
      <c r="J37" s="123">
        <f t="shared" si="4"/>
        <v>5540</v>
      </c>
      <c r="K37" s="123">
        <f t="shared" si="5"/>
        <v>6020</v>
      </c>
      <c r="L37" s="124">
        <v>31</v>
      </c>
    </row>
    <row r="38" spans="2:12" ht="15.75" customHeight="1">
      <c r="B38" s="113">
        <v>6021</v>
      </c>
      <c r="C38" s="114">
        <v>1216</v>
      </c>
      <c r="D38" s="115">
        <v>3200</v>
      </c>
      <c r="I38" s="122">
        <f t="shared" si="3"/>
        <v>6021</v>
      </c>
      <c r="J38" s="123">
        <f t="shared" si="4"/>
        <v>6590</v>
      </c>
      <c r="K38" s="123">
        <f t="shared" si="5"/>
        <v>7160</v>
      </c>
      <c r="L38" s="124">
        <v>32</v>
      </c>
    </row>
    <row r="39" spans="2:12" ht="15.75" customHeight="1">
      <c r="B39" s="113">
        <v>7161</v>
      </c>
      <c r="C39" s="114">
        <v>1400</v>
      </c>
      <c r="D39" s="115">
        <v>3300</v>
      </c>
      <c r="I39" s="122">
        <f t="shared" si="3"/>
        <v>7161</v>
      </c>
      <c r="J39" s="123">
        <f t="shared" si="4"/>
        <v>7740</v>
      </c>
      <c r="K39" s="123">
        <f t="shared" si="5"/>
        <v>8320</v>
      </c>
      <c r="L39" s="124">
        <v>33</v>
      </c>
    </row>
    <row r="40" spans="2:12" ht="15.75" customHeight="1">
      <c r="B40" s="113">
        <v>8321</v>
      </c>
      <c r="C40" s="114">
        <v>1600</v>
      </c>
      <c r="D40" s="115">
        <v>3400</v>
      </c>
      <c r="I40" s="122">
        <f t="shared" si="3"/>
        <v>8321</v>
      </c>
      <c r="J40" s="123">
        <f t="shared" si="4"/>
        <v>8980</v>
      </c>
      <c r="K40" s="123">
        <f t="shared" si="5"/>
        <v>9640</v>
      </c>
      <c r="L40" s="124">
        <v>34</v>
      </c>
    </row>
    <row r="41" spans="2:12" ht="15.75" customHeight="1">
      <c r="B41" s="113">
        <v>9641</v>
      </c>
      <c r="C41" s="114">
        <v>1840</v>
      </c>
      <c r="D41" s="115">
        <v>3500</v>
      </c>
      <c r="I41" s="122">
        <f t="shared" si="3"/>
        <v>9641</v>
      </c>
      <c r="J41" s="123">
        <f t="shared" si="4"/>
        <v>10410</v>
      </c>
      <c r="K41" s="123">
        <f t="shared" si="5"/>
        <v>11180</v>
      </c>
      <c r="L41" s="124">
        <v>35</v>
      </c>
    </row>
    <row r="42" spans="2:12" ht="15.75" customHeight="1">
      <c r="B42" s="113">
        <v>11181</v>
      </c>
      <c r="C42" s="114">
        <v>2112</v>
      </c>
      <c r="D42" s="115">
        <v>3600</v>
      </c>
      <c r="I42" s="122">
        <f t="shared" si="3"/>
        <v>11181</v>
      </c>
      <c r="J42" s="123">
        <f t="shared" si="4"/>
        <v>12080</v>
      </c>
      <c r="K42" s="123">
        <f t="shared" si="5"/>
        <v>12980</v>
      </c>
      <c r="L42" s="124">
        <v>36</v>
      </c>
    </row>
    <row r="43" spans="2:12" ht="15.75" customHeight="1">
      <c r="B43" s="113">
        <v>12981</v>
      </c>
      <c r="C43" s="114">
        <v>2432</v>
      </c>
      <c r="D43" s="115">
        <v>3700</v>
      </c>
      <c r="I43" s="122">
        <f t="shared" si="3"/>
        <v>12981</v>
      </c>
      <c r="J43" s="123">
        <f t="shared" si="4"/>
        <v>14030</v>
      </c>
      <c r="K43" s="123">
        <f t="shared" si="5"/>
        <v>15080</v>
      </c>
      <c r="L43" s="124">
        <v>37</v>
      </c>
    </row>
    <row r="44" spans="2:12" ht="15.75" customHeight="1">
      <c r="B44" s="113">
        <v>15081</v>
      </c>
      <c r="C44" s="114">
        <v>2800</v>
      </c>
      <c r="D44" s="115">
        <v>3800</v>
      </c>
      <c r="I44" s="122">
        <f t="shared" si="3"/>
        <v>15081</v>
      </c>
      <c r="J44" s="123">
        <f t="shared" si="4"/>
        <v>16310</v>
      </c>
      <c r="K44" s="123">
        <f t="shared" si="5"/>
        <v>17540</v>
      </c>
      <c r="L44" s="124">
        <v>38</v>
      </c>
    </row>
    <row r="45" spans="2:12" ht="15.75" customHeight="1" thickBot="1">
      <c r="B45" s="116">
        <v>17541</v>
      </c>
      <c r="C45" s="117">
        <v>3200</v>
      </c>
      <c r="D45" s="118">
        <v>3900</v>
      </c>
      <c r="I45" s="125">
        <f t="shared" si="3"/>
        <v>17541</v>
      </c>
      <c r="J45" s="126"/>
      <c r="K45" s="126"/>
      <c r="L45" s="127" t="s">
        <v>24</v>
      </c>
    </row>
    <row r="46" spans="2:12" ht="15.75" customHeight="1" thickTop="1"/>
  </sheetData>
  <customSheetViews>
    <customSheetView guid="{405707A2-D644-4113-A905-B4AA69DE216D}" showRowCol="0" showRuler="0">
      <selection activeCell="B1" sqref="B1"/>
      <pageMargins left="1.5354330708661419" right="0.74803149606299213" top="0.98425196850393704" bottom="0.98425196850393704" header="0.51181102362204722" footer="0.51181102362204722"/>
      <printOptions horizontalCentered="1"/>
      <pageSetup paperSize="9" orientation="portrait" r:id="rId1"/>
      <headerFooter alignWithMargins="0"/>
    </customSheetView>
  </customSheetViews>
  <mergeCells count="4">
    <mergeCell ref="I4:L4"/>
    <mergeCell ref="B4:B5"/>
    <mergeCell ref="C4:C5"/>
    <mergeCell ref="D4:D5"/>
  </mergeCells>
  <phoneticPr fontId="71" type="noConversion"/>
  <printOptions horizontalCentered="1" verticalCentered="1"/>
  <pageMargins left="0.6692913385826772" right="0.74803149606299213" top="0.98425196850393704" bottom="0.98425196850393704" header="0.51181102362204722" footer="0.51181102362204722"/>
  <pageSetup paperSize="9" orientation="portrait" verticalDpi="300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4126" r:id="rId5" name="OptionButton3">
          <controlPr defaultSize="0" autoLine="0" autoPict="0" linkedCell="Jobgrades!O2" r:id="rId6">
            <anchor moveWithCells="1">
              <from>
                <xdr:col>1</xdr:col>
                <xdr:colOff>0</xdr:colOff>
                <xdr:row>2</xdr:row>
                <xdr:rowOff>323850</xdr:rowOff>
              </from>
              <to>
                <xdr:col>4</xdr:col>
                <xdr:colOff>19050</xdr:colOff>
                <xdr:row>2</xdr:row>
                <xdr:rowOff>523875</xdr:rowOff>
              </to>
            </anchor>
          </controlPr>
        </control>
      </mc:Choice>
      <mc:Fallback>
        <control shapeId="4126" r:id="rId5" name="OptionButton3"/>
      </mc:Fallback>
    </mc:AlternateContent>
    <mc:AlternateContent xmlns:mc="http://schemas.openxmlformats.org/markup-compatibility/2006">
      <mc:Choice Requires="x14">
        <control shapeId="4125" r:id="rId7" name="OptionButton2">
          <controlPr defaultSize="0" autoLine="0" autoPict="0" linkedCell="Jobgrades!N2" r:id="rId8">
            <anchor moveWithCells="1">
              <from>
                <xdr:col>1</xdr:col>
                <xdr:colOff>0</xdr:colOff>
                <xdr:row>2</xdr:row>
                <xdr:rowOff>104775</xdr:rowOff>
              </from>
              <to>
                <xdr:col>4</xdr:col>
                <xdr:colOff>19050</xdr:colOff>
                <xdr:row>2</xdr:row>
                <xdr:rowOff>304800</xdr:rowOff>
              </to>
            </anchor>
          </controlPr>
        </control>
      </mc:Choice>
      <mc:Fallback>
        <control shapeId="4125" r:id="rId7" name="OptionButton2"/>
      </mc:Fallback>
    </mc:AlternateContent>
    <mc:AlternateContent xmlns:mc="http://schemas.openxmlformats.org/markup-compatibility/2006">
      <mc:Choice Requires="x14">
        <control shapeId="4124" r:id="rId9" name="OptionButton1">
          <controlPr defaultSize="0" autoLine="0" autoPict="0" linkedCell="Jobgrades!M2" r:id="rId10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4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4124" r:id="rId9" name="Option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22"/>
  </sheetPr>
  <dimension ref="A1:AB40"/>
  <sheetViews>
    <sheetView showRowColHeaders="0" workbookViewId="0">
      <pane xSplit="3" ySplit="2" topLeftCell="D3" activePane="bottomRight" state="frozen"/>
      <selection activeCell="B2" sqref="B2"/>
      <selection pane="topRight" activeCell="B2" sqref="B2"/>
      <selection pane="bottomLeft" activeCell="B2" sqref="B2"/>
      <selection pane="bottomRight" activeCell="F9" sqref="F9"/>
    </sheetView>
  </sheetViews>
  <sheetFormatPr defaultColWidth="40.6640625" defaultRowHeight="60" customHeight="1"/>
  <cols>
    <col min="1" max="3" width="10.6640625" style="135" customWidth="1"/>
    <col min="4" max="8" width="15.1640625" style="138" customWidth="1"/>
    <col min="9" max="9" width="15.1640625" style="137" customWidth="1"/>
    <col min="10" max="24" width="15.1640625" style="138" customWidth="1"/>
    <col min="25" max="25" width="16.5" style="138" customWidth="1"/>
    <col min="26" max="27" width="15.1640625" style="138" customWidth="1"/>
    <col min="28" max="28" width="20.6640625" style="138" customWidth="1"/>
    <col min="29" max="42" width="15.1640625" style="138" customWidth="1"/>
    <col min="43" max="49" width="35.6640625" style="138" customWidth="1"/>
    <col min="50" max="16384" width="40.6640625" style="138"/>
  </cols>
  <sheetData>
    <row r="1" spans="1:28" s="135" customFormat="1" ht="25.15" customHeight="1">
      <c r="A1" s="135" t="s">
        <v>303</v>
      </c>
      <c r="B1" s="135" t="s">
        <v>304</v>
      </c>
      <c r="C1" s="135" t="s">
        <v>305</v>
      </c>
      <c r="D1" s="263" t="s">
        <v>306</v>
      </c>
      <c r="E1" s="264"/>
      <c r="F1" s="263" t="s">
        <v>307</v>
      </c>
      <c r="G1" s="265"/>
      <c r="H1" s="265"/>
      <c r="I1" s="264"/>
      <c r="J1" s="263" t="s">
        <v>308</v>
      </c>
      <c r="K1" s="264"/>
      <c r="L1" s="135" t="s">
        <v>309</v>
      </c>
      <c r="M1" s="263" t="s">
        <v>310</v>
      </c>
      <c r="N1" s="265"/>
      <c r="O1" s="264"/>
      <c r="P1" s="263" t="s">
        <v>311</v>
      </c>
      <c r="Q1" s="264"/>
      <c r="R1" s="263" t="s">
        <v>312</v>
      </c>
      <c r="S1" s="264"/>
      <c r="T1" s="135" t="s">
        <v>313</v>
      </c>
      <c r="U1" s="135" t="s">
        <v>314</v>
      </c>
      <c r="V1" s="263" t="s">
        <v>315</v>
      </c>
      <c r="W1" s="264"/>
      <c r="X1" s="135" t="s">
        <v>316</v>
      </c>
      <c r="Y1" s="263" t="s">
        <v>317</v>
      </c>
      <c r="Z1" s="265"/>
      <c r="AA1" s="264"/>
      <c r="AB1" s="135" t="s">
        <v>318</v>
      </c>
    </row>
    <row r="2" spans="1:28" s="135" customFormat="1" ht="29.25">
      <c r="D2" s="135" t="s">
        <v>319</v>
      </c>
      <c r="E2" s="135" t="s">
        <v>320</v>
      </c>
      <c r="F2" s="135" t="s">
        <v>321</v>
      </c>
      <c r="G2" s="135" t="s">
        <v>322</v>
      </c>
      <c r="H2" s="135" t="s">
        <v>323</v>
      </c>
      <c r="I2" s="135" t="s">
        <v>324</v>
      </c>
      <c r="J2" s="135" t="s">
        <v>325</v>
      </c>
      <c r="K2" s="135" t="s">
        <v>326</v>
      </c>
      <c r="L2" s="135" t="s">
        <v>327</v>
      </c>
      <c r="M2" s="135" t="s">
        <v>328</v>
      </c>
      <c r="N2" s="135" t="s">
        <v>329</v>
      </c>
      <c r="O2" s="135" t="s">
        <v>330</v>
      </c>
      <c r="P2" s="135" t="s">
        <v>331</v>
      </c>
      <c r="Q2" s="135" t="s">
        <v>332</v>
      </c>
      <c r="R2" s="135" t="s">
        <v>333</v>
      </c>
      <c r="S2" s="135" t="s">
        <v>334</v>
      </c>
      <c r="T2" s="135" t="s">
        <v>335</v>
      </c>
      <c r="U2" s="135" t="s">
        <v>336</v>
      </c>
      <c r="V2" s="135" t="s">
        <v>337</v>
      </c>
      <c r="W2" s="135" t="s">
        <v>338</v>
      </c>
      <c r="X2" s="135" t="s">
        <v>339</v>
      </c>
      <c r="Y2" s="135" t="s">
        <v>340</v>
      </c>
      <c r="Z2" s="135" t="s">
        <v>341</v>
      </c>
      <c r="AA2" s="135" t="s">
        <v>342</v>
      </c>
      <c r="AB2" s="135" t="s">
        <v>343</v>
      </c>
    </row>
    <row r="3" spans="1:28" s="136" customFormat="1" ht="48" customHeight="1">
      <c r="A3" s="135">
        <v>21</v>
      </c>
      <c r="B3" s="135" t="s">
        <v>344</v>
      </c>
      <c r="C3" s="135">
        <v>954</v>
      </c>
      <c r="F3" s="137" t="s">
        <v>345</v>
      </c>
    </row>
    <row r="4" spans="1:28" ht="48" customHeight="1">
      <c r="A4" s="135">
        <v>20</v>
      </c>
      <c r="B4" s="135" t="s">
        <v>346</v>
      </c>
      <c r="C4" s="135">
        <v>805</v>
      </c>
      <c r="N4" s="137"/>
      <c r="X4" s="137" t="s">
        <v>347</v>
      </c>
    </row>
    <row r="5" spans="1:28" ht="48" customHeight="1">
      <c r="A5" s="135">
        <v>19</v>
      </c>
      <c r="B5" s="135" t="s">
        <v>348</v>
      </c>
      <c r="C5" s="135">
        <v>677</v>
      </c>
      <c r="D5" s="138" t="s">
        <v>349</v>
      </c>
      <c r="E5" s="137" t="s">
        <v>350</v>
      </c>
      <c r="F5" s="138" t="s">
        <v>351</v>
      </c>
      <c r="G5" s="138" t="s">
        <v>352</v>
      </c>
      <c r="H5" s="138" t="s">
        <v>353</v>
      </c>
      <c r="L5" s="138" t="s">
        <v>354</v>
      </c>
      <c r="N5" s="137" t="s">
        <v>355</v>
      </c>
      <c r="Q5" s="138" t="s">
        <v>356</v>
      </c>
      <c r="R5" s="138" t="s">
        <v>357</v>
      </c>
      <c r="T5" s="138" t="s">
        <v>358</v>
      </c>
      <c r="W5" s="137" t="s">
        <v>359</v>
      </c>
      <c r="X5" s="138" t="s">
        <v>360</v>
      </c>
    </row>
    <row r="6" spans="1:28" ht="48" customHeight="1">
      <c r="A6" s="135">
        <v>18</v>
      </c>
      <c r="B6" s="135" t="s">
        <v>361</v>
      </c>
      <c r="C6" s="135">
        <v>571</v>
      </c>
      <c r="E6" s="138" t="s">
        <v>362</v>
      </c>
      <c r="G6" s="138" t="s">
        <v>363</v>
      </c>
      <c r="I6" s="137" t="s">
        <v>364</v>
      </c>
      <c r="J6" s="138" t="s">
        <v>365</v>
      </c>
      <c r="K6" s="138" t="s">
        <v>366</v>
      </c>
      <c r="L6" s="138" t="s">
        <v>367</v>
      </c>
      <c r="M6" s="137" t="s">
        <v>368</v>
      </c>
      <c r="N6" s="137" t="s">
        <v>369</v>
      </c>
      <c r="T6" s="138" t="s">
        <v>370</v>
      </c>
      <c r="U6" s="138" t="s">
        <v>371</v>
      </c>
      <c r="V6" s="138" t="s">
        <v>372</v>
      </c>
      <c r="W6" s="138" t="s">
        <v>373</v>
      </c>
      <c r="X6" s="138" t="s">
        <v>374</v>
      </c>
      <c r="AB6" s="138" t="s">
        <v>375</v>
      </c>
    </row>
    <row r="7" spans="1:28" ht="48" customHeight="1">
      <c r="A7" s="135">
        <v>17</v>
      </c>
      <c r="B7" s="135" t="s">
        <v>376</v>
      </c>
      <c r="C7" s="135">
        <v>479</v>
      </c>
      <c r="E7" s="138" t="s">
        <v>377</v>
      </c>
      <c r="F7" s="138" t="s">
        <v>378</v>
      </c>
      <c r="G7" s="138" t="s">
        <v>379</v>
      </c>
      <c r="H7" s="138" t="s">
        <v>380</v>
      </c>
      <c r="I7" s="137" t="s">
        <v>381</v>
      </c>
      <c r="J7" s="138" t="s">
        <v>382</v>
      </c>
      <c r="K7" s="138" t="s">
        <v>383</v>
      </c>
      <c r="L7" s="137" t="s">
        <v>384</v>
      </c>
      <c r="M7" s="137" t="s">
        <v>385</v>
      </c>
      <c r="N7" s="137" t="s">
        <v>386</v>
      </c>
      <c r="O7" s="138" t="s">
        <v>387</v>
      </c>
      <c r="P7" s="139" t="s">
        <v>388</v>
      </c>
      <c r="Q7" s="137" t="s">
        <v>389</v>
      </c>
      <c r="R7" s="138" t="s">
        <v>390</v>
      </c>
      <c r="T7" s="138" t="s">
        <v>391</v>
      </c>
      <c r="U7" s="138" t="s">
        <v>392</v>
      </c>
      <c r="X7" s="138" t="s">
        <v>393</v>
      </c>
      <c r="AB7" s="138" t="s">
        <v>394</v>
      </c>
    </row>
    <row r="8" spans="1:28" ht="48" customHeight="1">
      <c r="A8" s="135">
        <v>16</v>
      </c>
      <c r="B8" s="135" t="s">
        <v>395</v>
      </c>
      <c r="C8" s="135">
        <v>406</v>
      </c>
      <c r="D8" s="137" t="s">
        <v>396</v>
      </c>
      <c r="E8" s="138" t="s">
        <v>397</v>
      </c>
      <c r="F8" s="138" t="s">
        <v>398</v>
      </c>
      <c r="G8" s="138" t="s">
        <v>399</v>
      </c>
      <c r="H8" s="138" t="s">
        <v>400</v>
      </c>
      <c r="I8" s="137" t="s">
        <v>401</v>
      </c>
      <c r="J8" s="138" t="s">
        <v>402</v>
      </c>
      <c r="K8" s="138" t="s">
        <v>403</v>
      </c>
      <c r="L8" s="137" t="s">
        <v>404</v>
      </c>
      <c r="M8" s="137" t="s">
        <v>405</v>
      </c>
      <c r="N8" s="137" t="s">
        <v>406</v>
      </c>
      <c r="O8" s="138" t="s">
        <v>407</v>
      </c>
      <c r="Q8" s="138" t="s">
        <v>408</v>
      </c>
      <c r="T8" s="138" t="s">
        <v>409</v>
      </c>
      <c r="U8" s="138" t="s">
        <v>410</v>
      </c>
      <c r="V8" s="138" t="s">
        <v>411</v>
      </c>
      <c r="W8" s="137" t="s">
        <v>412</v>
      </c>
      <c r="X8" s="138" t="s">
        <v>413</v>
      </c>
      <c r="AB8" s="138" t="s">
        <v>414</v>
      </c>
    </row>
    <row r="9" spans="1:28" ht="48" customHeight="1">
      <c r="A9" s="135">
        <v>15</v>
      </c>
      <c r="B9" s="135" t="s">
        <v>415</v>
      </c>
      <c r="C9" s="135">
        <v>342</v>
      </c>
      <c r="D9" s="137" t="s">
        <v>416</v>
      </c>
      <c r="E9" s="138" t="s">
        <v>417</v>
      </c>
      <c r="F9" s="138" t="s">
        <v>418</v>
      </c>
      <c r="G9" s="138" t="s">
        <v>419</v>
      </c>
      <c r="I9" s="137" t="s">
        <v>420</v>
      </c>
      <c r="K9" s="138" t="s">
        <v>421</v>
      </c>
      <c r="L9" s="138" t="s">
        <v>422</v>
      </c>
      <c r="M9" s="137" t="s">
        <v>423</v>
      </c>
      <c r="N9" s="137" t="s">
        <v>424</v>
      </c>
      <c r="O9" s="138" t="s">
        <v>425</v>
      </c>
      <c r="Q9" s="138" t="s">
        <v>426</v>
      </c>
      <c r="R9" s="138" t="s">
        <v>427</v>
      </c>
      <c r="S9" s="138" t="s">
        <v>428</v>
      </c>
      <c r="T9" s="138" t="s">
        <v>429</v>
      </c>
      <c r="U9" s="138" t="s">
        <v>430</v>
      </c>
      <c r="W9" s="138" t="s">
        <v>431</v>
      </c>
      <c r="X9" s="138" t="s">
        <v>432</v>
      </c>
      <c r="Y9" s="137" t="s">
        <v>433</v>
      </c>
    </row>
    <row r="10" spans="1:28" ht="48" customHeight="1">
      <c r="A10" s="135">
        <v>14</v>
      </c>
      <c r="B10" s="135" t="s">
        <v>434</v>
      </c>
      <c r="C10" s="135">
        <v>291</v>
      </c>
      <c r="D10" s="137" t="s">
        <v>435</v>
      </c>
      <c r="F10" s="138" t="s">
        <v>436</v>
      </c>
      <c r="G10" s="138" t="s">
        <v>437</v>
      </c>
      <c r="H10" s="138" t="s">
        <v>438</v>
      </c>
      <c r="K10" s="138" t="s">
        <v>439</v>
      </c>
      <c r="M10" s="137" t="s">
        <v>440</v>
      </c>
      <c r="N10" s="137"/>
      <c r="P10" s="138" t="s">
        <v>441</v>
      </c>
      <c r="Q10" s="137" t="s">
        <v>442</v>
      </c>
      <c r="R10" s="138" t="s">
        <v>443</v>
      </c>
      <c r="U10" s="138" t="s">
        <v>444</v>
      </c>
      <c r="V10" s="138" t="s">
        <v>445</v>
      </c>
      <c r="X10" s="138" t="s">
        <v>446</v>
      </c>
      <c r="Y10" s="137" t="s">
        <v>447</v>
      </c>
      <c r="Z10" s="138" t="s">
        <v>448</v>
      </c>
      <c r="AA10" s="138" t="s">
        <v>449</v>
      </c>
    </row>
    <row r="11" spans="1:28" ht="48" customHeight="1">
      <c r="A11" s="135">
        <v>13</v>
      </c>
      <c r="B11" s="135" t="s">
        <v>450</v>
      </c>
      <c r="C11" s="135">
        <v>252</v>
      </c>
      <c r="D11" s="138" t="s">
        <v>451</v>
      </c>
      <c r="F11" s="138" t="s">
        <v>452</v>
      </c>
      <c r="J11" s="137" t="s">
        <v>453</v>
      </c>
      <c r="K11" s="138" t="s">
        <v>454</v>
      </c>
      <c r="M11" s="137" t="s">
        <v>455</v>
      </c>
      <c r="O11" s="138" t="s">
        <v>456</v>
      </c>
      <c r="Q11" s="138" t="s">
        <v>457</v>
      </c>
      <c r="S11" s="138" t="s">
        <v>458</v>
      </c>
      <c r="T11" s="138" t="s">
        <v>459</v>
      </c>
      <c r="U11" s="138" t="s">
        <v>460</v>
      </c>
      <c r="V11" s="138" t="s">
        <v>461</v>
      </c>
      <c r="W11" s="138" t="s">
        <v>462</v>
      </c>
      <c r="X11" s="138" t="s">
        <v>463</v>
      </c>
      <c r="Y11" s="137" t="s">
        <v>464</v>
      </c>
      <c r="Z11" s="138" t="s">
        <v>465</v>
      </c>
      <c r="AA11" s="138" t="s">
        <v>466</v>
      </c>
      <c r="AB11" s="138" t="s">
        <v>467</v>
      </c>
    </row>
    <row r="12" spans="1:28" ht="48" customHeight="1">
      <c r="A12" s="135">
        <v>12</v>
      </c>
      <c r="B12" s="135" t="s">
        <v>468</v>
      </c>
      <c r="C12" s="135">
        <v>208</v>
      </c>
      <c r="D12" s="138" t="s">
        <v>469</v>
      </c>
      <c r="F12" s="138" t="s">
        <v>470</v>
      </c>
      <c r="H12" s="138" t="s">
        <v>471</v>
      </c>
      <c r="P12" s="138" t="s">
        <v>472</v>
      </c>
      <c r="S12" s="138" t="s">
        <v>473</v>
      </c>
      <c r="T12" s="138" t="s">
        <v>474</v>
      </c>
      <c r="U12" s="138" t="s">
        <v>475</v>
      </c>
      <c r="X12" s="138" t="s">
        <v>476</v>
      </c>
      <c r="Y12" s="138" t="s">
        <v>477</v>
      </c>
      <c r="Z12" s="138" t="s">
        <v>478</v>
      </c>
    </row>
    <row r="13" spans="1:28" ht="48" customHeight="1">
      <c r="A13" s="135">
        <v>11</v>
      </c>
      <c r="B13" s="135" t="s">
        <v>479</v>
      </c>
      <c r="C13" s="135">
        <v>173</v>
      </c>
      <c r="D13" s="138" t="s">
        <v>480</v>
      </c>
      <c r="G13" s="138" t="s">
        <v>481</v>
      </c>
      <c r="S13" s="138" t="s">
        <v>482</v>
      </c>
      <c r="U13" s="138" t="s">
        <v>483</v>
      </c>
      <c r="X13" s="138" t="s">
        <v>484</v>
      </c>
      <c r="Y13" s="138" t="s">
        <v>485</v>
      </c>
      <c r="Z13" s="138" t="s">
        <v>486</v>
      </c>
    </row>
    <row r="14" spans="1:28" ht="48" customHeight="1">
      <c r="A14" s="135">
        <v>10</v>
      </c>
      <c r="B14" s="135" t="s">
        <v>487</v>
      </c>
      <c r="C14" s="135">
        <v>151</v>
      </c>
      <c r="D14" s="138" t="s">
        <v>488</v>
      </c>
      <c r="P14" s="138" t="s">
        <v>489</v>
      </c>
      <c r="Y14" s="138" t="s">
        <v>490</v>
      </c>
      <c r="Z14" s="138" t="s">
        <v>491</v>
      </c>
    </row>
    <row r="15" spans="1:28" ht="48" customHeight="1">
      <c r="A15" s="135">
        <v>9</v>
      </c>
      <c r="B15" s="135" t="s">
        <v>492</v>
      </c>
      <c r="C15" s="135">
        <v>125</v>
      </c>
      <c r="D15" s="138" t="s">
        <v>493</v>
      </c>
      <c r="X15" s="138" t="s">
        <v>494</v>
      </c>
      <c r="Y15" s="138" t="s">
        <v>495</v>
      </c>
      <c r="Z15" s="138" t="s">
        <v>496</v>
      </c>
    </row>
    <row r="16" spans="1:28" ht="48" customHeight="1">
      <c r="A16" s="135">
        <v>8</v>
      </c>
      <c r="B16" s="135" t="s">
        <v>497</v>
      </c>
      <c r="C16" s="135">
        <v>104</v>
      </c>
      <c r="D16" s="140"/>
      <c r="I16" s="137" t="s">
        <v>498</v>
      </c>
      <c r="W16" s="138" t="s">
        <v>499</v>
      </c>
      <c r="X16" s="138" t="s">
        <v>500</v>
      </c>
      <c r="Y16" s="138" t="s">
        <v>501</v>
      </c>
    </row>
    <row r="17" spans="1:23" ht="48" customHeight="1">
      <c r="A17" s="135">
        <v>7</v>
      </c>
      <c r="B17" s="135" t="s">
        <v>502</v>
      </c>
      <c r="C17" s="135">
        <v>90</v>
      </c>
      <c r="D17" s="140"/>
      <c r="W17" s="138" t="s">
        <v>503</v>
      </c>
    </row>
    <row r="18" spans="1:23" ht="48" customHeight="1">
      <c r="D18" s="140"/>
    </row>
    <row r="19" spans="1:23" ht="48" customHeight="1">
      <c r="D19" s="140"/>
    </row>
    <row r="20" spans="1:23" ht="48" customHeight="1"/>
    <row r="21" spans="1:23" ht="48" customHeight="1"/>
    <row r="22" spans="1:23" ht="48" customHeight="1"/>
    <row r="23" spans="1:23" ht="48" customHeight="1"/>
    <row r="24" spans="1:23" ht="48" customHeight="1"/>
    <row r="25" spans="1:23" ht="48" customHeight="1"/>
    <row r="26" spans="1:23" ht="48" customHeight="1"/>
    <row r="27" spans="1:23" ht="48" customHeight="1"/>
    <row r="28" spans="1:23" ht="48" customHeight="1"/>
    <row r="29" spans="1:23" ht="48" customHeight="1"/>
    <row r="30" spans="1:23" ht="48" customHeight="1"/>
    <row r="31" spans="1:23" ht="48" customHeight="1"/>
    <row r="32" spans="1:23" ht="48" customHeight="1"/>
    <row r="33" ht="48" customHeight="1"/>
    <row r="34" ht="48" customHeight="1"/>
    <row r="35" ht="48" customHeight="1"/>
    <row r="36" ht="48" customHeight="1"/>
    <row r="37" ht="48" customHeight="1"/>
    <row r="38" ht="48" customHeight="1"/>
    <row r="39" ht="48" customHeight="1"/>
    <row r="40" ht="48" customHeight="1"/>
  </sheetData>
  <mergeCells count="8">
    <mergeCell ref="V1:W1"/>
    <mergeCell ref="Y1:AA1"/>
    <mergeCell ref="D1:E1"/>
    <mergeCell ref="F1:I1"/>
    <mergeCell ref="J1:K1"/>
    <mergeCell ref="M1:O1"/>
    <mergeCell ref="P1:Q1"/>
    <mergeCell ref="R1:S1"/>
  </mergeCells>
  <phoneticPr fontId="7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I69"/>
  <sheetViews>
    <sheetView topLeftCell="AN13" workbookViewId="0">
      <selection activeCell="BH33" sqref="BH33"/>
    </sheetView>
  </sheetViews>
  <sheetFormatPr defaultRowHeight="12.75"/>
  <cols>
    <col min="2" max="2" width="5.33203125" customWidth="1"/>
    <col min="3" max="4" width="5.5" customWidth="1"/>
    <col min="5" max="5" width="5.1640625" customWidth="1"/>
    <col min="6" max="6" width="5.5" customWidth="1"/>
    <col min="7" max="7" width="5.6640625" customWidth="1"/>
    <col min="8" max="9" width="5.5" customWidth="1"/>
    <col min="10" max="10" width="4" customWidth="1"/>
    <col min="11" max="11" width="4.6640625" customWidth="1"/>
    <col min="12" max="13" width="5.33203125" customWidth="1"/>
    <col min="14" max="14" width="5.5" customWidth="1"/>
    <col min="15" max="15" width="4.6640625" customWidth="1"/>
    <col min="16" max="16" width="5.33203125" customWidth="1"/>
    <col min="17" max="17" width="4.5" customWidth="1"/>
    <col min="18" max="18" width="5.33203125" customWidth="1"/>
    <col min="19" max="19" width="4.5" customWidth="1"/>
    <col min="20" max="20" width="5" customWidth="1"/>
    <col min="21" max="21" width="4.6640625" customWidth="1"/>
    <col min="22" max="22" width="5" customWidth="1"/>
    <col min="23" max="23" width="4.5" customWidth="1"/>
    <col min="24" max="24" width="5.1640625" customWidth="1"/>
    <col min="25" max="26" width="4.5" customWidth="1"/>
    <col min="27" max="27" width="4" customWidth="1"/>
    <col min="28" max="28" width="6.1640625" customWidth="1"/>
    <col min="29" max="29" width="5.1640625" customWidth="1"/>
    <col min="30" max="30" width="5.5" customWidth="1"/>
    <col min="53" max="58" width="9.33203125" style="65"/>
    <col min="59" max="59" width="9.33203125" style="23"/>
  </cols>
  <sheetData>
    <row r="1" spans="1:60">
      <c r="BA1" s="65" t="s">
        <v>271</v>
      </c>
      <c r="BD1" s="65" t="s">
        <v>272</v>
      </c>
      <c r="BF1" s="65" t="s">
        <v>281</v>
      </c>
    </row>
    <row r="2" spans="1:60">
      <c r="BB2" s="70" t="s">
        <v>277</v>
      </c>
      <c r="BC2" s="70" t="s">
        <v>278</v>
      </c>
      <c r="BD2" s="70" t="s">
        <v>279</v>
      </c>
      <c r="BE2" s="70" t="s">
        <v>280</v>
      </c>
      <c r="BF2" s="70" t="s">
        <v>282</v>
      </c>
      <c r="BG2" s="23" t="s">
        <v>283</v>
      </c>
      <c r="BH2" t="s">
        <v>286</v>
      </c>
    </row>
    <row r="3" spans="1:60">
      <c r="A3" t="str">
        <f>C_Khd</f>
        <v>D</v>
      </c>
      <c r="BA3" s="69" t="s">
        <v>248</v>
      </c>
      <c r="BB3" s="65" t="s">
        <v>257</v>
      </c>
      <c r="BC3" s="65">
        <v>1</v>
      </c>
      <c r="BD3" s="69" t="s">
        <v>248</v>
      </c>
      <c r="BE3" s="65" t="s">
        <v>273</v>
      </c>
      <c r="BF3" s="69" t="s">
        <v>248</v>
      </c>
      <c r="BG3" s="23" t="s">
        <v>516</v>
      </c>
      <c r="BH3" s="23" t="s">
        <v>255</v>
      </c>
    </row>
    <row r="4" spans="1:60">
      <c r="A4" t="str">
        <f>C_Khb</f>
        <v>V</v>
      </c>
      <c r="BA4" s="67" t="s">
        <v>17</v>
      </c>
      <c r="BB4" s="65" t="s">
        <v>201</v>
      </c>
      <c r="BC4" s="65">
        <v>2</v>
      </c>
      <c r="BD4" s="67" t="s">
        <v>17</v>
      </c>
      <c r="BE4" s="65">
        <v>1</v>
      </c>
      <c r="BF4" s="67" t="s">
        <v>17</v>
      </c>
      <c r="BG4" s="23" t="s">
        <v>18</v>
      </c>
      <c r="BH4" s="23" t="s">
        <v>12</v>
      </c>
    </row>
    <row r="5" spans="1:60">
      <c r="A5">
        <f>C_KhHrs</f>
        <v>1</v>
      </c>
      <c r="B5">
        <f ca="1">OFFSET(Validation!$A$8,VLOOKUP(UPPER(LEFT(A3,1)),Validation!$A$9:$U$16,21),HLOOKUP(SUBSTITUTE(SUBSTITUTE(SUBSTITUTE(UPPER(A4),"+",""),"-",""),"N","T"),Validation!$B$7:$S$18,12,FALSE)*3+VALUE(LEFT(A5,1)))</f>
        <v>0</v>
      </c>
      <c r="BA5" s="67" t="s">
        <v>247</v>
      </c>
      <c r="BB5" s="65" t="s">
        <v>258</v>
      </c>
      <c r="BC5" s="65">
        <v>3</v>
      </c>
      <c r="BD5" s="67" t="s">
        <v>247</v>
      </c>
      <c r="BE5" s="65" t="s">
        <v>238</v>
      </c>
      <c r="BF5" s="67" t="s">
        <v>247</v>
      </c>
      <c r="BG5" s="23" t="s">
        <v>517</v>
      </c>
      <c r="BH5" s="23" t="s">
        <v>256</v>
      </c>
    </row>
    <row r="6" spans="1:60">
      <c r="BA6" s="67" t="s">
        <v>246</v>
      </c>
      <c r="BB6" s="65" t="s">
        <v>255</v>
      </c>
      <c r="BD6" s="67" t="s">
        <v>246</v>
      </c>
      <c r="BE6" s="65" t="s">
        <v>274</v>
      </c>
      <c r="BF6" s="67" t="s">
        <v>246</v>
      </c>
      <c r="BG6" s="65" t="s">
        <v>273</v>
      </c>
      <c r="BH6" s="23" t="s">
        <v>259</v>
      </c>
    </row>
    <row r="7" spans="1:60" s="53" customFormat="1" ht="13.5" customHeight="1">
      <c r="A7" s="52"/>
      <c r="B7" s="266" t="s">
        <v>201</v>
      </c>
      <c r="C7" s="267"/>
      <c r="D7" s="268"/>
      <c r="E7" s="266" t="s">
        <v>12</v>
      </c>
      <c r="F7" s="267"/>
      <c r="G7" s="268"/>
      <c r="H7" s="266" t="s">
        <v>6</v>
      </c>
      <c r="I7" s="267"/>
      <c r="J7" s="268"/>
      <c r="K7" s="266" t="s">
        <v>145</v>
      </c>
      <c r="L7" s="267"/>
      <c r="M7" s="268"/>
      <c r="N7" s="266" t="s">
        <v>155</v>
      </c>
      <c r="O7" s="267"/>
      <c r="P7" s="268"/>
      <c r="Q7" s="266" t="s">
        <v>13</v>
      </c>
      <c r="R7" s="267"/>
      <c r="S7" s="268"/>
      <c r="BA7" s="67" t="s">
        <v>10</v>
      </c>
      <c r="BB7" s="65" t="s">
        <v>12</v>
      </c>
      <c r="BC7" s="65"/>
      <c r="BD7" s="67" t="s">
        <v>10</v>
      </c>
      <c r="BE7" s="65">
        <v>2</v>
      </c>
      <c r="BF7" s="67" t="s">
        <v>10</v>
      </c>
      <c r="BG7" s="65">
        <v>1</v>
      </c>
      <c r="BH7" s="71" t="s">
        <v>6</v>
      </c>
    </row>
    <row r="8" spans="1:60" s="58" customFormat="1" ht="14.25" thickBot="1">
      <c r="A8" s="55"/>
      <c r="B8" s="56">
        <v>1</v>
      </c>
      <c r="C8" s="56">
        <v>2</v>
      </c>
      <c r="D8" s="56">
        <v>3</v>
      </c>
      <c r="E8" s="56">
        <v>1</v>
      </c>
      <c r="F8" s="56">
        <v>2</v>
      </c>
      <c r="G8" s="56">
        <v>3</v>
      </c>
      <c r="H8" s="56">
        <v>1</v>
      </c>
      <c r="I8" s="56">
        <v>2</v>
      </c>
      <c r="J8" s="56">
        <v>3</v>
      </c>
      <c r="K8" s="56">
        <v>1</v>
      </c>
      <c r="L8" s="56">
        <v>2</v>
      </c>
      <c r="M8" s="56">
        <v>3</v>
      </c>
      <c r="N8" s="56">
        <v>1</v>
      </c>
      <c r="O8" s="56">
        <v>2</v>
      </c>
      <c r="P8" s="56">
        <v>3</v>
      </c>
      <c r="Q8" s="56">
        <v>1</v>
      </c>
      <c r="R8" s="56">
        <v>2</v>
      </c>
      <c r="S8" s="57">
        <v>3</v>
      </c>
      <c r="BA8" s="67" t="s">
        <v>245</v>
      </c>
      <c r="BB8" s="65" t="s">
        <v>256</v>
      </c>
      <c r="BC8" s="65"/>
      <c r="BD8" s="67" t="s">
        <v>245</v>
      </c>
      <c r="BE8" s="65" t="s">
        <v>236</v>
      </c>
      <c r="BF8" s="67" t="s">
        <v>245</v>
      </c>
      <c r="BG8" s="65" t="s">
        <v>238</v>
      </c>
      <c r="BH8" s="71" t="s">
        <v>260</v>
      </c>
    </row>
    <row r="9" spans="1:60">
      <c r="A9" s="54" t="s">
        <v>17</v>
      </c>
      <c r="B9" s="145">
        <v>2</v>
      </c>
      <c r="C9" s="145">
        <v>1</v>
      </c>
      <c r="D9" s="145">
        <v>0</v>
      </c>
      <c r="E9" s="145">
        <v>1</v>
      </c>
      <c r="F9" s="145">
        <v>0</v>
      </c>
      <c r="G9" s="145">
        <v>0</v>
      </c>
      <c r="H9" s="145">
        <v>0</v>
      </c>
      <c r="I9" s="145">
        <v>0</v>
      </c>
      <c r="J9" s="145">
        <v>0</v>
      </c>
      <c r="K9" s="145">
        <v>0</v>
      </c>
      <c r="L9" s="145">
        <v>0</v>
      </c>
      <c r="M9" s="145">
        <v>0</v>
      </c>
      <c r="N9" s="145">
        <v>0</v>
      </c>
      <c r="O9" s="145">
        <v>0</v>
      </c>
      <c r="P9" s="145">
        <v>0</v>
      </c>
      <c r="Q9" s="145">
        <v>0</v>
      </c>
      <c r="R9" s="145">
        <v>0</v>
      </c>
      <c r="S9" s="145">
        <v>0</v>
      </c>
      <c r="U9">
        <v>1</v>
      </c>
      <c r="BA9" s="67" t="s">
        <v>237</v>
      </c>
      <c r="BB9" s="65" t="s">
        <v>259</v>
      </c>
      <c r="BD9" s="67" t="s">
        <v>237</v>
      </c>
      <c r="BE9" s="65" t="s">
        <v>242</v>
      </c>
      <c r="BF9" s="67" t="s">
        <v>237</v>
      </c>
      <c r="BG9" s="65" t="s">
        <v>274</v>
      </c>
      <c r="BH9" s="23" t="s">
        <v>261</v>
      </c>
    </row>
    <row r="10" spans="1:60">
      <c r="A10" s="54" t="s">
        <v>10</v>
      </c>
      <c r="B10" s="145">
        <v>2</v>
      </c>
      <c r="C10" s="145">
        <v>2</v>
      </c>
      <c r="D10" s="145">
        <v>0</v>
      </c>
      <c r="E10" s="145">
        <v>2</v>
      </c>
      <c r="F10" s="145">
        <v>2</v>
      </c>
      <c r="G10" s="145">
        <v>1</v>
      </c>
      <c r="H10" s="145">
        <v>0</v>
      </c>
      <c r="I10" s="145">
        <v>0</v>
      </c>
      <c r="J10" s="145">
        <v>0</v>
      </c>
      <c r="K10" s="145">
        <v>0</v>
      </c>
      <c r="L10" s="145">
        <v>0</v>
      </c>
      <c r="M10" s="145">
        <v>0</v>
      </c>
      <c r="N10" s="145">
        <v>0</v>
      </c>
      <c r="O10" s="145">
        <v>0</v>
      </c>
      <c r="P10" s="145">
        <v>0</v>
      </c>
      <c r="Q10" s="145">
        <v>0</v>
      </c>
      <c r="R10" s="145">
        <v>0</v>
      </c>
      <c r="S10" s="145">
        <v>0</v>
      </c>
      <c r="U10">
        <v>2</v>
      </c>
      <c r="BA10" s="67" t="s">
        <v>15</v>
      </c>
      <c r="BB10" s="65" t="s">
        <v>6</v>
      </c>
      <c r="BD10" s="67" t="s">
        <v>15</v>
      </c>
      <c r="BE10" s="65">
        <v>3</v>
      </c>
      <c r="BF10" s="67" t="s">
        <v>15</v>
      </c>
      <c r="BG10" s="65">
        <v>2</v>
      </c>
      <c r="BH10" s="23" t="s">
        <v>145</v>
      </c>
    </row>
    <row r="11" spans="1:60">
      <c r="A11" s="54" t="s">
        <v>15</v>
      </c>
      <c r="B11" s="145">
        <v>2</v>
      </c>
      <c r="C11" s="145">
        <v>2</v>
      </c>
      <c r="D11" s="145">
        <v>0</v>
      </c>
      <c r="E11" s="145">
        <v>2</v>
      </c>
      <c r="F11" s="145">
        <v>2</v>
      </c>
      <c r="G11" s="145">
        <v>2</v>
      </c>
      <c r="H11" s="145">
        <v>0</v>
      </c>
      <c r="I11" s="145">
        <v>0</v>
      </c>
      <c r="J11" s="145">
        <v>0</v>
      </c>
      <c r="K11" s="145">
        <v>0</v>
      </c>
      <c r="L11" s="145">
        <v>0</v>
      </c>
      <c r="M11" s="145">
        <v>0</v>
      </c>
      <c r="N11" s="145">
        <v>0</v>
      </c>
      <c r="O11" s="145">
        <v>0</v>
      </c>
      <c r="P11" s="145">
        <v>0</v>
      </c>
      <c r="Q11" s="145">
        <v>0</v>
      </c>
      <c r="R11" s="145">
        <v>0</v>
      </c>
      <c r="S11" s="145">
        <v>0</v>
      </c>
      <c r="U11">
        <v>3</v>
      </c>
      <c r="BA11" s="67" t="s">
        <v>233</v>
      </c>
      <c r="BB11" s="65" t="s">
        <v>260</v>
      </c>
      <c r="BD11" s="67" t="s">
        <v>233</v>
      </c>
      <c r="BE11" s="65" t="s">
        <v>235</v>
      </c>
      <c r="BF11" s="67" t="s">
        <v>233</v>
      </c>
      <c r="BG11" s="65" t="s">
        <v>236</v>
      </c>
      <c r="BH11" s="23" t="s">
        <v>262</v>
      </c>
    </row>
    <row r="12" spans="1:60">
      <c r="A12" s="54" t="s">
        <v>14</v>
      </c>
      <c r="B12" s="145">
        <v>1</v>
      </c>
      <c r="C12" s="145">
        <v>2</v>
      </c>
      <c r="D12" s="145">
        <v>0</v>
      </c>
      <c r="E12" s="145">
        <v>2</v>
      </c>
      <c r="F12" s="145">
        <v>2</v>
      </c>
      <c r="G12" s="145">
        <v>2</v>
      </c>
      <c r="H12" s="145">
        <v>0</v>
      </c>
      <c r="I12" s="145">
        <v>1</v>
      </c>
      <c r="J12" s="145">
        <v>1</v>
      </c>
      <c r="K12" s="145">
        <v>0</v>
      </c>
      <c r="L12" s="145">
        <v>0</v>
      </c>
      <c r="M12" s="145">
        <v>0</v>
      </c>
      <c r="N12" s="145">
        <v>0</v>
      </c>
      <c r="O12" s="145">
        <v>0</v>
      </c>
      <c r="P12" s="145">
        <v>0</v>
      </c>
      <c r="Q12" s="145">
        <v>0</v>
      </c>
      <c r="R12" s="145">
        <v>0</v>
      </c>
      <c r="S12" s="145">
        <v>0</v>
      </c>
      <c r="U12">
        <v>4</v>
      </c>
      <c r="BA12" s="67" t="s">
        <v>244</v>
      </c>
      <c r="BB12" s="65" t="s">
        <v>261</v>
      </c>
      <c r="BD12" s="67" t="s">
        <v>244</v>
      </c>
      <c r="BE12" s="65" t="s">
        <v>240</v>
      </c>
      <c r="BF12" s="67" t="s">
        <v>244</v>
      </c>
      <c r="BG12" s="65" t="s">
        <v>242</v>
      </c>
      <c r="BH12" s="23" t="s">
        <v>263</v>
      </c>
    </row>
    <row r="13" spans="1:60">
      <c r="A13" s="54" t="s">
        <v>7</v>
      </c>
      <c r="B13" s="145">
        <v>0</v>
      </c>
      <c r="C13" s="145">
        <v>0</v>
      </c>
      <c r="D13" s="145">
        <v>0</v>
      </c>
      <c r="E13" s="145">
        <v>2</v>
      </c>
      <c r="F13" s="145">
        <v>2</v>
      </c>
      <c r="G13" s="145">
        <v>2</v>
      </c>
      <c r="H13" s="145">
        <v>1</v>
      </c>
      <c r="I13" s="145">
        <v>2</v>
      </c>
      <c r="J13" s="145">
        <v>2</v>
      </c>
      <c r="K13" s="145">
        <v>0</v>
      </c>
      <c r="L13" s="145">
        <v>0</v>
      </c>
      <c r="M13" s="145"/>
      <c r="N13" s="145">
        <v>0</v>
      </c>
      <c r="O13" s="145">
        <v>0</v>
      </c>
      <c r="P13" s="145">
        <v>0</v>
      </c>
      <c r="Q13" s="145">
        <v>0</v>
      </c>
      <c r="R13" s="145">
        <v>0</v>
      </c>
      <c r="S13" s="145">
        <v>0</v>
      </c>
      <c r="U13">
        <v>5</v>
      </c>
      <c r="BA13" s="67" t="s">
        <v>14</v>
      </c>
      <c r="BB13" s="65" t="s">
        <v>145</v>
      </c>
      <c r="BD13" s="67" t="s">
        <v>14</v>
      </c>
      <c r="BE13" s="65">
        <v>4</v>
      </c>
      <c r="BF13" s="67" t="s">
        <v>14</v>
      </c>
      <c r="BG13" s="65">
        <v>3</v>
      </c>
      <c r="BH13" s="23" t="s">
        <v>155</v>
      </c>
    </row>
    <row r="14" spans="1:60">
      <c r="A14" s="54" t="s">
        <v>1</v>
      </c>
      <c r="B14" s="145">
        <v>0</v>
      </c>
      <c r="C14" s="145">
        <v>0</v>
      </c>
      <c r="D14" s="145">
        <v>0</v>
      </c>
      <c r="E14" s="145">
        <v>2</v>
      </c>
      <c r="F14" s="145">
        <v>2</v>
      </c>
      <c r="G14" s="145">
        <v>2</v>
      </c>
      <c r="H14" s="145">
        <v>1</v>
      </c>
      <c r="I14" s="145">
        <v>2</v>
      </c>
      <c r="J14" s="145">
        <v>2</v>
      </c>
      <c r="K14" s="145">
        <v>0</v>
      </c>
      <c r="L14" s="145">
        <v>1</v>
      </c>
      <c r="M14" s="145">
        <v>2</v>
      </c>
      <c r="N14" s="145">
        <v>0</v>
      </c>
      <c r="O14" s="145">
        <v>0</v>
      </c>
      <c r="P14" s="145">
        <v>1</v>
      </c>
      <c r="Q14" s="145">
        <v>0</v>
      </c>
      <c r="R14" s="145">
        <v>0</v>
      </c>
      <c r="S14" s="145">
        <v>0</v>
      </c>
      <c r="U14">
        <v>6</v>
      </c>
      <c r="BA14" s="67" t="s">
        <v>241</v>
      </c>
      <c r="BB14" s="65" t="s">
        <v>262</v>
      </c>
      <c r="BD14" s="67" t="s">
        <v>241</v>
      </c>
      <c r="BE14" s="65" t="s">
        <v>234</v>
      </c>
      <c r="BF14" s="67" t="s">
        <v>241</v>
      </c>
      <c r="BG14" s="65" t="s">
        <v>235</v>
      </c>
      <c r="BH14" s="23" t="s">
        <v>264</v>
      </c>
    </row>
    <row r="15" spans="1:60">
      <c r="A15" s="54" t="s">
        <v>8</v>
      </c>
      <c r="B15" s="145">
        <v>0</v>
      </c>
      <c r="C15" s="145">
        <v>0</v>
      </c>
      <c r="D15" s="145">
        <v>0</v>
      </c>
      <c r="E15" s="145">
        <v>2</v>
      </c>
      <c r="F15" s="145">
        <v>2</v>
      </c>
      <c r="G15" s="145">
        <v>2</v>
      </c>
      <c r="H15" s="145">
        <v>1</v>
      </c>
      <c r="I15" s="145">
        <v>2</v>
      </c>
      <c r="J15" s="145">
        <v>2</v>
      </c>
      <c r="K15" s="145">
        <v>0</v>
      </c>
      <c r="L15" s="145">
        <v>1</v>
      </c>
      <c r="M15" s="145">
        <v>2</v>
      </c>
      <c r="N15" s="145">
        <v>0</v>
      </c>
      <c r="O15" s="145">
        <v>0</v>
      </c>
      <c r="P15" s="145">
        <v>2</v>
      </c>
      <c r="Q15" s="145">
        <v>0</v>
      </c>
      <c r="R15" s="145">
        <v>0</v>
      </c>
      <c r="S15" s="145"/>
      <c r="U15">
        <v>7</v>
      </c>
      <c r="BA15" s="67" t="s">
        <v>232</v>
      </c>
      <c r="BB15" s="65" t="s">
        <v>263</v>
      </c>
      <c r="BD15" s="67" t="s">
        <v>232</v>
      </c>
      <c r="BE15" s="65" t="s">
        <v>275</v>
      </c>
      <c r="BF15" s="67" t="s">
        <v>232</v>
      </c>
      <c r="BG15" s="65" t="s">
        <v>240</v>
      </c>
      <c r="BH15" s="23" t="s">
        <v>265</v>
      </c>
    </row>
    <row r="16" spans="1:60">
      <c r="A16" s="54" t="s">
        <v>208</v>
      </c>
      <c r="B16" s="145">
        <v>0</v>
      </c>
      <c r="C16" s="145">
        <v>0</v>
      </c>
      <c r="D16" s="145">
        <v>0</v>
      </c>
      <c r="E16" s="145">
        <v>2</v>
      </c>
      <c r="F16" s="145">
        <v>2</v>
      </c>
      <c r="G16" s="145">
        <v>1</v>
      </c>
      <c r="H16" s="145">
        <v>1</v>
      </c>
      <c r="I16" s="145">
        <v>2</v>
      </c>
      <c r="J16" s="145">
        <v>2</v>
      </c>
      <c r="K16" s="145">
        <v>0</v>
      </c>
      <c r="L16" s="145">
        <v>1</v>
      </c>
      <c r="M16" s="145">
        <v>2</v>
      </c>
      <c r="N16" s="145">
        <v>0</v>
      </c>
      <c r="O16" s="145">
        <v>0</v>
      </c>
      <c r="P16" s="145">
        <v>0</v>
      </c>
      <c r="Q16" s="145">
        <v>0</v>
      </c>
      <c r="R16" s="145">
        <v>0</v>
      </c>
      <c r="S16" s="145">
        <v>0</v>
      </c>
      <c r="U16">
        <v>8</v>
      </c>
      <c r="BA16" s="67" t="s">
        <v>7</v>
      </c>
      <c r="BB16" s="65" t="s">
        <v>155</v>
      </c>
      <c r="BD16" s="67" t="s">
        <v>7</v>
      </c>
      <c r="BE16" s="65">
        <v>5</v>
      </c>
      <c r="BF16" s="67" t="s">
        <v>7</v>
      </c>
      <c r="BG16" s="65">
        <v>4</v>
      </c>
      <c r="BH16" s="23" t="s">
        <v>13</v>
      </c>
    </row>
    <row r="17" spans="1:61">
      <c r="BA17" s="67" t="s">
        <v>239</v>
      </c>
      <c r="BB17" s="65" t="s">
        <v>264</v>
      </c>
      <c r="BD17" s="67" t="s">
        <v>239</v>
      </c>
      <c r="BE17" s="65" t="s">
        <v>276</v>
      </c>
      <c r="BF17" s="67" t="s">
        <v>239</v>
      </c>
      <c r="BG17" s="65" t="s">
        <v>234</v>
      </c>
      <c r="BH17" s="23" t="s">
        <v>266</v>
      </c>
    </row>
    <row r="18" spans="1:61">
      <c r="B18">
        <v>0</v>
      </c>
      <c r="C18">
        <v>0</v>
      </c>
      <c r="D18">
        <v>0</v>
      </c>
      <c r="E18">
        <v>1</v>
      </c>
      <c r="F18">
        <v>1</v>
      </c>
      <c r="G18">
        <v>1</v>
      </c>
      <c r="H18">
        <v>2</v>
      </c>
      <c r="I18">
        <v>2</v>
      </c>
      <c r="J18">
        <v>2</v>
      </c>
      <c r="K18">
        <v>3</v>
      </c>
      <c r="L18">
        <v>3</v>
      </c>
      <c r="M18">
        <v>3</v>
      </c>
      <c r="N18">
        <v>4</v>
      </c>
      <c r="O18">
        <v>4</v>
      </c>
      <c r="P18">
        <v>4</v>
      </c>
      <c r="Q18">
        <v>5</v>
      </c>
      <c r="R18">
        <v>5</v>
      </c>
      <c r="S18">
        <v>5</v>
      </c>
      <c r="BA18" s="67" t="s">
        <v>231</v>
      </c>
      <c r="BB18" s="65" t="s">
        <v>265</v>
      </c>
      <c r="BD18" s="67" t="s">
        <v>231</v>
      </c>
      <c r="BF18" s="67" t="s">
        <v>231</v>
      </c>
      <c r="BG18" s="65" t="s">
        <v>275</v>
      </c>
      <c r="BH18" s="23" t="s">
        <v>267</v>
      </c>
    </row>
    <row r="19" spans="1:61">
      <c r="BA19" s="67" t="s">
        <v>1</v>
      </c>
      <c r="BB19" s="65" t="s">
        <v>13</v>
      </c>
      <c r="BD19" s="67" t="s">
        <v>1</v>
      </c>
      <c r="BF19" s="67" t="s">
        <v>1</v>
      </c>
      <c r="BG19" s="65">
        <v>5</v>
      </c>
      <c r="BH19" s="23" t="s">
        <v>174</v>
      </c>
    </row>
    <row r="20" spans="1:61">
      <c r="BA20" s="67" t="s">
        <v>230</v>
      </c>
      <c r="BB20" s="65" t="s">
        <v>266</v>
      </c>
      <c r="BD20" s="67" t="s">
        <v>230</v>
      </c>
      <c r="BF20" s="67" t="s">
        <v>230</v>
      </c>
      <c r="BG20" s="65" t="s">
        <v>276</v>
      </c>
      <c r="BH20" s="23" t="s">
        <v>268</v>
      </c>
    </row>
    <row r="21" spans="1:61" s="48" customFormat="1" ht="13.5" thickBot="1">
      <c r="B21" s="48">
        <v>1</v>
      </c>
      <c r="C21" s="51" t="s">
        <v>209</v>
      </c>
      <c r="D21" s="48">
        <v>2</v>
      </c>
      <c r="E21" s="51" t="s">
        <v>209</v>
      </c>
      <c r="F21" s="48">
        <v>3</v>
      </c>
      <c r="G21" s="51" t="s">
        <v>209</v>
      </c>
      <c r="H21" s="48">
        <v>4</v>
      </c>
      <c r="I21" s="51" t="s">
        <v>209</v>
      </c>
      <c r="J21" s="48">
        <v>5</v>
      </c>
      <c r="K21" s="51" t="s">
        <v>209</v>
      </c>
      <c r="BA21" s="68" t="s">
        <v>251</v>
      </c>
      <c r="BB21" s="66" t="s">
        <v>267</v>
      </c>
      <c r="BC21" s="66"/>
      <c r="BD21" s="68" t="s">
        <v>251</v>
      </c>
      <c r="BE21" s="66"/>
      <c r="BF21" s="68" t="s">
        <v>251</v>
      </c>
      <c r="BG21" s="49" t="s">
        <v>284</v>
      </c>
      <c r="BH21" s="148" t="s">
        <v>518</v>
      </c>
    </row>
    <row r="22" spans="1:61">
      <c r="A22" s="59" t="s">
        <v>17</v>
      </c>
      <c r="B22" s="145">
        <v>2</v>
      </c>
      <c r="C22" s="145">
        <v>2</v>
      </c>
      <c r="D22" s="145">
        <v>1</v>
      </c>
      <c r="E22" s="145">
        <v>0</v>
      </c>
      <c r="F22" s="145">
        <v>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>
        <v>1</v>
      </c>
      <c r="N22" s="62"/>
      <c r="O22" s="61"/>
      <c r="P22" s="61"/>
      <c r="BA22" s="67" t="s">
        <v>8</v>
      </c>
      <c r="BB22" s="65" t="s">
        <v>174</v>
      </c>
      <c r="BD22" s="67" t="s">
        <v>8</v>
      </c>
      <c r="BF22" s="67" t="s">
        <v>8</v>
      </c>
      <c r="BG22" s="23">
        <v>6</v>
      </c>
      <c r="BH22" s="23" t="s">
        <v>287</v>
      </c>
    </row>
    <row r="23" spans="1:61">
      <c r="A23" s="60" t="s">
        <v>10</v>
      </c>
      <c r="B23" s="145">
        <v>1</v>
      </c>
      <c r="C23" s="145">
        <v>2</v>
      </c>
      <c r="D23" s="145">
        <v>2</v>
      </c>
      <c r="E23" s="145">
        <v>2</v>
      </c>
      <c r="F23" s="145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>
        <v>2</v>
      </c>
      <c r="M23" s="63"/>
      <c r="BA23" s="67" t="s">
        <v>252</v>
      </c>
      <c r="BB23" s="65" t="s">
        <v>268</v>
      </c>
      <c r="BD23" s="67" t="s">
        <v>252</v>
      </c>
      <c r="BF23" s="67" t="s">
        <v>252</v>
      </c>
      <c r="BG23" s="23" t="s">
        <v>285</v>
      </c>
      <c r="BH23" s="23" t="s">
        <v>27</v>
      </c>
    </row>
    <row r="24" spans="1:61">
      <c r="A24" s="60" t="s">
        <v>15</v>
      </c>
      <c r="B24" s="145">
        <v>0</v>
      </c>
      <c r="C24" s="145">
        <v>0</v>
      </c>
      <c r="D24" s="145">
        <v>2</v>
      </c>
      <c r="E24" s="145">
        <v>2</v>
      </c>
      <c r="F24" s="145">
        <v>2</v>
      </c>
      <c r="G24" s="145">
        <v>2</v>
      </c>
      <c r="H24" s="145">
        <v>0</v>
      </c>
      <c r="I24" s="145">
        <v>0</v>
      </c>
      <c r="J24" s="145">
        <v>0</v>
      </c>
      <c r="K24" s="145">
        <v>0</v>
      </c>
      <c r="L24">
        <v>3</v>
      </c>
      <c r="BA24" s="67" t="s">
        <v>253</v>
      </c>
      <c r="BB24" s="65" t="s">
        <v>269</v>
      </c>
      <c r="BD24" s="67" t="s">
        <v>253</v>
      </c>
      <c r="BF24" s="67" t="s">
        <v>253</v>
      </c>
      <c r="BH24" s="23" t="s">
        <v>288</v>
      </c>
    </row>
    <row r="25" spans="1:61">
      <c r="A25" s="60" t="s">
        <v>14</v>
      </c>
      <c r="B25" s="145">
        <v>0</v>
      </c>
      <c r="C25" s="145">
        <v>0</v>
      </c>
      <c r="D25" s="145">
        <v>0</v>
      </c>
      <c r="E25" s="145">
        <v>1</v>
      </c>
      <c r="F25" s="145">
        <v>2</v>
      </c>
      <c r="G25" s="145">
        <v>2</v>
      </c>
      <c r="H25" s="145">
        <v>2</v>
      </c>
      <c r="I25" s="145">
        <v>1</v>
      </c>
      <c r="J25" s="145">
        <v>0</v>
      </c>
      <c r="K25" s="145">
        <v>0</v>
      </c>
      <c r="L25">
        <v>4</v>
      </c>
      <c r="BA25" s="67" t="s">
        <v>208</v>
      </c>
      <c r="BB25" s="65" t="s">
        <v>184</v>
      </c>
      <c r="BD25" s="67" t="s">
        <v>208</v>
      </c>
      <c r="BF25" s="67" t="s">
        <v>208</v>
      </c>
      <c r="BH25" s="23" t="s">
        <v>237</v>
      </c>
    </row>
    <row r="26" spans="1:61">
      <c r="A26" s="60" t="s">
        <v>7</v>
      </c>
      <c r="B26" s="145">
        <v>0</v>
      </c>
      <c r="C26" s="145">
        <v>0</v>
      </c>
      <c r="D26" s="145">
        <v>0</v>
      </c>
      <c r="E26" s="145">
        <v>0</v>
      </c>
      <c r="F26" s="145">
        <v>2</v>
      </c>
      <c r="G26" s="145">
        <v>2</v>
      </c>
      <c r="H26" s="145">
        <v>2</v>
      </c>
      <c r="I26" s="145">
        <v>2</v>
      </c>
      <c r="J26" s="145">
        <v>0</v>
      </c>
      <c r="K26" s="145">
        <v>0</v>
      </c>
      <c r="L26">
        <v>5</v>
      </c>
      <c r="BA26" s="67" t="s">
        <v>254</v>
      </c>
      <c r="BB26" s="65" t="s">
        <v>270</v>
      </c>
      <c r="BD26" s="67" t="s">
        <v>254</v>
      </c>
      <c r="BF26" s="67" t="s">
        <v>254</v>
      </c>
      <c r="BH26" s="23" t="s">
        <v>15</v>
      </c>
    </row>
    <row r="27" spans="1:61">
      <c r="A27" s="60" t="s">
        <v>1</v>
      </c>
      <c r="B27" s="145">
        <v>0</v>
      </c>
      <c r="C27" s="145">
        <v>0</v>
      </c>
      <c r="D27" s="145">
        <v>0</v>
      </c>
      <c r="E27" s="145">
        <v>0</v>
      </c>
      <c r="F27" s="145">
        <v>0</v>
      </c>
      <c r="G27" s="145">
        <v>1</v>
      </c>
      <c r="H27" s="145">
        <v>2</v>
      </c>
      <c r="I27" s="145">
        <v>2</v>
      </c>
      <c r="J27" s="145">
        <v>1</v>
      </c>
      <c r="K27" s="145">
        <v>0</v>
      </c>
      <c r="L27">
        <v>6</v>
      </c>
      <c r="BA27" s="67" t="s">
        <v>255</v>
      </c>
      <c r="BF27" s="67" t="s">
        <v>255</v>
      </c>
      <c r="BH27" s="23" t="s">
        <v>233</v>
      </c>
    </row>
    <row r="28" spans="1:61" ht="13.5" thickBot="1">
      <c r="A28" s="60" t="s">
        <v>8</v>
      </c>
      <c r="B28" s="145">
        <v>0</v>
      </c>
      <c r="C28" s="145">
        <v>0</v>
      </c>
      <c r="D28" s="145">
        <v>0</v>
      </c>
      <c r="E28" s="145">
        <v>0</v>
      </c>
      <c r="F28" s="145">
        <v>0</v>
      </c>
      <c r="G28" s="145">
        <v>0</v>
      </c>
      <c r="H28" s="145">
        <v>2</v>
      </c>
      <c r="I28" s="145">
        <v>2</v>
      </c>
      <c r="J28" s="145">
        <v>2</v>
      </c>
      <c r="K28" s="145">
        <v>0</v>
      </c>
      <c r="L28">
        <v>7</v>
      </c>
      <c r="BA28" s="67" t="s">
        <v>12</v>
      </c>
      <c r="BF28" s="67" t="s">
        <v>12</v>
      </c>
      <c r="BH28" s="49" t="s">
        <v>243</v>
      </c>
    </row>
    <row r="29" spans="1:61">
      <c r="A29" s="60" t="s">
        <v>208</v>
      </c>
      <c r="B29" s="145">
        <v>0</v>
      </c>
      <c r="C29" s="145">
        <v>0</v>
      </c>
      <c r="D29" s="145">
        <v>0</v>
      </c>
      <c r="E29" s="145">
        <v>0</v>
      </c>
      <c r="F29" s="145">
        <v>0</v>
      </c>
      <c r="G29" s="145">
        <v>0</v>
      </c>
      <c r="H29" s="145">
        <v>1</v>
      </c>
      <c r="I29" s="145">
        <v>1</v>
      </c>
      <c r="J29" s="145">
        <v>2</v>
      </c>
      <c r="K29" s="145">
        <v>0</v>
      </c>
      <c r="L29">
        <v>8</v>
      </c>
      <c r="BA29" s="67" t="s">
        <v>256</v>
      </c>
      <c r="BF29" s="67" t="s">
        <v>256</v>
      </c>
      <c r="BH29" s="23" t="s">
        <v>31</v>
      </c>
    </row>
    <row r="30" spans="1:61">
      <c r="A30" s="60"/>
      <c r="L30">
        <v>9</v>
      </c>
      <c r="BH30" s="23" t="s">
        <v>289</v>
      </c>
    </row>
    <row r="31" spans="1:61">
      <c r="B31" s="269">
        <v>0</v>
      </c>
      <c r="C31" s="269"/>
      <c r="D31" s="269"/>
      <c r="E31" s="269"/>
      <c r="F31" s="269">
        <v>1</v>
      </c>
      <c r="G31" s="269"/>
      <c r="H31" s="269"/>
      <c r="I31" s="269"/>
      <c r="J31" s="269">
        <v>2</v>
      </c>
      <c r="K31" s="269"/>
      <c r="L31" s="269"/>
      <c r="M31" s="269"/>
      <c r="N31" s="269">
        <v>3</v>
      </c>
      <c r="O31" s="269"/>
      <c r="P31" s="269"/>
      <c r="Q31" s="269"/>
      <c r="R31" s="269">
        <v>4</v>
      </c>
      <c r="S31" s="269"/>
      <c r="T31" s="269"/>
      <c r="U31" s="269"/>
      <c r="V31" s="269">
        <v>5</v>
      </c>
      <c r="W31" s="269"/>
      <c r="X31" s="269"/>
      <c r="Y31" s="269"/>
      <c r="BH31" s="23" t="s">
        <v>290</v>
      </c>
    </row>
    <row r="32" spans="1:61" ht="13.5" thickBot="1">
      <c r="A32" s="48"/>
      <c r="B32" s="4" t="s">
        <v>17</v>
      </c>
      <c r="C32" s="5" t="s">
        <v>10</v>
      </c>
      <c r="D32" s="5" t="s">
        <v>15</v>
      </c>
      <c r="E32" s="45" t="s">
        <v>14</v>
      </c>
      <c r="F32" s="5" t="s">
        <v>7</v>
      </c>
      <c r="G32" s="5" t="s">
        <v>1</v>
      </c>
      <c r="H32" s="39" t="s">
        <v>13</v>
      </c>
      <c r="I32" s="40" t="s">
        <v>10</v>
      </c>
      <c r="J32" s="40" t="s">
        <v>8</v>
      </c>
      <c r="K32" s="41" t="s">
        <v>4</v>
      </c>
      <c r="L32" s="39" t="s">
        <v>13</v>
      </c>
      <c r="M32" s="40" t="s">
        <v>10</v>
      </c>
      <c r="N32" s="40" t="s">
        <v>8</v>
      </c>
      <c r="O32" s="41" t="s">
        <v>4</v>
      </c>
      <c r="P32" s="39" t="s">
        <v>13</v>
      </c>
      <c r="Q32" s="40" t="s">
        <v>10</v>
      </c>
      <c r="R32" s="40" t="s">
        <v>8</v>
      </c>
      <c r="S32" s="41" t="s">
        <v>4</v>
      </c>
      <c r="T32" s="39" t="s">
        <v>13</v>
      </c>
      <c r="U32" s="40" t="s">
        <v>10</v>
      </c>
      <c r="V32" s="40" t="s">
        <v>8</v>
      </c>
      <c r="W32" s="41" t="s">
        <v>4</v>
      </c>
      <c r="X32" s="39" t="s">
        <v>13</v>
      </c>
      <c r="Y32" s="40" t="s">
        <v>10</v>
      </c>
      <c r="Z32" s="40" t="s">
        <v>8</v>
      </c>
      <c r="AA32" s="41" t="s">
        <v>4</v>
      </c>
      <c r="BA32"/>
      <c r="BB32"/>
      <c r="BG32" s="65"/>
      <c r="BH32" s="23" t="s">
        <v>4</v>
      </c>
      <c r="BI32" s="23"/>
    </row>
    <row r="33" spans="1:61">
      <c r="A33" s="59" t="s">
        <v>17</v>
      </c>
      <c r="B33" s="145">
        <v>2</v>
      </c>
      <c r="C33" s="145">
        <v>2</v>
      </c>
      <c r="D33" s="145">
        <v>1</v>
      </c>
      <c r="E33" s="145">
        <v>0</v>
      </c>
      <c r="F33" s="145">
        <v>0</v>
      </c>
      <c r="G33" s="145">
        <v>0</v>
      </c>
      <c r="H33" s="145">
        <v>2</v>
      </c>
      <c r="I33" s="145">
        <v>1</v>
      </c>
      <c r="J33" s="145">
        <v>0</v>
      </c>
      <c r="K33" s="145">
        <v>0</v>
      </c>
      <c r="L33" s="145">
        <v>0</v>
      </c>
      <c r="M33" s="145">
        <v>0</v>
      </c>
      <c r="N33" s="145">
        <v>0</v>
      </c>
      <c r="O33" s="145">
        <v>0</v>
      </c>
      <c r="P33" s="145">
        <v>0</v>
      </c>
      <c r="Q33" s="145">
        <v>0</v>
      </c>
      <c r="R33" s="145">
        <v>0</v>
      </c>
      <c r="S33" s="145">
        <v>0</v>
      </c>
      <c r="T33" s="145">
        <v>0</v>
      </c>
      <c r="U33" s="145">
        <v>0</v>
      </c>
      <c r="V33" s="145">
        <v>0</v>
      </c>
      <c r="W33" s="145">
        <v>0</v>
      </c>
      <c r="X33" s="145">
        <v>0</v>
      </c>
      <c r="Y33" s="145">
        <v>0</v>
      </c>
      <c r="Z33" s="145">
        <v>0</v>
      </c>
      <c r="AA33" s="145">
        <v>0</v>
      </c>
      <c r="AC33">
        <v>1</v>
      </c>
      <c r="BA33"/>
      <c r="BB33"/>
      <c r="BG33" s="65"/>
      <c r="BH33" s="23" t="s">
        <v>291</v>
      </c>
      <c r="BI33" s="23"/>
    </row>
    <row r="34" spans="1:61">
      <c r="A34" s="60" t="s">
        <v>10</v>
      </c>
      <c r="B34" s="145">
        <v>2</v>
      </c>
      <c r="C34" s="145">
        <v>2</v>
      </c>
      <c r="D34" s="145">
        <v>2</v>
      </c>
      <c r="E34" s="145">
        <v>1</v>
      </c>
      <c r="F34" s="145">
        <v>0</v>
      </c>
      <c r="G34" s="145">
        <v>0</v>
      </c>
      <c r="H34" s="145">
        <v>2</v>
      </c>
      <c r="I34" s="145">
        <v>2</v>
      </c>
      <c r="J34" s="145">
        <v>2</v>
      </c>
      <c r="K34" s="145">
        <v>2</v>
      </c>
      <c r="L34" s="145">
        <v>2</v>
      </c>
      <c r="M34" s="145">
        <v>1</v>
      </c>
      <c r="N34" s="145">
        <v>0</v>
      </c>
      <c r="O34" s="145">
        <v>0</v>
      </c>
      <c r="P34" s="145">
        <v>0</v>
      </c>
      <c r="Q34" s="145">
        <v>0</v>
      </c>
      <c r="R34" s="145">
        <v>0</v>
      </c>
      <c r="S34" s="145">
        <v>0</v>
      </c>
      <c r="T34" s="145">
        <v>0</v>
      </c>
      <c r="U34" s="145">
        <v>0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0</v>
      </c>
      <c r="AC34">
        <v>2</v>
      </c>
      <c r="BA34"/>
      <c r="BB34"/>
      <c r="BG34" s="65"/>
      <c r="BH34" s="65"/>
      <c r="BI34" s="23"/>
    </row>
    <row r="35" spans="1:61">
      <c r="A35" s="60" t="s">
        <v>15</v>
      </c>
      <c r="B35" s="145">
        <v>1</v>
      </c>
      <c r="C35" s="145">
        <v>2</v>
      </c>
      <c r="D35" s="145">
        <v>2</v>
      </c>
      <c r="E35" s="145">
        <v>2</v>
      </c>
      <c r="F35" s="145">
        <v>1</v>
      </c>
      <c r="G35" s="145">
        <v>0</v>
      </c>
      <c r="H35" s="145">
        <v>2</v>
      </c>
      <c r="I35" s="145">
        <v>2</v>
      </c>
      <c r="J35" s="145">
        <v>2</v>
      </c>
      <c r="K35" s="145">
        <v>2</v>
      </c>
      <c r="L35" s="145">
        <v>2</v>
      </c>
      <c r="M35" s="145">
        <v>2</v>
      </c>
      <c r="N35" s="145">
        <v>2</v>
      </c>
      <c r="O35" s="145">
        <v>1</v>
      </c>
      <c r="P35" s="145">
        <v>2</v>
      </c>
      <c r="Q35" s="145">
        <v>2</v>
      </c>
      <c r="R35" s="145">
        <v>0</v>
      </c>
      <c r="S35" s="145">
        <v>0</v>
      </c>
      <c r="T35" s="145">
        <v>2</v>
      </c>
      <c r="U35" s="145">
        <v>1</v>
      </c>
      <c r="V35" s="145">
        <v>0</v>
      </c>
      <c r="W35" s="145">
        <v>0</v>
      </c>
      <c r="X35" s="145">
        <v>0</v>
      </c>
      <c r="Y35" s="145">
        <v>0</v>
      </c>
      <c r="Z35" s="145">
        <v>0</v>
      </c>
      <c r="AA35" s="145">
        <v>0</v>
      </c>
      <c r="AC35">
        <v>3</v>
      </c>
      <c r="BA35"/>
      <c r="BB35"/>
      <c r="BG35" s="65"/>
      <c r="BH35" s="65"/>
      <c r="BI35" s="23"/>
    </row>
    <row r="36" spans="1:61">
      <c r="A36" s="60" t="s">
        <v>14</v>
      </c>
      <c r="B36" s="145">
        <v>0</v>
      </c>
      <c r="C36" s="145">
        <v>1</v>
      </c>
      <c r="D36" s="145">
        <v>2</v>
      </c>
      <c r="E36" s="145">
        <v>2</v>
      </c>
      <c r="F36" s="145">
        <v>2</v>
      </c>
      <c r="G36" s="145">
        <v>1</v>
      </c>
      <c r="H36" s="145">
        <v>1</v>
      </c>
      <c r="I36" s="145">
        <v>2</v>
      </c>
      <c r="J36" s="145">
        <v>2</v>
      </c>
      <c r="K36" s="145">
        <v>2</v>
      </c>
      <c r="L36" s="145">
        <v>2</v>
      </c>
      <c r="M36" s="145">
        <v>2</v>
      </c>
      <c r="N36" s="145">
        <v>2</v>
      </c>
      <c r="O36" s="145">
        <v>2</v>
      </c>
      <c r="P36" s="145">
        <v>2</v>
      </c>
      <c r="Q36" s="145">
        <v>2</v>
      </c>
      <c r="R36" s="145">
        <v>2</v>
      </c>
      <c r="S36" s="145">
        <v>2</v>
      </c>
      <c r="T36" s="145">
        <v>2</v>
      </c>
      <c r="U36" s="145">
        <v>2</v>
      </c>
      <c r="V36" s="145">
        <v>0</v>
      </c>
      <c r="W36" s="145">
        <v>0</v>
      </c>
      <c r="X36" s="145">
        <v>1</v>
      </c>
      <c r="Y36" s="145">
        <v>1</v>
      </c>
      <c r="Z36" s="145">
        <v>0</v>
      </c>
      <c r="AA36" s="145">
        <v>0</v>
      </c>
      <c r="AC36">
        <v>4</v>
      </c>
      <c r="BA36"/>
      <c r="BB36"/>
      <c r="BG36" s="65"/>
      <c r="BH36" s="65"/>
      <c r="BI36" s="23"/>
    </row>
    <row r="37" spans="1:61">
      <c r="A37" s="60" t="s">
        <v>7</v>
      </c>
      <c r="B37" s="145">
        <v>0</v>
      </c>
      <c r="C37" s="145">
        <v>0</v>
      </c>
      <c r="D37" s="145">
        <v>0</v>
      </c>
      <c r="E37" s="145">
        <v>0</v>
      </c>
      <c r="F37" s="145">
        <v>2</v>
      </c>
      <c r="G37" s="145">
        <v>2</v>
      </c>
      <c r="H37" s="145">
        <v>0</v>
      </c>
      <c r="I37" s="145">
        <v>1</v>
      </c>
      <c r="J37" s="145">
        <v>2</v>
      </c>
      <c r="K37" s="145">
        <v>2</v>
      </c>
      <c r="L37" s="145">
        <v>1</v>
      </c>
      <c r="M37" s="145">
        <v>2</v>
      </c>
      <c r="N37" s="145">
        <v>2</v>
      </c>
      <c r="O37" s="145">
        <v>2</v>
      </c>
      <c r="P37" s="145">
        <v>1</v>
      </c>
      <c r="Q37" s="145">
        <v>2</v>
      </c>
      <c r="R37" s="145">
        <v>2</v>
      </c>
      <c r="S37" s="145">
        <v>2</v>
      </c>
      <c r="T37" s="145">
        <v>2</v>
      </c>
      <c r="U37" s="145">
        <v>2</v>
      </c>
      <c r="V37" s="145">
        <v>2</v>
      </c>
      <c r="W37" s="145">
        <v>2</v>
      </c>
      <c r="X37" s="145">
        <v>2</v>
      </c>
      <c r="Y37" s="145">
        <v>2</v>
      </c>
      <c r="Z37" s="145">
        <v>0</v>
      </c>
      <c r="AA37" s="145">
        <v>0</v>
      </c>
      <c r="AC37">
        <v>5</v>
      </c>
      <c r="BA37"/>
      <c r="BB37"/>
      <c r="BG37" s="65"/>
      <c r="BH37" s="65"/>
      <c r="BI37" s="23"/>
    </row>
    <row r="38" spans="1:61">
      <c r="A38" s="60" t="s">
        <v>1</v>
      </c>
      <c r="B38" s="145">
        <v>0</v>
      </c>
      <c r="C38" s="145">
        <v>0</v>
      </c>
      <c r="D38" s="145">
        <v>0</v>
      </c>
      <c r="E38" s="145">
        <v>0</v>
      </c>
      <c r="F38" s="145">
        <v>0</v>
      </c>
      <c r="G38" s="145">
        <v>1</v>
      </c>
      <c r="H38" s="145">
        <v>0</v>
      </c>
      <c r="I38" s="145">
        <v>0</v>
      </c>
      <c r="J38" s="145">
        <v>1</v>
      </c>
      <c r="K38" s="145">
        <v>2</v>
      </c>
      <c r="L38" s="145">
        <v>0</v>
      </c>
      <c r="M38" s="145">
        <v>1</v>
      </c>
      <c r="N38" s="145">
        <v>1</v>
      </c>
      <c r="O38" s="145">
        <v>2</v>
      </c>
      <c r="P38" s="145">
        <v>0</v>
      </c>
      <c r="Q38" s="145">
        <v>1</v>
      </c>
      <c r="R38" s="145">
        <v>2</v>
      </c>
      <c r="S38" s="145">
        <v>2</v>
      </c>
      <c r="T38" s="145">
        <v>1</v>
      </c>
      <c r="U38" s="145">
        <v>2</v>
      </c>
      <c r="V38" s="145">
        <v>2</v>
      </c>
      <c r="W38" s="145">
        <v>2</v>
      </c>
      <c r="X38" s="145">
        <v>1</v>
      </c>
      <c r="Y38" s="145">
        <v>2</v>
      </c>
      <c r="Z38" s="145">
        <v>1</v>
      </c>
      <c r="AA38" s="145">
        <v>1</v>
      </c>
      <c r="AC38">
        <v>6</v>
      </c>
      <c r="BA38"/>
      <c r="BB38"/>
      <c r="BG38" s="65"/>
      <c r="BH38" s="65"/>
      <c r="BI38" s="23"/>
    </row>
    <row r="39" spans="1:61">
      <c r="A39" s="60" t="s">
        <v>8</v>
      </c>
      <c r="B39" s="145">
        <v>0</v>
      </c>
      <c r="C39" s="145">
        <v>0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0</v>
      </c>
      <c r="N39" s="145">
        <v>0</v>
      </c>
      <c r="O39" s="145">
        <v>1</v>
      </c>
      <c r="P39" s="145">
        <v>0</v>
      </c>
      <c r="Q39" s="145">
        <v>0</v>
      </c>
      <c r="R39" s="145">
        <v>1</v>
      </c>
      <c r="S39" s="145">
        <v>2</v>
      </c>
      <c r="T39" s="145">
        <v>0</v>
      </c>
      <c r="U39" s="145">
        <v>0</v>
      </c>
      <c r="V39" s="145">
        <v>2</v>
      </c>
      <c r="W39" s="145">
        <v>2</v>
      </c>
      <c r="X39" s="145">
        <v>0</v>
      </c>
      <c r="Y39" s="145">
        <v>1</v>
      </c>
      <c r="Z39" s="145">
        <v>2</v>
      </c>
      <c r="AA39" s="145">
        <v>2</v>
      </c>
      <c r="AC39">
        <v>7</v>
      </c>
      <c r="BA39"/>
      <c r="BB39"/>
      <c r="BG39" s="65"/>
      <c r="BH39" s="65"/>
      <c r="BI39" s="23"/>
    </row>
    <row r="40" spans="1:61">
      <c r="A40" s="60" t="s">
        <v>208</v>
      </c>
      <c r="B40" s="145">
        <v>0</v>
      </c>
      <c r="C40" s="145">
        <v>0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0</v>
      </c>
      <c r="N40" s="145">
        <v>0</v>
      </c>
      <c r="O40" s="145">
        <v>0</v>
      </c>
      <c r="P40" s="145">
        <v>0</v>
      </c>
      <c r="Q40" s="145">
        <v>0</v>
      </c>
      <c r="R40" s="145">
        <v>0</v>
      </c>
      <c r="S40" s="145">
        <v>0</v>
      </c>
      <c r="T40" s="145">
        <v>0</v>
      </c>
      <c r="U40" s="145">
        <v>0</v>
      </c>
      <c r="V40" s="145">
        <v>0</v>
      </c>
      <c r="W40" s="145">
        <v>0</v>
      </c>
      <c r="X40" s="145">
        <v>0</v>
      </c>
      <c r="Y40" s="145">
        <v>0</v>
      </c>
      <c r="Z40" s="145">
        <v>2</v>
      </c>
      <c r="AA40" s="145">
        <v>2</v>
      </c>
      <c r="AC40">
        <v>8</v>
      </c>
      <c r="BA40"/>
      <c r="BB40"/>
      <c r="BG40" s="65"/>
      <c r="BH40" s="65"/>
      <c r="BI40" s="23"/>
    </row>
    <row r="41" spans="1:61">
      <c r="E41" t="s">
        <v>222</v>
      </c>
      <c r="H41" t="s">
        <v>9</v>
      </c>
    </row>
    <row r="42" spans="1:61">
      <c r="A42" s="61"/>
      <c r="D42" t="s">
        <v>508</v>
      </c>
      <c r="E42" t="s">
        <v>17</v>
      </c>
      <c r="F42">
        <v>1</v>
      </c>
      <c r="H42" t="s">
        <v>17</v>
      </c>
      <c r="I42">
        <v>1</v>
      </c>
    </row>
    <row r="43" spans="1:61">
      <c r="A43" s="61"/>
      <c r="B43" s="61"/>
      <c r="D43" t="s">
        <v>509</v>
      </c>
      <c r="E43" t="s">
        <v>10</v>
      </c>
      <c r="F43">
        <v>2</v>
      </c>
      <c r="H43" t="s">
        <v>10</v>
      </c>
      <c r="I43">
        <v>2</v>
      </c>
    </row>
    <row r="44" spans="1:61">
      <c r="A44" s="61"/>
      <c r="D44" t="s">
        <v>510</v>
      </c>
      <c r="E44" t="s">
        <v>15</v>
      </c>
      <c r="F44">
        <v>3</v>
      </c>
      <c r="H44" t="s">
        <v>15</v>
      </c>
      <c r="I44">
        <v>2</v>
      </c>
    </row>
    <row r="45" spans="1:61">
      <c r="D45" t="s">
        <v>511</v>
      </c>
      <c r="E45" t="s">
        <v>14</v>
      </c>
      <c r="F45">
        <v>4</v>
      </c>
      <c r="H45" t="s">
        <v>14</v>
      </c>
      <c r="I45">
        <v>4</v>
      </c>
    </row>
    <row r="46" spans="1:61">
      <c r="E46" t="s">
        <v>18</v>
      </c>
      <c r="F46">
        <v>1</v>
      </c>
      <c r="H46" t="s">
        <v>18</v>
      </c>
      <c r="I46">
        <v>1</v>
      </c>
    </row>
    <row r="47" spans="1:61">
      <c r="D47" t="s">
        <v>515</v>
      </c>
      <c r="E47" t="s">
        <v>15</v>
      </c>
      <c r="F47">
        <v>2</v>
      </c>
    </row>
    <row r="48" spans="1:61">
      <c r="D48" t="s">
        <v>513</v>
      </c>
      <c r="E48" t="s">
        <v>4</v>
      </c>
      <c r="F48">
        <v>4</v>
      </c>
      <c r="H48" t="s">
        <v>4</v>
      </c>
      <c r="I48">
        <v>4</v>
      </c>
    </row>
    <row r="49" spans="1:30">
      <c r="D49" t="s">
        <v>512</v>
      </c>
      <c r="E49" t="s">
        <v>27</v>
      </c>
      <c r="F49">
        <v>1</v>
      </c>
      <c r="H49" t="s">
        <v>13</v>
      </c>
      <c r="I49">
        <v>1</v>
      </c>
    </row>
    <row r="50" spans="1:30">
      <c r="D50" t="s">
        <v>514</v>
      </c>
      <c r="E50" t="s">
        <v>31</v>
      </c>
      <c r="F50">
        <v>3</v>
      </c>
      <c r="H50" t="s">
        <v>8</v>
      </c>
      <c r="I50">
        <v>3</v>
      </c>
    </row>
    <row r="51" spans="1:30">
      <c r="D51">
        <f>D53</f>
        <v>38</v>
      </c>
      <c r="E51">
        <f t="shared" ref="E51:AD51" si="0">E53</f>
        <v>43</v>
      </c>
      <c r="F51">
        <f t="shared" si="0"/>
        <v>50</v>
      </c>
      <c r="G51">
        <f t="shared" si="0"/>
        <v>57</v>
      </c>
      <c r="H51">
        <f t="shared" si="0"/>
        <v>66</v>
      </c>
      <c r="I51">
        <f t="shared" si="0"/>
        <v>76</v>
      </c>
      <c r="J51">
        <f t="shared" si="0"/>
        <v>87</v>
      </c>
      <c r="K51">
        <f t="shared" si="0"/>
        <v>100</v>
      </c>
      <c r="L51">
        <f t="shared" si="0"/>
        <v>115</v>
      </c>
      <c r="M51">
        <f t="shared" si="0"/>
        <v>132</v>
      </c>
      <c r="N51">
        <f t="shared" si="0"/>
        <v>152</v>
      </c>
      <c r="O51">
        <f t="shared" si="0"/>
        <v>175</v>
      </c>
      <c r="P51">
        <f t="shared" si="0"/>
        <v>200</v>
      </c>
      <c r="Q51">
        <f t="shared" si="0"/>
        <v>230</v>
      </c>
      <c r="R51">
        <f t="shared" si="0"/>
        <v>264</v>
      </c>
      <c r="S51">
        <f t="shared" si="0"/>
        <v>304</v>
      </c>
      <c r="T51">
        <f t="shared" si="0"/>
        <v>350</v>
      </c>
      <c r="U51">
        <f t="shared" si="0"/>
        <v>400</v>
      </c>
      <c r="V51">
        <f t="shared" si="0"/>
        <v>460</v>
      </c>
      <c r="W51">
        <f t="shared" si="0"/>
        <v>528</v>
      </c>
      <c r="X51">
        <f t="shared" si="0"/>
        <v>608</v>
      </c>
      <c r="Y51">
        <f t="shared" si="0"/>
        <v>700</v>
      </c>
      <c r="Z51">
        <f t="shared" si="0"/>
        <v>800</v>
      </c>
      <c r="AA51">
        <f t="shared" si="0"/>
        <v>920</v>
      </c>
      <c r="AB51">
        <f t="shared" si="0"/>
        <v>1056</v>
      </c>
      <c r="AC51">
        <f t="shared" si="0"/>
        <v>1216</v>
      </c>
      <c r="AD51" s="1">
        <f t="shared" si="0"/>
        <v>1400</v>
      </c>
    </row>
    <row r="52" spans="1:30">
      <c r="D52">
        <v>1</v>
      </c>
      <c r="E52">
        <v>2</v>
      </c>
      <c r="F52">
        <v>3</v>
      </c>
      <c r="G52">
        <v>4</v>
      </c>
      <c r="H52">
        <v>5</v>
      </c>
      <c r="I52">
        <v>6</v>
      </c>
      <c r="J52">
        <v>7</v>
      </c>
      <c r="K52">
        <v>8</v>
      </c>
      <c r="L52">
        <v>9</v>
      </c>
      <c r="M52">
        <v>10</v>
      </c>
      <c r="N52">
        <v>11</v>
      </c>
      <c r="O52">
        <v>12</v>
      </c>
      <c r="P52">
        <v>13</v>
      </c>
      <c r="Q52">
        <v>14</v>
      </c>
      <c r="R52">
        <v>15</v>
      </c>
      <c r="S52">
        <v>16</v>
      </c>
      <c r="T52">
        <v>17</v>
      </c>
      <c r="U52">
        <v>18</v>
      </c>
      <c r="V52">
        <v>19</v>
      </c>
      <c r="W52">
        <v>20</v>
      </c>
      <c r="X52">
        <v>21</v>
      </c>
      <c r="Y52">
        <v>22</v>
      </c>
      <c r="Z52">
        <v>23</v>
      </c>
      <c r="AA52">
        <v>24</v>
      </c>
      <c r="AB52">
        <v>25</v>
      </c>
      <c r="AC52">
        <v>26</v>
      </c>
      <c r="AD52" s="1">
        <v>27</v>
      </c>
    </row>
    <row r="53" spans="1:30">
      <c r="D53">
        <v>38</v>
      </c>
      <c r="E53">
        <v>43</v>
      </c>
      <c r="F53">
        <v>50</v>
      </c>
      <c r="G53">
        <v>57</v>
      </c>
      <c r="H53">
        <v>66</v>
      </c>
      <c r="I53">
        <v>76</v>
      </c>
      <c r="J53">
        <v>87</v>
      </c>
      <c r="K53">
        <v>100</v>
      </c>
      <c r="L53">
        <v>115</v>
      </c>
      <c r="M53">
        <v>132</v>
      </c>
      <c r="N53">
        <v>152</v>
      </c>
      <c r="O53">
        <v>175</v>
      </c>
      <c r="P53">
        <v>200</v>
      </c>
      <c r="Q53">
        <v>230</v>
      </c>
      <c r="R53">
        <v>264</v>
      </c>
      <c r="S53">
        <v>304</v>
      </c>
      <c r="T53">
        <v>350</v>
      </c>
      <c r="U53">
        <v>400</v>
      </c>
      <c r="V53">
        <v>460</v>
      </c>
      <c r="W53">
        <v>528</v>
      </c>
      <c r="X53">
        <v>608</v>
      </c>
      <c r="Y53">
        <v>700</v>
      </c>
      <c r="Z53">
        <v>800</v>
      </c>
      <c r="AA53">
        <v>920</v>
      </c>
      <c r="AB53">
        <v>1056</v>
      </c>
      <c r="AC53">
        <v>1216</v>
      </c>
      <c r="AD53" s="1">
        <v>1400</v>
      </c>
    </row>
    <row r="54" spans="1:30">
      <c r="A54">
        <v>10</v>
      </c>
      <c r="B54">
        <v>16</v>
      </c>
      <c r="C54">
        <v>87</v>
      </c>
      <c r="D54" s="145">
        <v>0</v>
      </c>
      <c r="E54" s="145">
        <v>0</v>
      </c>
      <c r="F54" s="145">
        <v>0</v>
      </c>
      <c r="G54" s="145">
        <v>0</v>
      </c>
      <c r="H54" s="145">
        <v>0</v>
      </c>
      <c r="I54" s="145">
        <v>0</v>
      </c>
      <c r="J54" s="145">
        <v>0</v>
      </c>
      <c r="K54" s="145">
        <v>0</v>
      </c>
      <c r="L54" s="145">
        <v>0</v>
      </c>
      <c r="M54" s="145">
        <v>0</v>
      </c>
      <c r="N54" s="145">
        <v>0</v>
      </c>
      <c r="O54" s="145">
        <v>0</v>
      </c>
      <c r="P54" s="145">
        <v>0</v>
      </c>
      <c r="Q54" s="145">
        <v>0</v>
      </c>
      <c r="R54" s="145">
        <v>0</v>
      </c>
      <c r="S54" s="145">
        <v>0</v>
      </c>
      <c r="T54" s="145">
        <v>0</v>
      </c>
      <c r="U54" s="145">
        <v>0</v>
      </c>
      <c r="V54" s="145">
        <v>0</v>
      </c>
      <c r="W54" s="145">
        <v>0</v>
      </c>
      <c r="X54" s="145">
        <v>0</v>
      </c>
      <c r="Y54" s="145">
        <v>0</v>
      </c>
      <c r="Z54" s="145">
        <v>0</v>
      </c>
      <c r="AA54" s="145">
        <v>0</v>
      </c>
      <c r="AB54" s="145">
        <v>0</v>
      </c>
      <c r="AC54" s="145">
        <v>1</v>
      </c>
      <c r="AD54" s="145">
        <v>1</v>
      </c>
    </row>
    <row r="55" spans="1:30">
      <c r="A55">
        <v>12</v>
      </c>
      <c r="B55">
        <v>15</v>
      </c>
      <c r="C55">
        <v>76</v>
      </c>
      <c r="D55" s="145">
        <v>0</v>
      </c>
      <c r="E55" s="145">
        <v>0</v>
      </c>
      <c r="F55" s="145">
        <v>0</v>
      </c>
      <c r="G55" s="145">
        <v>0</v>
      </c>
      <c r="H55" s="145">
        <v>0</v>
      </c>
      <c r="I55" s="145">
        <v>0</v>
      </c>
      <c r="J55" s="145">
        <v>0</v>
      </c>
      <c r="K55" s="145">
        <v>0</v>
      </c>
      <c r="L55" s="145">
        <v>0</v>
      </c>
      <c r="M55" s="145">
        <v>0</v>
      </c>
      <c r="N55" s="145">
        <v>0</v>
      </c>
      <c r="O55" s="145">
        <v>0</v>
      </c>
      <c r="P55" s="145">
        <v>0</v>
      </c>
      <c r="Q55" s="145">
        <v>0</v>
      </c>
      <c r="R55" s="145">
        <v>0</v>
      </c>
      <c r="S55" s="145">
        <v>0</v>
      </c>
      <c r="T55" s="145">
        <v>0</v>
      </c>
      <c r="U55" s="145">
        <v>0</v>
      </c>
      <c r="V55" s="145">
        <v>0</v>
      </c>
      <c r="W55" s="145">
        <v>0</v>
      </c>
      <c r="X55" s="145">
        <v>0</v>
      </c>
      <c r="Y55" s="145">
        <v>1</v>
      </c>
      <c r="Z55" s="145">
        <v>1</v>
      </c>
      <c r="AA55" s="145">
        <v>2</v>
      </c>
      <c r="AB55" s="145">
        <v>2</v>
      </c>
      <c r="AC55" s="145">
        <v>2</v>
      </c>
      <c r="AD55" s="145">
        <v>2</v>
      </c>
    </row>
    <row r="56" spans="1:30">
      <c r="A56">
        <v>14</v>
      </c>
      <c r="B56">
        <v>14</v>
      </c>
      <c r="C56">
        <v>66</v>
      </c>
      <c r="D56" s="145">
        <v>0</v>
      </c>
      <c r="E56" s="145">
        <v>0</v>
      </c>
      <c r="F56" s="145">
        <v>0</v>
      </c>
      <c r="G56" s="145">
        <v>0</v>
      </c>
      <c r="H56" s="145">
        <v>0</v>
      </c>
      <c r="I56" s="145">
        <v>0</v>
      </c>
      <c r="J56" s="145">
        <v>0</v>
      </c>
      <c r="K56" s="145">
        <v>0</v>
      </c>
      <c r="L56" s="145">
        <v>0</v>
      </c>
      <c r="M56" s="145">
        <v>0</v>
      </c>
      <c r="N56" s="145">
        <v>0</v>
      </c>
      <c r="O56" s="145">
        <v>0</v>
      </c>
      <c r="P56" s="145">
        <v>0</v>
      </c>
      <c r="Q56" s="145">
        <v>0</v>
      </c>
      <c r="R56" s="145">
        <v>0</v>
      </c>
      <c r="S56" s="145">
        <v>0</v>
      </c>
      <c r="T56" s="145">
        <v>0</v>
      </c>
      <c r="U56" s="145">
        <v>0</v>
      </c>
      <c r="V56" s="145">
        <v>0</v>
      </c>
      <c r="W56" s="145">
        <v>0</v>
      </c>
      <c r="X56" s="145">
        <v>1</v>
      </c>
      <c r="Y56" s="145">
        <v>2</v>
      </c>
      <c r="Z56" s="145">
        <v>2</v>
      </c>
      <c r="AA56" s="145">
        <v>2</v>
      </c>
      <c r="AB56" s="145">
        <v>2</v>
      </c>
      <c r="AC56" s="145">
        <v>2</v>
      </c>
      <c r="AD56" s="145">
        <v>2</v>
      </c>
    </row>
    <row r="57" spans="1:30">
      <c r="A57">
        <v>16</v>
      </c>
      <c r="B57">
        <v>13</v>
      </c>
      <c r="C57">
        <v>57</v>
      </c>
      <c r="D57" s="145">
        <v>0</v>
      </c>
      <c r="E57" s="145">
        <v>0</v>
      </c>
      <c r="F57" s="145">
        <v>0</v>
      </c>
      <c r="G57" s="145">
        <v>0</v>
      </c>
      <c r="H57" s="145">
        <v>0</v>
      </c>
      <c r="I57" s="145">
        <v>0</v>
      </c>
      <c r="J57" s="145">
        <v>0</v>
      </c>
      <c r="K57" s="145">
        <v>0</v>
      </c>
      <c r="L57" s="145">
        <v>0</v>
      </c>
      <c r="M57" s="145">
        <v>0</v>
      </c>
      <c r="N57" s="145">
        <v>0</v>
      </c>
      <c r="O57" s="145">
        <v>0</v>
      </c>
      <c r="P57" s="145">
        <v>0</v>
      </c>
      <c r="Q57" s="145">
        <v>0</v>
      </c>
      <c r="R57" s="145">
        <v>0</v>
      </c>
      <c r="S57" s="145">
        <v>0</v>
      </c>
      <c r="T57" s="145">
        <v>0</v>
      </c>
      <c r="U57" s="145">
        <v>1</v>
      </c>
      <c r="V57" s="145">
        <v>2</v>
      </c>
      <c r="W57" s="145">
        <v>2</v>
      </c>
      <c r="X57" s="145">
        <v>2</v>
      </c>
      <c r="Y57" s="145">
        <v>2</v>
      </c>
      <c r="Z57" s="145">
        <v>2</v>
      </c>
      <c r="AA57" s="145">
        <v>2</v>
      </c>
      <c r="AB57" s="145">
        <v>2</v>
      </c>
      <c r="AC57" s="145">
        <v>1</v>
      </c>
      <c r="AD57" s="145">
        <v>1</v>
      </c>
    </row>
    <row r="58" spans="1:30">
      <c r="A58">
        <v>19</v>
      </c>
      <c r="B58">
        <v>12</v>
      </c>
      <c r="C58">
        <v>50</v>
      </c>
      <c r="D58" s="145">
        <v>0</v>
      </c>
      <c r="E58" s="145">
        <v>0</v>
      </c>
      <c r="F58" s="145">
        <v>0</v>
      </c>
      <c r="G58" s="145">
        <v>0</v>
      </c>
      <c r="H58" s="145">
        <v>0</v>
      </c>
      <c r="I58" s="145">
        <v>0</v>
      </c>
      <c r="J58" s="145">
        <v>0</v>
      </c>
      <c r="K58" s="145">
        <v>0</v>
      </c>
      <c r="L58" s="145">
        <v>0</v>
      </c>
      <c r="M58" s="145">
        <v>0</v>
      </c>
      <c r="N58" s="145">
        <v>0</v>
      </c>
      <c r="O58" s="145">
        <v>0</v>
      </c>
      <c r="P58" s="145">
        <v>0</v>
      </c>
      <c r="Q58" s="145">
        <v>0</v>
      </c>
      <c r="R58" s="145">
        <v>0</v>
      </c>
      <c r="S58" s="145">
        <v>1</v>
      </c>
      <c r="T58" s="145">
        <v>2</v>
      </c>
      <c r="U58" s="145">
        <v>2</v>
      </c>
      <c r="V58" s="145">
        <v>2</v>
      </c>
      <c r="W58" s="145">
        <v>2</v>
      </c>
      <c r="X58" s="145">
        <v>2</v>
      </c>
      <c r="Y58" s="145">
        <v>1</v>
      </c>
      <c r="Z58" s="145">
        <v>0</v>
      </c>
      <c r="AA58" s="145">
        <v>0</v>
      </c>
      <c r="AB58" s="145">
        <v>0</v>
      </c>
      <c r="AC58" s="145">
        <v>0</v>
      </c>
      <c r="AD58" s="145">
        <v>0</v>
      </c>
    </row>
    <row r="59" spans="1:30">
      <c r="A59">
        <v>22</v>
      </c>
      <c r="B59">
        <v>11</v>
      </c>
      <c r="C59">
        <v>43</v>
      </c>
      <c r="D59" s="145">
        <v>0</v>
      </c>
      <c r="E59" s="145">
        <v>0</v>
      </c>
      <c r="F59" s="145">
        <v>0</v>
      </c>
      <c r="G59" s="145">
        <v>0</v>
      </c>
      <c r="H59" s="145">
        <v>0</v>
      </c>
      <c r="I59" s="145">
        <v>0</v>
      </c>
      <c r="J59" s="145">
        <v>0</v>
      </c>
      <c r="K59" s="145">
        <v>0</v>
      </c>
      <c r="L59" s="145">
        <v>0</v>
      </c>
      <c r="M59" s="145">
        <v>0</v>
      </c>
      <c r="N59" s="145">
        <v>0</v>
      </c>
      <c r="O59" s="145">
        <v>0</v>
      </c>
      <c r="P59" s="145">
        <v>0</v>
      </c>
      <c r="Q59" s="145">
        <v>1</v>
      </c>
      <c r="R59" s="145">
        <v>2</v>
      </c>
      <c r="S59" s="145">
        <v>2</v>
      </c>
      <c r="T59" s="145">
        <v>2</v>
      </c>
      <c r="U59" s="145">
        <v>2</v>
      </c>
      <c r="V59" s="145">
        <v>2</v>
      </c>
      <c r="W59" s="145">
        <v>1</v>
      </c>
      <c r="X59" s="145">
        <v>0</v>
      </c>
      <c r="Y59" s="145">
        <v>0</v>
      </c>
      <c r="Z59" s="145">
        <v>0</v>
      </c>
      <c r="AA59" s="145">
        <v>0</v>
      </c>
      <c r="AB59" s="145">
        <v>0</v>
      </c>
      <c r="AC59" s="145">
        <v>0</v>
      </c>
      <c r="AD59" s="145">
        <v>0</v>
      </c>
    </row>
    <row r="60" spans="1:30">
      <c r="A60">
        <v>25</v>
      </c>
      <c r="B60">
        <v>10</v>
      </c>
      <c r="C60">
        <v>38</v>
      </c>
      <c r="D60" s="145">
        <v>0</v>
      </c>
      <c r="E60" s="145">
        <v>0</v>
      </c>
      <c r="F60" s="145">
        <v>0</v>
      </c>
      <c r="G60" s="145">
        <v>0</v>
      </c>
      <c r="H60" s="145">
        <v>0</v>
      </c>
      <c r="I60" s="145">
        <v>0</v>
      </c>
      <c r="J60" s="145">
        <v>0</v>
      </c>
      <c r="K60" s="145">
        <v>0</v>
      </c>
      <c r="L60" s="145">
        <v>0</v>
      </c>
      <c r="M60" s="145">
        <v>0</v>
      </c>
      <c r="N60" s="145">
        <v>0</v>
      </c>
      <c r="O60" s="145">
        <v>0</v>
      </c>
      <c r="P60" s="145">
        <v>1</v>
      </c>
      <c r="Q60" s="145">
        <v>2</v>
      </c>
      <c r="R60" s="145">
        <v>2</v>
      </c>
      <c r="S60" s="145">
        <v>2</v>
      </c>
      <c r="T60" s="145">
        <v>2</v>
      </c>
      <c r="U60" s="145">
        <v>1</v>
      </c>
      <c r="V60" s="145">
        <v>0</v>
      </c>
      <c r="W60" s="145">
        <v>0</v>
      </c>
      <c r="X60" s="145">
        <v>0</v>
      </c>
      <c r="Y60" s="145">
        <v>0</v>
      </c>
      <c r="Z60" s="145">
        <v>0</v>
      </c>
      <c r="AA60" s="145">
        <v>0</v>
      </c>
      <c r="AB60" s="145">
        <v>0</v>
      </c>
      <c r="AC60" s="145">
        <v>0</v>
      </c>
      <c r="AD60" s="145">
        <v>0</v>
      </c>
    </row>
    <row r="61" spans="1:30">
      <c r="A61">
        <v>29</v>
      </c>
      <c r="B61">
        <v>9</v>
      </c>
      <c r="C61">
        <v>33</v>
      </c>
      <c r="D61" s="145">
        <v>0</v>
      </c>
      <c r="E61" s="145">
        <v>0</v>
      </c>
      <c r="F61" s="145">
        <v>0</v>
      </c>
      <c r="G61" s="145">
        <v>0</v>
      </c>
      <c r="H61" s="145">
        <v>0</v>
      </c>
      <c r="I61" s="145">
        <v>0</v>
      </c>
      <c r="J61" s="145">
        <v>0</v>
      </c>
      <c r="K61" s="145">
        <v>0</v>
      </c>
      <c r="L61" s="145">
        <v>0</v>
      </c>
      <c r="M61" s="145">
        <v>0</v>
      </c>
      <c r="N61" s="145">
        <v>1</v>
      </c>
      <c r="O61" s="145">
        <v>2</v>
      </c>
      <c r="P61" s="145">
        <v>2</v>
      </c>
      <c r="Q61" s="145">
        <v>2</v>
      </c>
      <c r="R61" s="145">
        <v>2</v>
      </c>
      <c r="S61" s="145">
        <v>2</v>
      </c>
      <c r="T61" s="145">
        <v>1</v>
      </c>
      <c r="U61" s="145">
        <v>0</v>
      </c>
      <c r="V61" s="145">
        <v>0</v>
      </c>
      <c r="W61" s="145">
        <v>0</v>
      </c>
      <c r="X61" s="145">
        <v>0</v>
      </c>
      <c r="Y61" s="145">
        <v>0</v>
      </c>
      <c r="Z61" s="145">
        <v>0</v>
      </c>
      <c r="AA61" s="145">
        <v>0</v>
      </c>
      <c r="AB61" s="145">
        <v>0</v>
      </c>
      <c r="AC61" s="145">
        <v>0</v>
      </c>
      <c r="AD61" s="145">
        <v>0</v>
      </c>
    </row>
    <row r="62" spans="1:30">
      <c r="A62">
        <v>33</v>
      </c>
      <c r="B62">
        <v>8</v>
      </c>
      <c r="C62">
        <v>29</v>
      </c>
      <c r="D62" s="145">
        <v>0</v>
      </c>
      <c r="E62" s="145">
        <v>0</v>
      </c>
      <c r="F62" s="145">
        <v>0</v>
      </c>
      <c r="G62" s="145">
        <v>0</v>
      </c>
      <c r="H62" s="145">
        <v>0</v>
      </c>
      <c r="I62" s="145">
        <v>0</v>
      </c>
      <c r="J62" s="145">
        <v>0</v>
      </c>
      <c r="K62" s="145">
        <v>0</v>
      </c>
      <c r="L62" s="145">
        <v>1</v>
      </c>
      <c r="M62" s="145">
        <v>2</v>
      </c>
      <c r="N62" s="145">
        <v>2</v>
      </c>
      <c r="O62" s="145">
        <v>2</v>
      </c>
      <c r="P62" s="145">
        <v>2</v>
      </c>
      <c r="Q62" s="145">
        <v>1</v>
      </c>
      <c r="R62" s="145">
        <v>0</v>
      </c>
      <c r="S62" s="145">
        <v>0</v>
      </c>
      <c r="T62" s="145">
        <v>0</v>
      </c>
      <c r="U62" s="145">
        <v>0</v>
      </c>
      <c r="V62" s="145">
        <v>0</v>
      </c>
      <c r="W62" s="145">
        <v>0</v>
      </c>
      <c r="X62" s="145">
        <v>0</v>
      </c>
      <c r="Y62" s="145">
        <v>0</v>
      </c>
      <c r="Z62" s="145">
        <v>0</v>
      </c>
      <c r="AA62" s="145">
        <v>0</v>
      </c>
      <c r="AB62" s="145">
        <v>0</v>
      </c>
      <c r="AC62" s="145">
        <v>0</v>
      </c>
      <c r="AD62" s="145">
        <v>0</v>
      </c>
    </row>
    <row r="63" spans="1:30">
      <c r="A63">
        <v>38</v>
      </c>
      <c r="B63">
        <v>7</v>
      </c>
      <c r="C63">
        <v>25</v>
      </c>
      <c r="D63" s="145">
        <v>0</v>
      </c>
      <c r="E63" s="145">
        <v>0</v>
      </c>
      <c r="F63" s="145">
        <v>0</v>
      </c>
      <c r="G63" s="145">
        <v>0</v>
      </c>
      <c r="H63" s="145">
        <v>0</v>
      </c>
      <c r="I63" s="145">
        <v>0</v>
      </c>
      <c r="J63" s="145">
        <v>0</v>
      </c>
      <c r="K63" s="145">
        <v>1</v>
      </c>
      <c r="L63" s="145">
        <v>2</v>
      </c>
      <c r="M63" s="145">
        <v>2</v>
      </c>
      <c r="N63" s="145">
        <v>2</v>
      </c>
      <c r="O63" s="145">
        <v>1</v>
      </c>
      <c r="P63" s="145">
        <v>0</v>
      </c>
      <c r="Q63" s="145">
        <v>0</v>
      </c>
      <c r="R63" s="145">
        <v>0</v>
      </c>
      <c r="S63" s="145">
        <v>0</v>
      </c>
      <c r="T63" s="145">
        <v>0</v>
      </c>
      <c r="U63" s="145">
        <v>0</v>
      </c>
      <c r="V63" s="145">
        <v>0</v>
      </c>
      <c r="W63" s="145">
        <v>0</v>
      </c>
      <c r="X63" s="145">
        <v>0</v>
      </c>
      <c r="Y63" s="145">
        <v>0</v>
      </c>
      <c r="Z63" s="145">
        <v>0</v>
      </c>
      <c r="AA63" s="145">
        <v>0</v>
      </c>
      <c r="AB63" s="145">
        <v>0</v>
      </c>
      <c r="AC63" s="145">
        <v>0</v>
      </c>
      <c r="AD63" s="145">
        <v>0</v>
      </c>
    </row>
    <row r="64" spans="1:30">
      <c r="A64">
        <v>43</v>
      </c>
      <c r="B64">
        <v>6</v>
      </c>
      <c r="C64">
        <v>22</v>
      </c>
      <c r="D64" s="145">
        <v>0</v>
      </c>
      <c r="E64" s="145">
        <v>0</v>
      </c>
      <c r="F64" s="145">
        <v>0</v>
      </c>
      <c r="G64" s="145">
        <v>0</v>
      </c>
      <c r="H64" s="145">
        <v>0</v>
      </c>
      <c r="I64" s="145">
        <v>0</v>
      </c>
      <c r="J64" s="145">
        <v>1</v>
      </c>
      <c r="K64" s="145">
        <v>2</v>
      </c>
      <c r="L64" s="145">
        <v>2</v>
      </c>
      <c r="M64" s="145">
        <v>2</v>
      </c>
      <c r="N64" s="145">
        <v>1</v>
      </c>
      <c r="O64" s="145">
        <v>0</v>
      </c>
      <c r="P64" s="145">
        <v>0</v>
      </c>
      <c r="Q64" s="145">
        <v>0</v>
      </c>
      <c r="R64" s="145">
        <v>0</v>
      </c>
      <c r="S64" s="145">
        <v>0</v>
      </c>
      <c r="T64" s="145">
        <v>0</v>
      </c>
      <c r="U64" s="145">
        <v>0</v>
      </c>
      <c r="V64" s="145">
        <v>0</v>
      </c>
      <c r="W64" s="145">
        <v>0</v>
      </c>
      <c r="X64" s="145">
        <v>0</v>
      </c>
      <c r="Y64" s="145">
        <v>0</v>
      </c>
      <c r="Z64" s="145">
        <v>0</v>
      </c>
      <c r="AA64" s="145">
        <v>0</v>
      </c>
      <c r="AB64" s="145">
        <v>0</v>
      </c>
      <c r="AC64" s="145">
        <v>0</v>
      </c>
      <c r="AD64" s="145">
        <v>0</v>
      </c>
    </row>
    <row r="65" spans="1:30">
      <c r="A65">
        <v>50</v>
      </c>
      <c r="B65">
        <v>5</v>
      </c>
      <c r="C65">
        <v>19</v>
      </c>
      <c r="D65" s="145">
        <v>0</v>
      </c>
      <c r="E65" s="145">
        <v>0</v>
      </c>
      <c r="F65" s="145">
        <v>0</v>
      </c>
      <c r="G65" s="145">
        <v>0</v>
      </c>
      <c r="H65" s="145">
        <v>0</v>
      </c>
      <c r="I65" s="145">
        <v>1</v>
      </c>
      <c r="J65" s="145">
        <v>2</v>
      </c>
      <c r="K65" s="145">
        <v>2</v>
      </c>
      <c r="L65" s="145">
        <v>2</v>
      </c>
      <c r="M65" s="145">
        <v>1</v>
      </c>
      <c r="N65" s="145">
        <v>1</v>
      </c>
      <c r="O65" s="145">
        <v>0</v>
      </c>
      <c r="P65" s="145">
        <v>0</v>
      </c>
      <c r="Q65" s="145">
        <v>0</v>
      </c>
      <c r="R65" s="145">
        <v>0</v>
      </c>
      <c r="S65" s="145">
        <v>0</v>
      </c>
      <c r="T65" s="145">
        <v>0</v>
      </c>
      <c r="U65" s="145">
        <v>0</v>
      </c>
      <c r="V65" s="145">
        <v>0</v>
      </c>
      <c r="W65" s="145">
        <v>0</v>
      </c>
      <c r="X65" s="145">
        <v>0</v>
      </c>
      <c r="Y65" s="145">
        <v>0</v>
      </c>
      <c r="Z65" s="145">
        <v>0</v>
      </c>
      <c r="AA65" s="145">
        <v>0</v>
      </c>
      <c r="AB65" s="145">
        <v>0</v>
      </c>
      <c r="AC65" s="145">
        <v>0</v>
      </c>
      <c r="AD65" s="145">
        <v>0</v>
      </c>
    </row>
    <row r="66" spans="1:30">
      <c r="A66">
        <v>57</v>
      </c>
      <c r="B66">
        <v>4</v>
      </c>
      <c r="C66">
        <v>16</v>
      </c>
      <c r="D66" s="145">
        <v>0</v>
      </c>
      <c r="E66" s="145">
        <v>0</v>
      </c>
      <c r="F66" s="145">
        <v>0</v>
      </c>
      <c r="G66" s="145">
        <v>1</v>
      </c>
      <c r="H66" s="145">
        <v>2</v>
      </c>
      <c r="I66" s="145">
        <v>2</v>
      </c>
      <c r="J66" s="145">
        <v>2</v>
      </c>
      <c r="K66" s="145">
        <v>2</v>
      </c>
      <c r="L66" s="145">
        <v>1</v>
      </c>
      <c r="M66" s="145">
        <v>0</v>
      </c>
      <c r="N66" s="145">
        <v>0</v>
      </c>
      <c r="O66" s="145">
        <v>0</v>
      </c>
      <c r="P66" s="145">
        <v>0</v>
      </c>
      <c r="Q66" s="145">
        <v>0</v>
      </c>
      <c r="R66" s="145">
        <v>0</v>
      </c>
      <c r="S66" s="145">
        <v>0</v>
      </c>
      <c r="T66" s="145">
        <v>0</v>
      </c>
      <c r="U66" s="145">
        <v>0</v>
      </c>
      <c r="V66" s="145">
        <v>0</v>
      </c>
      <c r="W66" s="145">
        <v>0</v>
      </c>
      <c r="X66" s="145">
        <v>0</v>
      </c>
      <c r="Y66" s="145">
        <v>0</v>
      </c>
      <c r="Z66" s="145">
        <v>0</v>
      </c>
      <c r="AA66" s="145">
        <v>0</v>
      </c>
      <c r="AB66" s="145">
        <v>0</v>
      </c>
      <c r="AC66" s="145">
        <v>0</v>
      </c>
      <c r="AD66" s="145">
        <v>0</v>
      </c>
    </row>
    <row r="67" spans="1:30">
      <c r="A67">
        <v>66</v>
      </c>
      <c r="B67">
        <v>3</v>
      </c>
      <c r="C67">
        <v>14</v>
      </c>
      <c r="D67" s="145">
        <v>0</v>
      </c>
      <c r="E67" s="145">
        <v>1</v>
      </c>
      <c r="F67" s="145">
        <v>2</v>
      </c>
      <c r="G67" s="145">
        <v>2</v>
      </c>
      <c r="H67" s="145">
        <v>2</v>
      </c>
      <c r="I67" s="145">
        <v>2</v>
      </c>
      <c r="J67" s="145">
        <v>1</v>
      </c>
      <c r="K67" s="145">
        <v>0</v>
      </c>
      <c r="L67" s="145">
        <v>0</v>
      </c>
      <c r="M67" s="145">
        <v>0</v>
      </c>
      <c r="N67" s="145">
        <v>0</v>
      </c>
      <c r="O67" s="145">
        <v>0</v>
      </c>
      <c r="P67" s="145">
        <v>0</v>
      </c>
      <c r="Q67" s="145">
        <v>0</v>
      </c>
      <c r="R67" s="145">
        <v>0</v>
      </c>
      <c r="S67" s="145">
        <v>0</v>
      </c>
      <c r="T67" s="145">
        <v>0</v>
      </c>
      <c r="U67" s="145">
        <v>0</v>
      </c>
      <c r="V67" s="145">
        <v>0</v>
      </c>
      <c r="W67" s="145">
        <v>0</v>
      </c>
      <c r="X67" s="145">
        <v>0</v>
      </c>
      <c r="Y67" s="145">
        <v>0</v>
      </c>
      <c r="Z67" s="145">
        <v>0</v>
      </c>
      <c r="AA67" s="145">
        <v>0</v>
      </c>
      <c r="AB67" s="145">
        <v>0</v>
      </c>
      <c r="AC67" s="145">
        <v>0</v>
      </c>
      <c r="AD67" s="145">
        <v>0</v>
      </c>
    </row>
    <row r="68" spans="1:30">
      <c r="A68">
        <v>76</v>
      </c>
      <c r="B68">
        <v>2</v>
      </c>
      <c r="C68">
        <v>12</v>
      </c>
      <c r="D68" s="145">
        <v>1</v>
      </c>
      <c r="E68" s="145">
        <v>2</v>
      </c>
      <c r="F68" s="145">
        <v>2</v>
      </c>
      <c r="G68" s="145">
        <v>2</v>
      </c>
      <c r="H68" s="145">
        <v>1</v>
      </c>
      <c r="I68" s="145">
        <v>0</v>
      </c>
      <c r="J68" s="145">
        <v>0</v>
      </c>
      <c r="K68" s="145">
        <v>0</v>
      </c>
      <c r="L68" s="145">
        <v>0</v>
      </c>
      <c r="M68" s="145">
        <v>0</v>
      </c>
      <c r="N68" s="145">
        <v>0</v>
      </c>
      <c r="O68" s="145">
        <v>0</v>
      </c>
      <c r="P68" s="145">
        <v>0</v>
      </c>
      <c r="Q68" s="145">
        <v>0</v>
      </c>
      <c r="R68" s="145">
        <v>0</v>
      </c>
      <c r="S68" s="145">
        <v>0</v>
      </c>
      <c r="T68" s="145">
        <v>0</v>
      </c>
      <c r="U68" s="145">
        <v>0</v>
      </c>
      <c r="V68" s="145">
        <v>0</v>
      </c>
      <c r="W68" s="145">
        <v>0</v>
      </c>
      <c r="X68" s="145">
        <v>0</v>
      </c>
      <c r="Y68" s="145">
        <v>0</v>
      </c>
      <c r="Z68" s="145">
        <v>0</v>
      </c>
      <c r="AA68" s="145">
        <v>0</v>
      </c>
      <c r="AB68" s="145">
        <v>0</v>
      </c>
      <c r="AC68" s="145">
        <v>0</v>
      </c>
      <c r="AD68" s="145">
        <v>0</v>
      </c>
    </row>
    <row r="69" spans="1:30">
      <c r="A69">
        <v>87</v>
      </c>
      <c r="B69">
        <v>1</v>
      </c>
      <c r="C69">
        <v>10</v>
      </c>
      <c r="D69" s="145">
        <v>2</v>
      </c>
      <c r="E69" s="145">
        <v>2</v>
      </c>
      <c r="F69" s="145">
        <v>1</v>
      </c>
      <c r="G69" s="145">
        <v>0</v>
      </c>
      <c r="H69" s="145">
        <v>0</v>
      </c>
      <c r="I69" s="145">
        <v>0</v>
      </c>
      <c r="J69" s="145">
        <v>0</v>
      </c>
      <c r="K69" s="145">
        <v>0</v>
      </c>
      <c r="L69" s="145">
        <v>0</v>
      </c>
      <c r="M69" s="145">
        <v>0</v>
      </c>
      <c r="N69" s="145">
        <v>0</v>
      </c>
      <c r="O69" s="145">
        <v>0</v>
      </c>
      <c r="P69" s="145">
        <v>0</v>
      </c>
      <c r="Q69" s="145">
        <v>0</v>
      </c>
      <c r="R69" s="145">
        <v>0</v>
      </c>
      <c r="S69" s="145">
        <v>0</v>
      </c>
      <c r="T69" s="145">
        <v>0</v>
      </c>
      <c r="U69" s="145">
        <v>0</v>
      </c>
      <c r="V69" s="145">
        <v>0</v>
      </c>
      <c r="W69" s="145">
        <v>0</v>
      </c>
      <c r="X69" s="145">
        <v>0</v>
      </c>
      <c r="Y69" s="145">
        <v>0</v>
      </c>
      <c r="Z69" s="145">
        <v>0</v>
      </c>
      <c r="AA69" s="145">
        <v>0</v>
      </c>
      <c r="AB69" s="145">
        <v>0</v>
      </c>
      <c r="AC69" s="145">
        <v>0</v>
      </c>
      <c r="AD69" s="145">
        <v>0</v>
      </c>
    </row>
  </sheetData>
  <customSheetViews>
    <customSheetView guid="{405707A2-D644-4113-A905-B4AA69DE216D}" showRuler="0" topLeftCell="A36">
      <pane xSplit="3" ySplit="15" topLeftCell="I51" activePane="bottomRight" state="frozen"/>
      <selection pane="bottomRight" activeCell="AA52" sqref="AA52"/>
      <pageMargins left="0.75" right="0.75" top="1" bottom="1" header="0.5" footer="0.5"/>
      <pageSetup paperSize="9" orientation="portrait" verticalDpi="300" r:id="rId1"/>
      <headerFooter alignWithMargins="0"/>
    </customSheetView>
  </customSheetViews>
  <mergeCells count="12">
    <mergeCell ref="B7:D7"/>
    <mergeCell ref="E7:G7"/>
    <mergeCell ref="B31:E31"/>
    <mergeCell ref="F31:I31"/>
    <mergeCell ref="V31:Y31"/>
    <mergeCell ref="Q7:S7"/>
    <mergeCell ref="N7:P7"/>
    <mergeCell ref="R31:U31"/>
    <mergeCell ref="J31:M31"/>
    <mergeCell ref="N31:Q31"/>
    <mergeCell ref="H7:J7"/>
    <mergeCell ref="K7:M7"/>
  </mergeCells>
  <phoneticPr fontId="71" type="noConversion"/>
  <conditionalFormatting sqref="B9:S16 B22:K29 D54:AD69 B33:AA40">
    <cfRule type="cellIs" dxfId="1" priority="1" stopIfTrue="1" operator="equal">
      <formula>1</formula>
    </cfRule>
    <cfRule type="cellIs" dxfId="0" priority="2" stopIfTrue="1" operator="equal">
      <formula>0</formula>
    </cfRule>
  </conditionalFormatting>
  <pageMargins left="0.75" right="0.75" top="1" bottom="1" header="0.5" footer="0.5"/>
  <pageSetup paperSize="9" orientation="portrait" verticalDpi="300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9217" r:id="rId5" name="CommandButton1">
          <controlPr defaultSize="0" print="0" autoFill="0" autoLine="0" r:id="rId6">
            <anchor>
              <from>
                <xdr:col>24</xdr:col>
                <xdr:colOff>247650</xdr:colOff>
                <xdr:row>1</xdr:row>
                <xdr:rowOff>38100</xdr:rowOff>
              </from>
              <to>
                <xdr:col>28</xdr:col>
                <xdr:colOff>9525</xdr:colOff>
                <xdr:row>2</xdr:row>
                <xdr:rowOff>123825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7</vt:i4>
      </vt:variant>
      <vt:variant>
        <vt:lpstr>Макросы Excel 4.0</vt:lpstr>
      </vt:variant>
      <vt:variant>
        <vt:i4>1</vt:i4>
      </vt:variant>
      <vt:variant>
        <vt:lpstr>Именованные диапазоны</vt:lpstr>
      </vt:variant>
      <vt:variant>
        <vt:i4>22</vt:i4>
      </vt:variant>
    </vt:vector>
  </HeadingPairs>
  <TitlesOfParts>
    <vt:vector size="30" baseType="lpstr">
      <vt:lpstr>Start</vt:lpstr>
      <vt:lpstr>Help</vt:lpstr>
      <vt:lpstr>Worksheet</vt:lpstr>
      <vt:lpstr>Matrix</vt:lpstr>
      <vt:lpstr>Jobgrades</vt:lpstr>
      <vt:lpstr>Matchcodes</vt:lpstr>
      <vt:lpstr>Validation</vt:lpstr>
      <vt:lpstr>macro d'éval</vt:lpstr>
      <vt:lpstr>AcF_Val</vt:lpstr>
      <vt:lpstr>AcI_Val</vt:lpstr>
      <vt:lpstr>AcM_Val</vt:lpstr>
      <vt:lpstr>base</vt:lpstr>
      <vt:lpstr>Company_name</vt:lpstr>
      <vt:lpstr>Format2Print</vt:lpstr>
      <vt:lpstr>Key</vt:lpstr>
      <vt:lpstr>KHB_Val</vt:lpstr>
      <vt:lpstr>KHHRS_Val</vt:lpstr>
      <vt:lpstr>LetterVal</vt:lpstr>
      <vt:lpstr>PSC_Val</vt:lpstr>
      <vt:lpstr>PSF_Val</vt:lpstr>
      <vt:lpstr>SubCode</vt:lpstr>
      <vt:lpstr>vllRange</vt:lpstr>
      <vt:lpstr>vlRange</vt:lpstr>
      <vt:lpstr>Jobgrades!Заголовки_для_печати</vt:lpstr>
      <vt:lpstr>Matrix!Заголовки_для_печати</vt:lpstr>
      <vt:lpstr>Worksheet!Заголовки_для_печати</vt:lpstr>
      <vt:lpstr>Help!Область_печати</vt:lpstr>
      <vt:lpstr>Jobgrades!Область_печати</vt:lpstr>
      <vt:lpstr>Matrix!Область_печати</vt:lpstr>
      <vt:lpstr>Start!Область_печати</vt:lpstr>
    </vt:vector>
  </TitlesOfParts>
  <Manager>HWT</Manager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HayCalculator</dc:title>
  <dc:subject>2009.01</dc:subject>
  <dc:creator>Info@HayGroup.NL</dc:creator>
  <dc:description>Versie 2009.01</dc:description>
  <cp:lastModifiedBy>Нурдаулет Танирбергенов</cp:lastModifiedBy>
  <cp:lastPrinted>2017-07-24T05:38:13Z</cp:lastPrinted>
  <dcterms:created xsi:type="dcterms:W3CDTF">1999-07-13T16:50:04Z</dcterms:created>
  <dcterms:modified xsi:type="dcterms:W3CDTF">2024-12-26T03:47:01Z</dcterms:modified>
  <cp:category>HayGroup Guidechart-Tools</cp:category>
</cp:coreProperties>
</file>